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xp2509\OneDrive - Liberty Holdings\Desktop\lvp\12_repos\openASSA\"/>
    </mc:Choice>
  </mc:AlternateContent>
  <xr:revisionPtr revIDLastSave="30" documentId="13_ncr:1_{42EA467A-32C7-4006-AEDA-38BBB8E38990}" xr6:coauthVersionLast="45" xr6:coauthVersionMax="45" xr10:uidLastSave="{F149F416-307D-40F1-BBB9-CA59DCF7A199}"/>
  <bookViews>
    <workbookView xWindow="-109" yWindow="-109" windowWidth="26301" windowHeight="14305" activeTab="4" xr2:uid="{00000000-000D-0000-FFFF-FFFF00000000}"/>
  </bookViews>
  <sheets>
    <sheet name="Info" sheetId="7" r:id="rId1"/>
    <sheet name="Mortality Table" sheetId="2" r:id="rId2"/>
    <sheet name="Lapse Table" sheetId="3" r:id="rId3"/>
    <sheet name="Yield Curve" sheetId="4" r:id="rId4"/>
    <sheet name="Policy Data" sheetId="5" r:id="rId5"/>
    <sheet name="Model" sheetId="1" r:id="rId6"/>
    <sheet name="Results" sheetId="6" r:id="rId7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" l="1"/>
  <c r="B6" i="1" l="1"/>
  <c r="B5" i="1"/>
  <c r="B4" i="1"/>
  <c r="B3" i="1"/>
  <c r="B1" i="1"/>
  <c r="L10" i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9" i="1"/>
  <c r="C1718" i="1" l="1"/>
  <c r="B565" i="1"/>
  <c r="D565" i="1" s="1"/>
  <c r="C1683" i="1"/>
  <c r="C598" i="1"/>
  <c r="C2115" i="1"/>
  <c r="C1304" i="1"/>
  <c r="C1593" i="1"/>
  <c r="C1112" i="1"/>
  <c r="C1539" i="1"/>
  <c r="C2042" i="1"/>
  <c r="C1934" i="1"/>
  <c r="C562" i="1"/>
  <c r="C1826" i="1"/>
  <c r="C125" i="1"/>
  <c r="C1388" i="1"/>
  <c r="C1006" i="1"/>
  <c r="C1899" i="1"/>
  <c r="C1791" i="1"/>
  <c r="C2007" i="1"/>
  <c r="C706" i="1"/>
  <c r="B2062" i="1"/>
  <c r="B1855" i="1"/>
  <c r="B1598" i="1"/>
  <c r="B1298" i="1"/>
  <c r="B903" i="1"/>
  <c r="B118" i="1"/>
  <c r="D118" i="1" s="1"/>
  <c r="B1622" i="1"/>
  <c r="B1324" i="1"/>
  <c r="B939" i="1"/>
  <c r="B226" i="1"/>
  <c r="D226" i="1" s="1"/>
  <c r="B2047" i="1"/>
  <c r="B1837" i="1"/>
  <c r="B1574" i="1"/>
  <c r="B1270" i="1"/>
  <c r="B861" i="1"/>
  <c r="B10" i="1"/>
  <c r="D10" i="1" s="1"/>
  <c r="B1693" i="1"/>
  <c r="B500" i="1"/>
  <c r="D500" i="1" s="1"/>
  <c r="B2104" i="1"/>
  <c r="B1382" i="1"/>
  <c r="B1357" i="1"/>
  <c r="B47" i="1"/>
  <c r="D47" i="1" s="1"/>
  <c r="B817" i="1"/>
  <c r="B1793" i="1"/>
  <c r="B774" i="1"/>
  <c r="B1502" i="1"/>
  <c r="B1999" i="1"/>
  <c r="B1754" i="1"/>
  <c r="B1478" i="1"/>
  <c r="B1154" i="1"/>
  <c r="B684" i="1"/>
  <c r="D684" i="1" s="1"/>
  <c r="B2117" i="1"/>
  <c r="B1406" i="1"/>
  <c r="B1670" i="1"/>
  <c r="B428" i="1"/>
  <c r="D428" i="1" s="1"/>
  <c r="B2091" i="1"/>
  <c r="B1646" i="1"/>
  <c r="B975" i="1"/>
  <c r="B1876" i="1"/>
  <c r="B1815" i="1"/>
  <c r="B1239" i="1"/>
  <c r="B2018" i="1"/>
  <c r="B1213" i="1"/>
  <c r="B2012" i="1"/>
  <c r="B1180" i="1"/>
  <c r="B2143" i="1"/>
  <c r="B1981" i="1"/>
  <c r="B1732" i="1"/>
  <c r="B1454" i="1"/>
  <c r="B1119" i="1"/>
  <c r="B627" i="1"/>
  <c r="D627" i="1" s="1"/>
  <c r="B1937" i="1"/>
  <c r="B1047" i="1"/>
  <c r="B1918" i="1"/>
  <c r="B1011" i="1"/>
  <c r="B1898" i="1"/>
  <c r="B334" i="1"/>
  <c r="D334" i="1" s="1"/>
  <c r="B2077" i="1"/>
  <c r="B2033" i="1"/>
  <c r="B1550" i="1"/>
  <c r="B1526" i="1"/>
  <c r="B1774" i="1"/>
  <c r="B731" i="1"/>
  <c r="B2130" i="1"/>
  <c r="B1959" i="1"/>
  <c r="B1711" i="1"/>
  <c r="B1430" i="1"/>
  <c r="B1083" i="1"/>
  <c r="B2142" i="1"/>
  <c r="B2129" i="1"/>
  <c r="B2116" i="1"/>
  <c r="B2103" i="1"/>
  <c r="B2090" i="1"/>
  <c r="B2076" i="1"/>
  <c r="B2060" i="1"/>
  <c r="B2046" i="1"/>
  <c r="B2032" i="1"/>
  <c r="B2017" i="1"/>
  <c r="B1997" i="1"/>
  <c r="B1978" i="1"/>
  <c r="B1958" i="1"/>
  <c r="B1936" i="1"/>
  <c r="B1915" i="1"/>
  <c r="B1897" i="1"/>
  <c r="B1875" i="1"/>
  <c r="B1853" i="1"/>
  <c r="B1834" i="1"/>
  <c r="B1814" i="1"/>
  <c r="B1792" i="1"/>
  <c r="B1771" i="1"/>
  <c r="B1753" i="1"/>
  <c r="B1731" i="1"/>
  <c r="B1709" i="1"/>
  <c r="B1690" i="1"/>
  <c r="B1669" i="1"/>
  <c r="B1645" i="1"/>
  <c r="B1621" i="1"/>
  <c r="B1597" i="1"/>
  <c r="B1573" i="1"/>
  <c r="B1549" i="1"/>
  <c r="B1525" i="1"/>
  <c r="B1501" i="1"/>
  <c r="B1477" i="1"/>
  <c r="B1453" i="1"/>
  <c r="B1429" i="1"/>
  <c r="B1405" i="1"/>
  <c r="B1381" i="1"/>
  <c r="B1354" i="1"/>
  <c r="B1323" i="1"/>
  <c r="B1297" i="1"/>
  <c r="B1264" i="1"/>
  <c r="B1238" i="1"/>
  <c r="B1210" i="1"/>
  <c r="B1179" i="1"/>
  <c r="B1153" i="1"/>
  <c r="B1118" i="1"/>
  <c r="B1082" i="1"/>
  <c r="B1046" i="1"/>
  <c r="B1010" i="1"/>
  <c r="B974" i="1"/>
  <c r="B938" i="1"/>
  <c r="B902" i="1"/>
  <c r="B860" i="1"/>
  <c r="B816" i="1"/>
  <c r="B773" i="1"/>
  <c r="B730" i="1"/>
  <c r="B683" i="1"/>
  <c r="D683" i="1" s="1"/>
  <c r="B625" i="1"/>
  <c r="D625" i="1" s="1"/>
  <c r="B564" i="1"/>
  <c r="D564" i="1" s="1"/>
  <c r="B497" i="1"/>
  <c r="D497" i="1" s="1"/>
  <c r="B421" i="1"/>
  <c r="D421" i="1" s="1"/>
  <c r="B325" i="1"/>
  <c r="D325" i="1" s="1"/>
  <c r="B217" i="1"/>
  <c r="D217" i="1" s="1"/>
  <c r="B109" i="1"/>
  <c r="D109" i="1" s="1"/>
  <c r="C2141" i="1"/>
  <c r="C2033" i="1"/>
  <c r="C1925" i="1"/>
  <c r="C1817" i="1"/>
  <c r="C1709" i="1"/>
  <c r="C1580" i="1"/>
  <c r="C1366" i="1"/>
  <c r="C1081" i="1"/>
  <c r="C600" i="1"/>
  <c r="B2141" i="1"/>
  <c r="B2128" i="1"/>
  <c r="B2115" i="1"/>
  <c r="B2102" i="1"/>
  <c r="B2089" i="1"/>
  <c r="B2074" i="1"/>
  <c r="B2059" i="1"/>
  <c r="B2045" i="1"/>
  <c r="B2031" i="1"/>
  <c r="B2014" i="1"/>
  <c r="B1996" i="1"/>
  <c r="B1975" i="1"/>
  <c r="B1957" i="1"/>
  <c r="B1935" i="1"/>
  <c r="B1913" i="1"/>
  <c r="B1894" i="1"/>
  <c r="B1874" i="1"/>
  <c r="B1852" i="1"/>
  <c r="B1831" i="1"/>
  <c r="B1813" i="1"/>
  <c r="B1791" i="1"/>
  <c r="B1769" i="1"/>
  <c r="B1750" i="1"/>
  <c r="B1730" i="1"/>
  <c r="B1708" i="1"/>
  <c r="B1687" i="1"/>
  <c r="B1666" i="1"/>
  <c r="B1642" i="1"/>
  <c r="B1618" i="1"/>
  <c r="B1594" i="1"/>
  <c r="B1570" i="1"/>
  <c r="B1546" i="1"/>
  <c r="B1522" i="1"/>
  <c r="B1498" i="1"/>
  <c r="B1474" i="1"/>
  <c r="B1450" i="1"/>
  <c r="B1426" i="1"/>
  <c r="B1402" i="1"/>
  <c r="B1378" i="1"/>
  <c r="B1348" i="1"/>
  <c r="B1322" i="1"/>
  <c r="B1294" i="1"/>
  <c r="B1263" i="1"/>
  <c r="B1237" i="1"/>
  <c r="B1204" i="1"/>
  <c r="B1178" i="1"/>
  <c r="B1150" i="1"/>
  <c r="B1117" i="1"/>
  <c r="B1081" i="1"/>
  <c r="B1045" i="1"/>
  <c r="B1009" i="1"/>
  <c r="B973" i="1"/>
  <c r="B937" i="1"/>
  <c r="B901" i="1"/>
  <c r="B858" i="1"/>
  <c r="B815" i="1"/>
  <c r="B772" i="1"/>
  <c r="B729" i="1"/>
  <c r="B682" i="1"/>
  <c r="D682" i="1" s="1"/>
  <c r="B624" i="1"/>
  <c r="D624" i="1" s="1"/>
  <c r="B563" i="1"/>
  <c r="D563" i="1" s="1"/>
  <c r="B493" i="1"/>
  <c r="D493" i="1" s="1"/>
  <c r="B420" i="1"/>
  <c r="D420" i="1" s="1"/>
  <c r="B324" i="1"/>
  <c r="D324" i="1" s="1"/>
  <c r="B216" i="1"/>
  <c r="D216" i="1" s="1"/>
  <c r="B108" i="1"/>
  <c r="D108" i="1" s="1"/>
  <c r="C2140" i="1"/>
  <c r="C2032" i="1"/>
  <c r="C1924" i="1"/>
  <c r="C1816" i="1"/>
  <c r="C1708" i="1"/>
  <c r="C1579" i="1"/>
  <c r="C1364" i="1"/>
  <c r="C1080" i="1"/>
  <c r="B2114" i="1"/>
  <c r="B2030" i="1"/>
  <c r="B1873" i="1"/>
  <c r="B1768" i="1"/>
  <c r="B1637" i="1"/>
  <c r="B1541" i="1"/>
  <c r="B1421" i="1"/>
  <c r="B1262" i="1"/>
  <c r="B1108" i="1"/>
  <c r="B928" i="1"/>
  <c r="B610" i="1"/>
  <c r="D610" i="1" s="1"/>
  <c r="B299" i="1"/>
  <c r="D299" i="1" s="1"/>
  <c r="C12" i="1"/>
  <c r="E12" i="1" s="1"/>
  <c r="C24" i="1"/>
  <c r="E24" i="1" s="1"/>
  <c r="C36" i="1"/>
  <c r="E36" i="1" s="1"/>
  <c r="C48" i="1"/>
  <c r="E48" i="1" s="1"/>
  <c r="C60" i="1"/>
  <c r="E60" i="1" s="1"/>
  <c r="C72" i="1"/>
  <c r="E72" i="1" s="1"/>
  <c r="C84" i="1"/>
  <c r="E84" i="1" s="1"/>
  <c r="C96" i="1"/>
  <c r="C108" i="1"/>
  <c r="C120" i="1"/>
  <c r="C132" i="1"/>
  <c r="C144" i="1"/>
  <c r="C18" i="1"/>
  <c r="E18" i="1" s="1"/>
  <c r="C30" i="1"/>
  <c r="E30" i="1" s="1"/>
  <c r="C42" i="1"/>
  <c r="E42" i="1" s="1"/>
  <c r="C54" i="1"/>
  <c r="E54" i="1" s="1"/>
  <c r="C66" i="1"/>
  <c r="E66" i="1" s="1"/>
  <c r="C78" i="1"/>
  <c r="E78" i="1" s="1"/>
  <c r="C90" i="1"/>
  <c r="E90" i="1" s="1"/>
  <c r="C102" i="1"/>
  <c r="C114" i="1"/>
  <c r="C126" i="1"/>
  <c r="C138" i="1"/>
  <c r="C150" i="1"/>
  <c r="C15" i="1"/>
  <c r="E15" i="1" s="1"/>
  <c r="C29" i="1"/>
  <c r="E29" i="1" s="1"/>
  <c r="C44" i="1"/>
  <c r="E44" i="1" s="1"/>
  <c r="C58" i="1"/>
  <c r="E58" i="1" s="1"/>
  <c r="C73" i="1"/>
  <c r="E73" i="1" s="1"/>
  <c r="C87" i="1"/>
  <c r="E87" i="1" s="1"/>
  <c r="C101" i="1"/>
  <c r="C116" i="1"/>
  <c r="C130" i="1"/>
  <c r="C145" i="1"/>
  <c r="C158" i="1"/>
  <c r="C170" i="1"/>
  <c r="C182" i="1"/>
  <c r="C194" i="1"/>
  <c r="C206" i="1"/>
  <c r="C218" i="1"/>
  <c r="C230" i="1"/>
  <c r="C242" i="1"/>
  <c r="C254" i="1"/>
  <c r="C266" i="1"/>
  <c r="C278" i="1"/>
  <c r="C290" i="1"/>
  <c r="C302" i="1"/>
  <c r="C314" i="1"/>
  <c r="C326" i="1"/>
  <c r="C338" i="1"/>
  <c r="C350" i="1"/>
  <c r="C362" i="1"/>
  <c r="C374" i="1"/>
  <c r="C386" i="1"/>
  <c r="C398" i="1"/>
  <c r="C410" i="1"/>
  <c r="C422" i="1"/>
  <c r="C434" i="1"/>
  <c r="C446" i="1"/>
  <c r="C458" i="1"/>
  <c r="C470" i="1"/>
  <c r="C482" i="1"/>
  <c r="C494" i="1"/>
  <c r="C506" i="1"/>
  <c r="C518" i="1"/>
  <c r="C530" i="1"/>
  <c r="C542" i="1"/>
  <c r="C554" i="1"/>
  <c r="C566" i="1"/>
  <c r="C578" i="1"/>
  <c r="C590" i="1"/>
  <c r="C602" i="1"/>
  <c r="C614" i="1"/>
  <c r="C626" i="1"/>
  <c r="C638" i="1"/>
  <c r="C650" i="1"/>
  <c r="C662" i="1"/>
  <c r="C674" i="1"/>
  <c r="C686" i="1"/>
  <c r="C698" i="1"/>
  <c r="C710" i="1"/>
  <c r="C722" i="1"/>
  <c r="C734" i="1"/>
  <c r="C746" i="1"/>
  <c r="C758" i="1"/>
  <c r="C770" i="1"/>
  <c r="C782" i="1"/>
  <c r="C794" i="1"/>
  <c r="C806" i="1"/>
  <c r="C818" i="1"/>
  <c r="C830" i="1"/>
  <c r="C842" i="1"/>
  <c r="C854" i="1"/>
  <c r="C866" i="1"/>
  <c r="C878" i="1"/>
  <c r="C890" i="1"/>
  <c r="C902" i="1"/>
  <c r="C914" i="1"/>
  <c r="C926" i="1"/>
  <c r="C938" i="1"/>
  <c r="C950" i="1"/>
  <c r="C962" i="1"/>
  <c r="C974" i="1"/>
  <c r="C986" i="1"/>
  <c r="C998" i="1"/>
  <c r="C1010" i="1"/>
  <c r="C1022" i="1"/>
  <c r="C1034" i="1"/>
  <c r="C1046" i="1"/>
  <c r="C1058" i="1"/>
  <c r="C1070" i="1"/>
  <c r="C1082" i="1"/>
  <c r="C1094" i="1"/>
  <c r="C1106" i="1"/>
  <c r="C1118" i="1"/>
  <c r="C1130" i="1"/>
  <c r="C1142" i="1"/>
  <c r="C1154" i="1"/>
  <c r="C1166" i="1"/>
  <c r="C1178" i="1"/>
  <c r="C1190" i="1"/>
  <c r="C1202" i="1"/>
  <c r="C1214" i="1"/>
  <c r="C1226" i="1"/>
  <c r="C1238" i="1"/>
  <c r="C1250" i="1"/>
  <c r="C1262" i="1"/>
  <c r="C1274" i="1"/>
  <c r="C1286" i="1"/>
  <c r="C1298" i="1"/>
  <c r="C1310" i="1"/>
  <c r="C1322" i="1"/>
  <c r="C1334" i="1"/>
  <c r="C1346" i="1"/>
  <c r="C1358" i="1"/>
  <c r="C1370" i="1"/>
  <c r="C1382" i="1"/>
  <c r="C1394" i="1"/>
  <c r="C1406" i="1"/>
  <c r="C1418" i="1"/>
  <c r="C1430" i="1"/>
  <c r="C1442" i="1"/>
  <c r="C1454" i="1"/>
  <c r="C1466" i="1"/>
  <c r="C1478" i="1"/>
  <c r="C1490" i="1"/>
  <c r="C1502" i="1"/>
  <c r="C1514" i="1"/>
  <c r="C1526" i="1"/>
  <c r="C1538" i="1"/>
  <c r="C1550" i="1"/>
  <c r="C1562" i="1"/>
  <c r="C1574" i="1"/>
  <c r="C1586" i="1"/>
  <c r="C1598" i="1"/>
  <c r="C1610" i="1"/>
  <c r="C1622" i="1"/>
  <c r="C1634" i="1"/>
  <c r="C1646" i="1"/>
  <c r="C16" i="1"/>
  <c r="E16" i="1" s="1"/>
  <c r="C31" i="1"/>
  <c r="E31" i="1" s="1"/>
  <c r="C45" i="1"/>
  <c r="E45" i="1" s="1"/>
  <c r="C59" i="1"/>
  <c r="E59" i="1" s="1"/>
  <c r="C74" i="1"/>
  <c r="E74" i="1" s="1"/>
  <c r="C88" i="1"/>
  <c r="E88" i="1" s="1"/>
  <c r="C103" i="1"/>
  <c r="C117" i="1"/>
  <c r="C131" i="1"/>
  <c r="C146" i="1"/>
  <c r="C159" i="1"/>
  <c r="C171" i="1"/>
  <c r="C183" i="1"/>
  <c r="C195" i="1"/>
  <c r="C207" i="1"/>
  <c r="C219" i="1"/>
  <c r="C231" i="1"/>
  <c r="C243" i="1"/>
  <c r="C255" i="1"/>
  <c r="C267" i="1"/>
  <c r="C279" i="1"/>
  <c r="C291" i="1"/>
  <c r="C303" i="1"/>
  <c r="C315" i="1"/>
  <c r="C327" i="1"/>
  <c r="C339" i="1"/>
  <c r="C351" i="1"/>
  <c r="C363" i="1"/>
  <c r="C375" i="1"/>
  <c r="C387" i="1"/>
  <c r="C399" i="1"/>
  <c r="C411" i="1"/>
  <c r="C423" i="1"/>
  <c r="C435" i="1"/>
  <c r="C447" i="1"/>
  <c r="C459" i="1"/>
  <c r="C471" i="1"/>
  <c r="C483" i="1"/>
  <c r="C495" i="1"/>
  <c r="C507" i="1"/>
  <c r="C519" i="1"/>
  <c r="C531" i="1"/>
  <c r="C543" i="1"/>
  <c r="C555" i="1"/>
  <c r="C567" i="1"/>
  <c r="C579" i="1"/>
  <c r="C591" i="1"/>
  <c r="C603" i="1"/>
  <c r="C615" i="1"/>
  <c r="C627" i="1"/>
  <c r="C639" i="1"/>
  <c r="C651" i="1"/>
  <c r="C663" i="1"/>
  <c r="C675" i="1"/>
  <c r="C687" i="1"/>
  <c r="C699" i="1"/>
  <c r="C711" i="1"/>
  <c r="C723" i="1"/>
  <c r="C735" i="1"/>
  <c r="C747" i="1"/>
  <c r="C759" i="1"/>
  <c r="C771" i="1"/>
  <c r="C783" i="1"/>
  <c r="C795" i="1"/>
  <c r="C807" i="1"/>
  <c r="C819" i="1"/>
  <c r="C831" i="1"/>
  <c r="C843" i="1"/>
  <c r="C855" i="1"/>
  <c r="C867" i="1"/>
  <c r="C879" i="1"/>
  <c r="C891" i="1"/>
  <c r="C903" i="1"/>
  <c r="C915" i="1"/>
  <c r="C927" i="1"/>
  <c r="C939" i="1"/>
  <c r="C951" i="1"/>
  <c r="C963" i="1"/>
  <c r="C975" i="1"/>
  <c r="C987" i="1"/>
  <c r="C999" i="1"/>
  <c r="C1011" i="1"/>
  <c r="C1023" i="1"/>
  <c r="C1035" i="1"/>
  <c r="C1047" i="1"/>
  <c r="C1059" i="1"/>
  <c r="C1071" i="1"/>
  <c r="C1083" i="1"/>
  <c r="C1095" i="1"/>
  <c r="C1107" i="1"/>
  <c r="C1119" i="1"/>
  <c r="C1131" i="1"/>
  <c r="C1143" i="1"/>
  <c r="C1155" i="1"/>
  <c r="C1167" i="1"/>
  <c r="C1179" i="1"/>
  <c r="C1191" i="1"/>
  <c r="C17" i="1"/>
  <c r="E17" i="1" s="1"/>
  <c r="C32" i="1"/>
  <c r="E32" i="1" s="1"/>
  <c r="C46" i="1"/>
  <c r="E46" i="1" s="1"/>
  <c r="C61" i="1"/>
  <c r="E61" i="1" s="1"/>
  <c r="C75" i="1"/>
  <c r="E75" i="1" s="1"/>
  <c r="C89" i="1"/>
  <c r="E89" i="1" s="1"/>
  <c r="C104" i="1"/>
  <c r="C118" i="1"/>
  <c r="C133" i="1"/>
  <c r="C147" i="1"/>
  <c r="C160" i="1"/>
  <c r="C172" i="1"/>
  <c r="C184" i="1"/>
  <c r="C196" i="1"/>
  <c r="C208" i="1"/>
  <c r="C220" i="1"/>
  <c r="C232" i="1"/>
  <c r="C244" i="1"/>
  <c r="C256" i="1"/>
  <c r="C268" i="1"/>
  <c r="C280" i="1"/>
  <c r="C292" i="1"/>
  <c r="C304" i="1"/>
  <c r="C316" i="1"/>
  <c r="C328" i="1"/>
  <c r="C340" i="1"/>
  <c r="C352" i="1"/>
  <c r="C364" i="1"/>
  <c r="C376" i="1"/>
  <c r="C388" i="1"/>
  <c r="C400" i="1"/>
  <c r="C412" i="1"/>
  <c r="C424" i="1"/>
  <c r="C436" i="1"/>
  <c r="C448" i="1"/>
  <c r="C460" i="1"/>
  <c r="C472" i="1"/>
  <c r="C484" i="1"/>
  <c r="C496" i="1"/>
  <c r="C508" i="1"/>
  <c r="C520" i="1"/>
  <c r="C532" i="1"/>
  <c r="C544" i="1"/>
  <c r="C556" i="1"/>
  <c r="C568" i="1"/>
  <c r="C580" i="1"/>
  <c r="C592" i="1"/>
  <c r="C604" i="1"/>
  <c r="C616" i="1"/>
  <c r="C628" i="1"/>
  <c r="C640" i="1"/>
  <c r="C652" i="1"/>
  <c r="C664" i="1"/>
  <c r="C676" i="1"/>
  <c r="C688" i="1"/>
  <c r="C700" i="1"/>
  <c r="C712" i="1"/>
  <c r="C724" i="1"/>
  <c r="C736" i="1"/>
  <c r="C748" i="1"/>
  <c r="C760" i="1"/>
  <c r="C772" i="1"/>
  <c r="C784" i="1"/>
  <c r="C796" i="1"/>
  <c r="C808" i="1"/>
  <c r="C820" i="1"/>
  <c r="C832" i="1"/>
  <c r="C844" i="1"/>
  <c r="C856" i="1"/>
  <c r="C868" i="1"/>
  <c r="C880" i="1"/>
  <c r="C892" i="1"/>
  <c r="C904" i="1"/>
  <c r="C916" i="1"/>
  <c r="C928" i="1"/>
  <c r="C940" i="1"/>
  <c r="C952" i="1"/>
  <c r="C964" i="1"/>
  <c r="C976" i="1"/>
  <c r="C988" i="1"/>
  <c r="C1000" i="1"/>
  <c r="C1012" i="1"/>
  <c r="C1024" i="1"/>
  <c r="C1036" i="1"/>
  <c r="C1048" i="1"/>
  <c r="C1060" i="1"/>
  <c r="C1072" i="1"/>
  <c r="C1084" i="1"/>
  <c r="C1096" i="1"/>
  <c r="C1108" i="1"/>
  <c r="C1120" i="1"/>
  <c r="C1132" i="1"/>
  <c r="C1144" i="1"/>
  <c r="C1156" i="1"/>
  <c r="C1168" i="1"/>
  <c r="C1180" i="1"/>
  <c r="C1192" i="1"/>
  <c r="C1204" i="1"/>
  <c r="C1216" i="1"/>
  <c r="C1228" i="1"/>
  <c r="C1240" i="1"/>
  <c r="C1252" i="1"/>
  <c r="C1264" i="1"/>
  <c r="C1276" i="1"/>
  <c r="C1288" i="1"/>
  <c r="C1300" i="1"/>
  <c r="C1312" i="1"/>
  <c r="C1324" i="1"/>
  <c r="C1336" i="1"/>
  <c r="C1348" i="1"/>
  <c r="C1360" i="1"/>
  <c r="C1372" i="1"/>
  <c r="C1384" i="1"/>
  <c r="C1396" i="1"/>
  <c r="C1408" i="1"/>
  <c r="C1420" i="1"/>
  <c r="C1432" i="1"/>
  <c r="C1444" i="1"/>
  <c r="C1456" i="1"/>
  <c r="C1468" i="1"/>
  <c r="C1480" i="1"/>
  <c r="C1492" i="1"/>
  <c r="C1504" i="1"/>
  <c r="C1516" i="1"/>
  <c r="C1528" i="1"/>
  <c r="C1540" i="1"/>
  <c r="C1552" i="1"/>
  <c r="C1564" i="1"/>
  <c r="C1576" i="1"/>
  <c r="C1588" i="1"/>
  <c r="C1600" i="1"/>
  <c r="C1612" i="1"/>
  <c r="C1624" i="1"/>
  <c r="C1636" i="1"/>
  <c r="C19" i="1"/>
  <c r="E19" i="1" s="1"/>
  <c r="C33" i="1"/>
  <c r="E33" i="1" s="1"/>
  <c r="C47" i="1"/>
  <c r="E47" i="1" s="1"/>
  <c r="H47" i="1" s="1"/>
  <c r="C62" i="1"/>
  <c r="E62" i="1" s="1"/>
  <c r="C76" i="1"/>
  <c r="E76" i="1" s="1"/>
  <c r="C91" i="1"/>
  <c r="E91" i="1" s="1"/>
  <c r="C105" i="1"/>
  <c r="C119" i="1"/>
  <c r="C134" i="1"/>
  <c r="C148" i="1"/>
  <c r="C161" i="1"/>
  <c r="C173" i="1"/>
  <c r="C185" i="1"/>
  <c r="C197" i="1"/>
  <c r="C209" i="1"/>
  <c r="C221" i="1"/>
  <c r="C233" i="1"/>
  <c r="C245" i="1"/>
  <c r="C257" i="1"/>
  <c r="C269" i="1"/>
  <c r="C281" i="1"/>
  <c r="C293" i="1"/>
  <c r="C305" i="1"/>
  <c r="C317" i="1"/>
  <c r="C329" i="1"/>
  <c r="C341" i="1"/>
  <c r="C353" i="1"/>
  <c r="C365" i="1"/>
  <c r="C377" i="1"/>
  <c r="C389" i="1"/>
  <c r="C401" i="1"/>
  <c r="C413" i="1"/>
  <c r="C425" i="1"/>
  <c r="C437" i="1"/>
  <c r="C449" i="1"/>
  <c r="C461" i="1"/>
  <c r="C473" i="1"/>
  <c r="C485" i="1"/>
  <c r="C497" i="1"/>
  <c r="C509" i="1"/>
  <c r="C521" i="1"/>
  <c r="C533" i="1"/>
  <c r="C545" i="1"/>
  <c r="C557" i="1"/>
  <c r="C569" i="1"/>
  <c r="C581" i="1"/>
  <c r="C593" i="1"/>
  <c r="C605" i="1"/>
  <c r="C617" i="1"/>
  <c r="C629" i="1"/>
  <c r="C641" i="1"/>
  <c r="C653" i="1"/>
  <c r="C665" i="1"/>
  <c r="C677" i="1"/>
  <c r="C689" i="1"/>
  <c r="C701" i="1"/>
  <c r="C713" i="1"/>
  <c r="C725" i="1"/>
  <c r="C737" i="1"/>
  <c r="C749" i="1"/>
  <c r="C761" i="1"/>
  <c r="C773" i="1"/>
  <c r="C785" i="1"/>
  <c r="C797" i="1"/>
  <c r="C809" i="1"/>
  <c r="C821" i="1"/>
  <c r="C833" i="1"/>
  <c r="C845" i="1"/>
  <c r="C857" i="1"/>
  <c r="C869" i="1"/>
  <c r="C881" i="1"/>
  <c r="C893" i="1"/>
  <c r="C905" i="1"/>
  <c r="C917" i="1"/>
  <c r="C929" i="1"/>
  <c r="C941" i="1"/>
  <c r="C953" i="1"/>
  <c r="C965" i="1"/>
  <c r="C977" i="1"/>
  <c r="C989" i="1"/>
  <c r="C1001" i="1"/>
  <c r="C1013" i="1"/>
  <c r="C1025" i="1"/>
  <c r="C1037" i="1"/>
  <c r="C1049" i="1"/>
  <c r="C1061" i="1"/>
  <c r="C1073" i="1"/>
  <c r="C1085" i="1"/>
  <c r="C1097" i="1"/>
  <c r="C1109" i="1"/>
  <c r="C1121" i="1"/>
  <c r="C1133" i="1"/>
  <c r="C1145" i="1"/>
  <c r="C1157" i="1"/>
  <c r="C1169" i="1"/>
  <c r="C1181" i="1"/>
  <c r="C1193" i="1"/>
  <c r="C1205" i="1"/>
  <c r="C1217" i="1"/>
  <c r="C1229" i="1"/>
  <c r="C1241" i="1"/>
  <c r="C1253" i="1"/>
  <c r="C1265" i="1"/>
  <c r="C1277" i="1"/>
  <c r="C1289" i="1"/>
  <c r="C1301" i="1"/>
  <c r="C1313" i="1"/>
  <c r="C1325" i="1"/>
  <c r="C1337" i="1"/>
  <c r="C1349" i="1"/>
  <c r="C1361" i="1"/>
  <c r="C1373" i="1"/>
  <c r="C1385" i="1"/>
  <c r="C1397" i="1"/>
  <c r="C1409" i="1"/>
  <c r="C1421" i="1"/>
  <c r="C1433" i="1"/>
  <c r="C1445" i="1"/>
  <c r="C1457" i="1"/>
  <c r="C1469" i="1"/>
  <c r="C1481" i="1"/>
  <c r="C1493" i="1"/>
  <c r="C1505" i="1"/>
  <c r="C1517" i="1"/>
  <c r="C1529" i="1"/>
  <c r="C1541" i="1"/>
  <c r="C1553" i="1"/>
  <c r="C1565" i="1"/>
  <c r="C1577" i="1"/>
  <c r="C1589" i="1"/>
  <c r="C1601" i="1"/>
  <c r="C1613" i="1"/>
  <c r="C1625" i="1"/>
  <c r="C1637" i="1"/>
  <c r="C20" i="1"/>
  <c r="E20" i="1" s="1"/>
  <c r="C34" i="1"/>
  <c r="E34" i="1" s="1"/>
  <c r="C49" i="1"/>
  <c r="E49" i="1" s="1"/>
  <c r="C63" i="1"/>
  <c r="E63" i="1" s="1"/>
  <c r="C77" i="1"/>
  <c r="E77" i="1" s="1"/>
  <c r="C92" i="1"/>
  <c r="E92" i="1" s="1"/>
  <c r="C106" i="1"/>
  <c r="C121" i="1"/>
  <c r="C135" i="1"/>
  <c r="C149" i="1"/>
  <c r="C162" i="1"/>
  <c r="C174" i="1"/>
  <c r="C186" i="1"/>
  <c r="C198" i="1"/>
  <c r="C210" i="1"/>
  <c r="C222" i="1"/>
  <c r="C234" i="1"/>
  <c r="C246" i="1"/>
  <c r="C258" i="1"/>
  <c r="C270" i="1"/>
  <c r="C282" i="1"/>
  <c r="C294" i="1"/>
  <c r="C306" i="1"/>
  <c r="C318" i="1"/>
  <c r="C330" i="1"/>
  <c r="C342" i="1"/>
  <c r="C354" i="1"/>
  <c r="C366" i="1"/>
  <c r="C378" i="1"/>
  <c r="C390" i="1"/>
  <c r="C402" i="1"/>
  <c r="C414" i="1"/>
  <c r="C426" i="1"/>
  <c r="C438" i="1"/>
  <c r="C450" i="1"/>
  <c r="C462" i="1"/>
  <c r="C474" i="1"/>
  <c r="C486" i="1"/>
  <c r="C498" i="1"/>
  <c r="C510" i="1"/>
  <c r="C522" i="1"/>
  <c r="C534" i="1"/>
  <c r="C546" i="1"/>
  <c r="C558" i="1"/>
  <c r="C570" i="1"/>
  <c r="C582" i="1"/>
  <c r="C594" i="1"/>
  <c r="C606" i="1"/>
  <c r="C618" i="1"/>
  <c r="C630" i="1"/>
  <c r="C642" i="1"/>
  <c r="C654" i="1"/>
  <c r="C666" i="1"/>
  <c r="C678" i="1"/>
  <c r="C690" i="1"/>
  <c r="C702" i="1"/>
  <c r="C714" i="1"/>
  <c r="C726" i="1"/>
  <c r="C738" i="1"/>
  <c r="C750" i="1"/>
  <c r="C762" i="1"/>
  <c r="C774" i="1"/>
  <c r="C786" i="1"/>
  <c r="C798" i="1"/>
  <c r="C810" i="1"/>
  <c r="C822" i="1"/>
  <c r="C834" i="1"/>
  <c r="C846" i="1"/>
  <c r="C858" i="1"/>
  <c r="C870" i="1"/>
  <c r="C882" i="1"/>
  <c r="C894" i="1"/>
  <c r="C906" i="1"/>
  <c r="C918" i="1"/>
  <c r="C930" i="1"/>
  <c r="C942" i="1"/>
  <c r="C954" i="1"/>
  <c r="C966" i="1"/>
  <c r="C978" i="1"/>
  <c r="C990" i="1"/>
  <c r="C1002" i="1"/>
  <c r="C1014" i="1"/>
  <c r="C1026" i="1"/>
  <c r="C1038" i="1"/>
  <c r="C1050" i="1"/>
  <c r="C1062" i="1"/>
  <c r="C1074" i="1"/>
  <c r="C1086" i="1"/>
  <c r="C1098" i="1"/>
  <c r="C1110" i="1"/>
  <c r="C1122" i="1"/>
  <c r="C1134" i="1"/>
  <c r="C1146" i="1"/>
  <c r="C1158" i="1"/>
  <c r="C1170" i="1"/>
  <c r="C1182" i="1"/>
  <c r="C1194" i="1"/>
  <c r="C1206" i="1"/>
  <c r="C1218" i="1"/>
  <c r="C1230" i="1"/>
  <c r="C1242" i="1"/>
  <c r="C1254" i="1"/>
  <c r="C1266" i="1"/>
  <c r="C1278" i="1"/>
  <c r="C1290" i="1"/>
  <c r="C1302" i="1"/>
  <c r="C1314" i="1"/>
  <c r="C1326" i="1"/>
  <c r="C1338" i="1"/>
  <c r="C1350" i="1"/>
  <c r="C1362" i="1"/>
  <c r="C1374" i="1"/>
  <c r="C1386" i="1"/>
  <c r="C1398" i="1"/>
  <c r="C1410" i="1"/>
  <c r="C1422" i="1"/>
  <c r="C1434" i="1"/>
  <c r="C1446" i="1"/>
  <c r="C1458" i="1"/>
  <c r="C1470" i="1"/>
  <c r="C1482" i="1"/>
  <c r="C1494" i="1"/>
  <c r="C1506" i="1"/>
  <c r="C1518" i="1"/>
  <c r="C1530" i="1"/>
  <c r="C1542" i="1"/>
  <c r="C1554" i="1"/>
  <c r="C1566" i="1"/>
  <c r="C1578" i="1"/>
  <c r="C1590" i="1"/>
  <c r="C1602" i="1"/>
  <c r="C1614" i="1"/>
  <c r="C1626" i="1"/>
  <c r="C1638" i="1"/>
  <c r="C21" i="1"/>
  <c r="E21" i="1" s="1"/>
  <c r="C35" i="1"/>
  <c r="E35" i="1" s="1"/>
  <c r="C50" i="1"/>
  <c r="E50" i="1" s="1"/>
  <c r="C64" i="1"/>
  <c r="E64" i="1" s="1"/>
  <c r="C79" i="1"/>
  <c r="E79" i="1" s="1"/>
  <c r="C93" i="1"/>
  <c r="E93" i="1" s="1"/>
  <c r="C107" i="1"/>
  <c r="C122" i="1"/>
  <c r="C136" i="1"/>
  <c r="C151" i="1"/>
  <c r="C163" i="1"/>
  <c r="C175" i="1"/>
  <c r="C187" i="1"/>
  <c r="C199" i="1"/>
  <c r="C211" i="1"/>
  <c r="C223" i="1"/>
  <c r="C235" i="1"/>
  <c r="C247" i="1"/>
  <c r="C259" i="1"/>
  <c r="C271" i="1"/>
  <c r="C283" i="1"/>
  <c r="C295" i="1"/>
  <c r="C307" i="1"/>
  <c r="C319" i="1"/>
  <c r="C331" i="1"/>
  <c r="C343" i="1"/>
  <c r="C355" i="1"/>
  <c r="C367" i="1"/>
  <c r="C379" i="1"/>
  <c r="C391" i="1"/>
  <c r="C403" i="1"/>
  <c r="C415" i="1"/>
  <c r="C427" i="1"/>
  <c r="C439" i="1"/>
  <c r="C451" i="1"/>
  <c r="C463" i="1"/>
  <c r="C475" i="1"/>
  <c r="C487" i="1"/>
  <c r="C499" i="1"/>
  <c r="C511" i="1"/>
  <c r="C523" i="1"/>
  <c r="C535" i="1"/>
  <c r="C547" i="1"/>
  <c r="C559" i="1"/>
  <c r="C571" i="1"/>
  <c r="C583" i="1"/>
  <c r="C595" i="1"/>
  <c r="C607" i="1"/>
  <c r="C619" i="1"/>
  <c r="C631" i="1"/>
  <c r="C643" i="1"/>
  <c r="C655" i="1"/>
  <c r="C667" i="1"/>
  <c r="C679" i="1"/>
  <c r="C691" i="1"/>
  <c r="C703" i="1"/>
  <c r="C715" i="1"/>
  <c r="C727" i="1"/>
  <c r="C739" i="1"/>
  <c r="C751" i="1"/>
  <c r="C763" i="1"/>
  <c r="C775" i="1"/>
  <c r="C787" i="1"/>
  <c r="C799" i="1"/>
  <c r="C811" i="1"/>
  <c r="C823" i="1"/>
  <c r="C835" i="1"/>
  <c r="C847" i="1"/>
  <c r="C859" i="1"/>
  <c r="C871" i="1"/>
  <c r="C883" i="1"/>
  <c r="C895" i="1"/>
  <c r="C907" i="1"/>
  <c r="C919" i="1"/>
  <c r="C931" i="1"/>
  <c r="C943" i="1"/>
  <c r="C955" i="1"/>
  <c r="C967" i="1"/>
  <c r="C979" i="1"/>
  <c r="C991" i="1"/>
  <c r="C1003" i="1"/>
  <c r="C1015" i="1"/>
  <c r="C1027" i="1"/>
  <c r="C1039" i="1"/>
  <c r="C1051" i="1"/>
  <c r="C1063" i="1"/>
  <c r="C1075" i="1"/>
  <c r="C1087" i="1"/>
  <c r="C1099" i="1"/>
  <c r="C1111" i="1"/>
  <c r="C1123" i="1"/>
  <c r="C1135" i="1"/>
  <c r="C1147" i="1"/>
  <c r="C1159" i="1"/>
  <c r="C1171" i="1"/>
  <c r="C1183" i="1"/>
  <c r="C1195" i="1"/>
  <c r="C1207" i="1"/>
  <c r="C1219" i="1"/>
  <c r="C1231" i="1"/>
  <c r="C1243" i="1"/>
  <c r="C1255" i="1"/>
  <c r="C1267" i="1"/>
  <c r="C1279" i="1"/>
  <c r="C1291" i="1"/>
  <c r="C1303" i="1"/>
  <c r="C1315" i="1"/>
  <c r="C1327" i="1"/>
  <c r="C1339" i="1"/>
  <c r="C1351" i="1"/>
  <c r="C1363" i="1"/>
  <c r="C1375" i="1"/>
  <c r="C1387" i="1"/>
  <c r="C1399" i="1"/>
  <c r="C1411" i="1"/>
  <c r="C1423" i="1"/>
  <c r="C1435" i="1"/>
  <c r="C1447" i="1"/>
  <c r="C1459" i="1"/>
  <c r="C1471" i="1"/>
  <c r="C22" i="1"/>
  <c r="E22" i="1" s="1"/>
  <c r="C37" i="1"/>
  <c r="E37" i="1" s="1"/>
  <c r="C51" i="1"/>
  <c r="E51" i="1" s="1"/>
  <c r="C65" i="1"/>
  <c r="E65" i="1" s="1"/>
  <c r="C80" i="1"/>
  <c r="E80" i="1" s="1"/>
  <c r="C94" i="1"/>
  <c r="E94" i="1" s="1"/>
  <c r="C109" i="1"/>
  <c r="C123" i="1"/>
  <c r="C137" i="1"/>
  <c r="C152" i="1"/>
  <c r="C164" i="1"/>
  <c r="C176" i="1"/>
  <c r="C188" i="1"/>
  <c r="C200" i="1"/>
  <c r="C212" i="1"/>
  <c r="C224" i="1"/>
  <c r="C236" i="1"/>
  <c r="C248" i="1"/>
  <c r="C260" i="1"/>
  <c r="C272" i="1"/>
  <c r="C284" i="1"/>
  <c r="C296" i="1"/>
  <c r="C308" i="1"/>
  <c r="C320" i="1"/>
  <c r="C332" i="1"/>
  <c r="C344" i="1"/>
  <c r="C356" i="1"/>
  <c r="C368" i="1"/>
  <c r="C380" i="1"/>
  <c r="C392" i="1"/>
  <c r="C404" i="1"/>
  <c r="C416" i="1"/>
  <c r="C428" i="1"/>
  <c r="C440" i="1"/>
  <c r="C452" i="1"/>
  <c r="C464" i="1"/>
  <c r="C476" i="1"/>
  <c r="C488" i="1"/>
  <c r="C500" i="1"/>
  <c r="C512" i="1"/>
  <c r="C524" i="1"/>
  <c r="C536" i="1"/>
  <c r="C548" i="1"/>
  <c r="C560" i="1"/>
  <c r="C572" i="1"/>
  <c r="C584" i="1"/>
  <c r="C596" i="1"/>
  <c r="C608" i="1"/>
  <c r="C620" i="1"/>
  <c r="C632" i="1"/>
  <c r="C644" i="1"/>
  <c r="C656" i="1"/>
  <c r="C668" i="1"/>
  <c r="C680" i="1"/>
  <c r="C692" i="1"/>
  <c r="C704" i="1"/>
  <c r="C716" i="1"/>
  <c r="C728" i="1"/>
  <c r="C740" i="1"/>
  <c r="C752" i="1"/>
  <c r="C764" i="1"/>
  <c r="C776" i="1"/>
  <c r="C788" i="1"/>
  <c r="C800" i="1"/>
  <c r="C812" i="1"/>
  <c r="C824" i="1"/>
  <c r="C836" i="1"/>
  <c r="C848" i="1"/>
  <c r="C860" i="1"/>
  <c r="C872" i="1"/>
  <c r="C884" i="1"/>
  <c r="C896" i="1"/>
  <c r="C908" i="1"/>
  <c r="C920" i="1"/>
  <c r="C23" i="1"/>
  <c r="E23" i="1" s="1"/>
  <c r="C38" i="1"/>
  <c r="E38" i="1" s="1"/>
  <c r="C52" i="1"/>
  <c r="E52" i="1" s="1"/>
  <c r="C67" i="1"/>
  <c r="E67" i="1" s="1"/>
  <c r="C81" i="1"/>
  <c r="E81" i="1" s="1"/>
  <c r="C95" i="1"/>
  <c r="E95" i="1" s="1"/>
  <c r="C110" i="1"/>
  <c r="C124" i="1"/>
  <c r="C139" i="1"/>
  <c r="C153" i="1"/>
  <c r="C165" i="1"/>
  <c r="C177" i="1"/>
  <c r="C189" i="1"/>
  <c r="C201" i="1"/>
  <c r="C213" i="1"/>
  <c r="C225" i="1"/>
  <c r="C237" i="1"/>
  <c r="C249" i="1"/>
  <c r="C261" i="1"/>
  <c r="C273" i="1"/>
  <c r="C285" i="1"/>
  <c r="C297" i="1"/>
  <c r="C309" i="1"/>
  <c r="C321" i="1"/>
  <c r="C333" i="1"/>
  <c r="C345" i="1"/>
  <c r="C357" i="1"/>
  <c r="C369" i="1"/>
  <c r="C381" i="1"/>
  <c r="C393" i="1"/>
  <c r="C405" i="1"/>
  <c r="C417" i="1"/>
  <c r="C429" i="1"/>
  <c r="C441" i="1"/>
  <c r="C453" i="1"/>
  <c r="C465" i="1"/>
  <c r="C477" i="1"/>
  <c r="C489" i="1"/>
  <c r="C501" i="1"/>
  <c r="C513" i="1"/>
  <c r="C525" i="1"/>
  <c r="C537" i="1"/>
  <c r="C549" i="1"/>
  <c r="C561" i="1"/>
  <c r="C573" i="1"/>
  <c r="C585" i="1"/>
  <c r="C597" i="1"/>
  <c r="C609" i="1"/>
  <c r="C621" i="1"/>
  <c r="C633" i="1"/>
  <c r="C645" i="1"/>
  <c r="C657" i="1"/>
  <c r="C669" i="1"/>
  <c r="C681" i="1"/>
  <c r="C693" i="1"/>
  <c r="C705" i="1"/>
  <c r="C717" i="1"/>
  <c r="C729" i="1"/>
  <c r="C741" i="1"/>
  <c r="C753" i="1"/>
  <c r="C765" i="1"/>
  <c r="C777" i="1"/>
  <c r="C789" i="1"/>
  <c r="C801" i="1"/>
  <c r="C813" i="1"/>
  <c r="C825" i="1"/>
  <c r="C837" i="1"/>
  <c r="C849" i="1"/>
  <c r="C861" i="1"/>
  <c r="C873" i="1"/>
  <c r="C885" i="1"/>
  <c r="C897" i="1"/>
  <c r="C909" i="1"/>
  <c r="C921" i="1"/>
  <c r="C933" i="1"/>
  <c r="C945" i="1"/>
  <c r="C957" i="1"/>
  <c r="C969" i="1"/>
  <c r="C981" i="1"/>
  <c r="C993" i="1"/>
  <c r="C1005" i="1"/>
  <c r="C1017" i="1"/>
  <c r="C1029" i="1"/>
  <c r="C1041" i="1"/>
  <c r="C1053" i="1"/>
  <c r="C1065" i="1"/>
  <c r="C1077" i="1"/>
  <c r="C1089" i="1"/>
  <c r="C1101" i="1"/>
  <c r="C1113" i="1"/>
  <c r="C1125" i="1"/>
  <c r="C1137" i="1"/>
  <c r="C1149" i="1"/>
  <c r="C1161" i="1"/>
  <c r="C1173" i="1"/>
  <c r="C1185" i="1"/>
  <c r="C1197" i="1"/>
  <c r="C1209" i="1"/>
  <c r="C1221" i="1"/>
  <c r="C1233" i="1"/>
  <c r="C1245" i="1"/>
  <c r="C1257" i="1"/>
  <c r="C1269" i="1"/>
  <c r="C1281" i="1"/>
  <c r="C1293" i="1"/>
  <c r="C1305" i="1"/>
  <c r="C1317" i="1"/>
  <c r="C1329" i="1"/>
  <c r="C1341" i="1"/>
  <c r="C1353" i="1"/>
  <c r="C1365" i="1"/>
  <c r="C1377" i="1"/>
  <c r="C1389" i="1"/>
  <c r="C1401" i="1"/>
  <c r="C1413" i="1"/>
  <c r="C1425" i="1"/>
  <c r="C1437" i="1"/>
  <c r="C1449" i="1"/>
  <c r="C1461" i="1"/>
  <c r="C1473" i="1"/>
  <c r="C1485" i="1"/>
  <c r="C1497" i="1"/>
  <c r="C11" i="1"/>
  <c r="E11" i="1" s="1"/>
  <c r="C26" i="1"/>
  <c r="E26" i="1" s="1"/>
  <c r="C40" i="1"/>
  <c r="E40" i="1" s="1"/>
  <c r="C55" i="1"/>
  <c r="E55" i="1" s="1"/>
  <c r="C69" i="1"/>
  <c r="E69" i="1" s="1"/>
  <c r="C83" i="1"/>
  <c r="E83" i="1" s="1"/>
  <c r="C98" i="1"/>
  <c r="C112" i="1"/>
  <c r="C127" i="1"/>
  <c r="C141" i="1"/>
  <c r="C155" i="1"/>
  <c r="C167" i="1"/>
  <c r="C179" i="1"/>
  <c r="C191" i="1"/>
  <c r="C203" i="1"/>
  <c r="C215" i="1"/>
  <c r="C227" i="1"/>
  <c r="C239" i="1"/>
  <c r="C251" i="1"/>
  <c r="C263" i="1"/>
  <c r="C275" i="1"/>
  <c r="C287" i="1"/>
  <c r="C299" i="1"/>
  <c r="C311" i="1"/>
  <c r="C323" i="1"/>
  <c r="C335" i="1"/>
  <c r="C347" i="1"/>
  <c r="C359" i="1"/>
  <c r="C371" i="1"/>
  <c r="C383" i="1"/>
  <c r="C395" i="1"/>
  <c r="C407" i="1"/>
  <c r="C419" i="1"/>
  <c r="C431" i="1"/>
  <c r="C443" i="1"/>
  <c r="C455" i="1"/>
  <c r="C467" i="1"/>
  <c r="C479" i="1"/>
  <c r="C491" i="1"/>
  <c r="C503" i="1"/>
  <c r="C515" i="1"/>
  <c r="C527" i="1"/>
  <c r="C539" i="1"/>
  <c r="C551" i="1"/>
  <c r="C563" i="1"/>
  <c r="C575" i="1"/>
  <c r="C587" i="1"/>
  <c r="C599" i="1"/>
  <c r="C611" i="1"/>
  <c r="C623" i="1"/>
  <c r="C635" i="1"/>
  <c r="C647" i="1"/>
  <c r="C659" i="1"/>
  <c r="C671" i="1"/>
  <c r="C683" i="1"/>
  <c r="C695" i="1"/>
  <c r="C707" i="1"/>
  <c r="C719" i="1"/>
  <c r="C731" i="1"/>
  <c r="C743" i="1"/>
  <c r="C755" i="1"/>
  <c r="C767" i="1"/>
  <c r="C779" i="1"/>
  <c r="C791" i="1"/>
  <c r="C803" i="1"/>
  <c r="C815" i="1"/>
  <c r="C827" i="1"/>
  <c r="C839" i="1"/>
  <c r="C851" i="1"/>
  <c r="C863" i="1"/>
  <c r="C875" i="1"/>
  <c r="C887" i="1"/>
  <c r="C899" i="1"/>
  <c r="C911" i="1"/>
  <c r="C923" i="1"/>
  <c r="C935" i="1"/>
  <c r="C947" i="1"/>
  <c r="C959" i="1"/>
  <c r="C971" i="1"/>
  <c r="C983" i="1"/>
  <c r="C995" i="1"/>
  <c r="C1007" i="1"/>
  <c r="C1019" i="1"/>
  <c r="C1031" i="1"/>
  <c r="C1043" i="1"/>
  <c r="C1055" i="1"/>
  <c r="C1067" i="1"/>
  <c r="C1079" i="1"/>
  <c r="C1091" i="1"/>
  <c r="C1103" i="1"/>
  <c r="C1115" i="1"/>
  <c r="C1127" i="1"/>
  <c r="C1139" i="1"/>
  <c r="C1151" i="1"/>
  <c r="C1163" i="1"/>
  <c r="C1175" i="1"/>
  <c r="C1187" i="1"/>
  <c r="C1199" i="1"/>
  <c r="C1211" i="1"/>
  <c r="C1223" i="1"/>
  <c r="C1235" i="1"/>
  <c r="C1247" i="1"/>
  <c r="C1259" i="1"/>
  <c r="C1271" i="1"/>
  <c r="C1283" i="1"/>
  <c r="C1295" i="1"/>
  <c r="C1307" i="1"/>
  <c r="C1319" i="1"/>
  <c r="C1331" i="1"/>
  <c r="C1343" i="1"/>
  <c r="C1355" i="1"/>
  <c r="C1367" i="1"/>
  <c r="C1379" i="1"/>
  <c r="C1391" i="1"/>
  <c r="C1403" i="1"/>
  <c r="C1415" i="1"/>
  <c r="C1427" i="1"/>
  <c r="C1439" i="1"/>
  <c r="C1451" i="1"/>
  <c r="C1463" i="1"/>
  <c r="C1475" i="1"/>
  <c r="C1487" i="1"/>
  <c r="C1499" i="1"/>
  <c r="C1511" i="1"/>
  <c r="C1523" i="1"/>
  <c r="C13" i="1"/>
  <c r="E13" i="1" s="1"/>
  <c r="C70" i="1"/>
  <c r="E70" i="1" s="1"/>
  <c r="C128" i="1"/>
  <c r="C180" i="1"/>
  <c r="C228" i="1"/>
  <c r="C276" i="1"/>
  <c r="C324" i="1"/>
  <c r="C372" i="1"/>
  <c r="C420" i="1"/>
  <c r="C468" i="1"/>
  <c r="C516" i="1"/>
  <c r="C564" i="1"/>
  <c r="C612" i="1"/>
  <c r="C660" i="1"/>
  <c r="C708" i="1"/>
  <c r="C756" i="1"/>
  <c r="C804" i="1"/>
  <c r="C852" i="1"/>
  <c r="C900" i="1"/>
  <c r="C944" i="1"/>
  <c r="C980" i="1"/>
  <c r="C1016" i="1"/>
  <c r="C1052" i="1"/>
  <c r="C1088" i="1"/>
  <c r="C1124" i="1"/>
  <c r="C1160" i="1"/>
  <c r="C1196" i="1"/>
  <c r="C1224" i="1"/>
  <c r="C1251" i="1"/>
  <c r="C1282" i="1"/>
  <c r="C1309" i="1"/>
  <c r="C1340" i="1"/>
  <c r="C1368" i="1"/>
  <c r="C1395" i="1"/>
  <c r="C1426" i="1"/>
  <c r="C1453" i="1"/>
  <c r="C1483" i="1"/>
  <c r="C1507" i="1"/>
  <c r="C1525" i="1"/>
  <c r="C1545" i="1"/>
  <c r="C1561" i="1"/>
  <c r="C1581" i="1"/>
  <c r="C1597" i="1"/>
  <c r="C1617" i="1"/>
  <c r="C1633" i="1"/>
  <c r="C1650" i="1"/>
  <c r="C1662" i="1"/>
  <c r="C1674" i="1"/>
  <c r="C1686" i="1"/>
  <c r="C1698" i="1"/>
  <c r="C1710" i="1"/>
  <c r="C1722" i="1"/>
  <c r="C1734" i="1"/>
  <c r="C1746" i="1"/>
  <c r="C1758" i="1"/>
  <c r="C1770" i="1"/>
  <c r="C1782" i="1"/>
  <c r="C1794" i="1"/>
  <c r="C1806" i="1"/>
  <c r="C1818" i="1"/>
  <c r="C1830" i="1"/>
  <c r="C1842" i="1"/>
  <c r="C1854" i="1"/>
  <c r="C1866" i="1"/>
  <c r="C1878" i="1"/>
  <c r="C1890" i="1"/>
  <c r="C1902" i="1"/>
  <c r="C1914" i="1"/>
  <c r="C1926" i="1"/>
  <c r="C1938" i="1"/>
  <c r="C1950" i="1"/>
  <c r="C1962" i="1"/>
  <c r="C1974" i="1"/>
  <c r="C1986" i="1"/>
  <c r="C1998" i="1"/>
  <c r="C2010" i="1"/>
  <c r="C2022" i="1"/>
  <c r="C2034" i="1"/>
  <c r="C2046" i="1"/>
  <c r="C2058" i="1"/>
  <c r="C2070" i="1"/>
  <c r="C2082" i="1"/>
  <c r="C2094" i="1"/>
  <c r="C2106" i="1"/>
  <c r="C2118" i="1"/>
  <c r="C2130" i="1"/>
  <c r="C2142" i="1"/>
  <c r="C14" i="1"/>
  <c r="E14" i="1" s="1"/>
  <c r="C71" i="1"/>
  <c r="E71" i="1" s="1"/>
  <c r="C129" i="1"/>
  <c r="C181" i="1"/>
  <c r="C229" i="1"/>
  <c r="C277" i="1"/>
  <c r="C325" i="1"/>
  <c r="C373" i="1"/>
  <c r="C421" i="1"/>
  <c r="C469" i="1"/>
  <c r="C517" i="1"/>
  <c r="C565" i="1"/>
  <c r="C613" i="1"/>
  <c r="C661" i="1"/>
  <c r="C709" i="1"/>
  <c r="C757" i="1"/>
  <c r="C805" i="1"/>
  <c r="C853" i="1"/>
  <c r="C901" i="1"/>
  <c r="C946" i="1"/>
  <c r="C982" i="1"/>
  <c r="C1018" i="1"/>
  <c r="C1054" i="1"/>
  <c r="C1090" i="1"/>
  <c r="C1126" i="1"/>
  <c r="C1162" i="1"/>
  <c r="C1198" i="1"/>
  <c r="C1225" i="1"/>
  <c r="C1256" i="1"/>
  <c r="C1284" i="1"/>
  <c r="C1311" i="1"/>
  <c r="C1342" i="1"/>
  <c r="C1369" i="1"/>
  <c r="C1400" i="1"/>
  <c r="C1428" i="1"/>
  <c r="C1455" i="1"/>
  <c r="C1484" i="1"/>
  <c r="C1508" i="1"/>
  <c r="C1527" i="1"/>
  <c r="C1546" i="1"/>
  <c r="C1563" i="1"/>
  <c r="C1582" i="1"/>
  <c r="C1599" i="1"/>
  <c r="C1618" i="1"/>
  <c r="C1635" i="1"/>
  <c r="C1651" i="1"/>
  <c r="C1663" i="1"/>
  <c r="C1675" i="1"/>
  <c r="C1687" i="1"/>
  <c r="C1699" i="1"/>
  <c r="C1711" i="1"/>
  <c r="C1723" i="1"/>
  <c r="C1735" i="1"/>
  <c r="C1747" i="1"/>
  <c r="C1759" i="1"/>
  <c r="C1771" i="1"/>
  <c r="C1783" i="1"/>
  <c r="C1795" i="1"/>
  <c r="C1807" i="1"/>
  <c r="C1819" i="1"/>
  <c r="C1831" i="1"/>
  <c r="C1843" i="1"/>
  <c r="C1855" i="1"/>
  <c r="C1867" i="1"/>
  <c r="C1879" i="1"/>
  <c r="C1891" i="1"/>
  <c r="C1903" i="1"/>
  <c r="C1915" i="1"/>
  <c r="C1927" i="1"/>
  <c r="C1939" i="1"/>
  <c r="C1951" i="1"/>
  <c r="C1963" i="1"/>
  <c r="C1975" i="1"/>
  <c r="C1987" i="1"/>
  <c r="C1999" i="1"/>
  <c r="C2011" i="1"/>
  <c r="C2023" i="1"/>
  <c r="C2035" i="1"/>
  <c r="C2047" i="1"/>
  <c r="C2059" i="1"/>
  <c r="C2071" i="1"/>
  <c r="C2083" i="1"/>
  <c r="C2095" i="1"/>
  <c r="C2107" i="1"/>
  <c r="C2119" i="1"/>
  <c r="C2131" i="1"/>
  <c r="C2143" i="1"/>
  <c r="C25" i="1"/>
  <c r="E25" i="1" s="1"/>
  <c r="C82" i="1"/>
  <c r="E82" i="1" s="1"/>
  <c r="C140" i="1"/>
  <c r="C190" i="1"/>
  <c r="C238" i="1"/>
  <c r="C286" i="1"/>
  <c r="C334" i="1"/>
  <c r="C382" i="1"/>
  <c r="C430" i="1"/>
  <c r="C478" i="1"/>
  <c r="C526" i="1"/>
  <c r="C574" i="1"/>
  <c r="C622" i="1"/>
  <c r="C670" i="1"/>
  <c r="C718" i="1"/>
  <c r="C766" i="1"/>
  <c r="C814" i="1"/>
  <c r="C862" i="1"/>
  <c r="C910" i="1"/>
  <c r="C948" i="1"/>
  <c r="C984" i="1"/>
  <c r="C1020" i="1"/>
  <c r="C1056" i="1"/>
  <c r="C1092" i="1"/>
  <c r="C1128" i="1"/>
  <c r="C1164" i="1"/>
  <c r="C1200" i="1"/>
  <c r="C1227" i="1"/>
  <c r="C1258" i="1"/>
  <c r="C1285" i="1"/>
  <c r="C1316" i="1"/>
  <c r="C1344" i="1"/>
  <c r="C1371" i="1"/>
  <c r="C1402" i="1"/>
  <c r="C1429" i="1"/>
  <c r="C1460" i="1"/>
  <c r="C1486" i="1"/>
  <c r="C1509" i="1"/>
  <c r="C1531" i="1"/>
  <c r="C1547" i="1"/>
  <c r="C1567" i="1"/>
  <c r="C1583" i="1"/>
  <c r="C1603" i="1"/>
  <c r="C1619" i="1"/>
  <c r="C1639" i="1"/>
  <c r="C1652" i="1"/>
  <c r="C1664" i="1"/>
  <c r="C1676" i="1"/>
  <c r="C1688" i="1"/>
  <c r="C1700" i="1"/>
  <c r="C1712" i="1"/>
  <c r="C1724" i="1"/>
  <c r="C1736" i="1"/>
  <c r="C1748" i="1"/>
  <c r="C1760" i="1"/>
  <c r="C1772" i="1"/>
  <c r="C1784" i="1"/>
  <c r="C1796" i="1"/>
  <c r="C1808" i="1"/>
  <c r="C1820" i="1"/>
  <c r="C1832" i="1"/>
  <c r="C1844" i="1"/>
  <c r="C1856" i="1"/>
  <c r="C1868" i="1"/>
  <c r="C1880" i="1"/>
  <c r="C1892" i="1"/>
  <c r="C1904" i="1"/>
  <c r="C1916" i="1"/>
  <c r="C1928" i="1"/>
  <c r="C1940" i="1"/>
  <c r="C1952" i="1"/>
  <c r="C1964" i="1"/>
  <c r="C1976" i="1"/>
  <c r="C1988" i="1"/>
  <c r="C2000" i="1"/>
  <c r="C2012" i="1"/>
  <c r="C2024" i="1"/>
  <c r="C2036" i="1"/>
  <c r="C2048" i="1"/>
  <c r="C2060" i="1"/>
  <c r="C2072" i="1"/>
  <c r="C2084" i="1"/>
  <c r="C2096" i="1"/>
  <c r="C2108" i="1"/>
  <c r="C2120" i="1"/>
  <c r="C2132" i="1"/>
  <c r="C2144" i="1"/>
  <c r="C27" i="1"/>
  <c r="E27" i="1" s="1"/>
  <c r="C85" i="1"/>
  <c r="E85" i="1" s="1"/>
  <c r="C142" i="1"/>
  <c r="C192" i="1"/>
  <c r="C240" i="1"/>
  <c r="C288" i="1"/>
  <c r="C336" i="1"/>
  <c r="C384" i="1"/>
  <c r="C432" i="1"/>
  <c r="C480" i="1"/>
  <c r="C528" i="1"/>
  <c r="C576" i="1"/>
  <c r="C624" i="1"/>
  <c r="C672" i="1"/>
  <c r="C720" i="1"/>
  <c r="C768" i="1"/>
  <c r="C816" i="1"/>
  <c r="C864" i="1"/>
  <c r="C912" i="1"/>
  <c r="C949" i="1"/>
  <c r="C985" i="1"/>
  <c r="C1021" i="1"/>
  <c r="C1057" i="1"/>
  <c r="C1093" i="1"/>
  <c r="C1129" i="1"/>
  <c r="C1165" i="1"/>
  <c r="C1201" i="1"/>
  <c r="C1232" i="1"/>
  <c r="C1260" i="1"/>
  <c r="C1287" i="1"/>
  <c r="C1318" i="1"/>
  <c r="C1345" i="1"/>
  <c r="C1376" i="1"/>
  <c r="C1404" i="1"/>
  <c r="C1431" i="1"/>
  <c r="C1462" i="1"/>
  <c r="C1488" i="1"/>
  <c r="C1510" i="1"/>
  <c r="C1532" i="1"/>
  <c r="C1548" i="1"/>
  <c r="C1568" i="1"/>
  <c r="C1584" i="1"/>
  <c r="C1604" i="1"/>
  <c r="C1620" i="1"/>
  <c r="C1640" i="1"/>
  <c r="C1653" i="1"/>
  <c r="C1665" i="1"/>
  <c r="C1677" i="1"/>
  <c r="C1689" i="1"/>
  <c r="C1701" i="1"/>
  <c r="C1713" i="1"/>
  <c r="C1725" i="1"/>
  <c r="C1737" i="1"/>
  <c r="C1749" i="1"/>
  <c r="C1761" i="1"/>
  <c r="C1773" i="1"/>
  <c r="C1785" i="1"/>
  <c r="C1797" i="1"/>
  <c r="C1809" i="1"/>
  <c r="C1821" i="1"/>
  <c r="C1833" i="1"/>
  <c r="C1845" i="1"/>
  <c r="C1857" i="1"/>
  <c r="C1869" i="1"/>
  <c r="C1881" i="1"/>
  <c r="C1893" i="1"/>
  <c r="C1905" i="1"/>
  <c r="C1917" i="1"/>
  <c r="C1929" i="1"/>
  <c r="C1941" i="1"/>
  <c r="C1953" i="1"/>
  <c r="C1965" i="1"/>
  <c r="C1977" i="1"/>
  <c r="C1989" i="1"/>
  <c r="C2001" i="1"/>
  <c r="C2013" i="1"/>
  <c r="C2025" i="1"/>
  <c r="C2037" i="1"/>
  <c r="C2049" i="1"/>
  <c r="C2061" i="1"/>
  <c r="C2073" i="1"/>
  <c r="C2085" i="1"/>
  <c r="C2097" i="1"/>
  <c r="C2109" i="1"/>
  <c r="C2121" i="1"/>
  <c r="C2133" i="1"/>
  <c r="C2145" i="1"/>
  <c r="C28" i="1"/>
  <c r="E28" i="1" s="1"/>
  <c r="C86" i="1"/>
  <c r="E86" i="1" s="1"/>
  <c r="C143" i="1"/>
  <c r="C193" i="1"/>
  <c r="C241" i="1"/>
  <c r="C289" i="1"/>
  <c r="C337" i="1"/>
  <c r="C385" i="1"/>
  <c r="C433" i="1"/>
  <c r="C481" i="1"/>
  <c r="C529" i="1"/>
  <c r="C577" i="1"/>
  <c r="C625" i="1"/>
  <c r="C673" i="1"/>
  <c r="C721" i="1"/>
  <c r="C769" i="1"/>
  <c r="C817" i="1"/>
  <c r="C865" i="1"/>
  <c r="C913" i="1"/>
  <c r="C956" i="1"/>
  <c r="C992" i="1"/>
  <c r="C1028" i="1"/>
  <c r="C1064" i="1"/>
  <c r="C1100" i="1"/>
  <c r="C1136" i="1"/>
  <c r="C1172" i="1"/>
  <c r="C1203" i="1"/>
  <c r="C1234" i="1"/>
  <c r="C1261" i="1"/>
  <c r="C1292" i="1"/>
  <c r="C1320" i="1"/>
  <c r="C1347" i="1"/>
  <c r="C1378" i="1"/>
  <c r="C1405" i="1"/>
  <c r="C1436" i="1"/>
  <c r="C1464" i="1"/>
  <c r="C1489" i="1"/>
  <c r="C1512" i="1"/>
  <c r="C1533" i="1"/>
  <c r="C1549" i="1"/>
  <c r="C1569" i="1"/>
  <c r="C1585" i="1"/>
  <c r="C1605" i="1"/>
  <c r="C1621" i="1"/>
  <c r="C1641" i="1"/>
  <c r="C1654" i="1"/>
  <c r="C1666" i="1"/>
  <c r="C1678" i="1"/>
  <c r="C1690" i="1"/>
  <c r="C1702" i="1"/>
  <c r="C1714" i="1"/>
  <c r="C1726" i="1"/>
  <c r="C1738" i="1"/>
  <c r="C1750" i="1"/>
  <c r="C1762" i="1"/>
  <c r="C1774" i="1"/>
  <c r="C1786" i="1"/>
  <c r="C1798" i="1"/>
  <c r="C1810" i="1"/>
  <c r="C1822" i="1"/>
  <c r="C1834" i="1"/>
  <c r="C1846" i="1"/>
  <c r="C1858" i="1"/>
  <c r="C1870" i="1"/>
  <c r="C1882" i="1"/>
  <c r="C1894" i="1"/>
  <c r="C1906" i="1"/>
  <c r="C1918" i="1"/>
  <c r="C1930" i="1"/>
  <c r="C1942" i="1"/>
  <c r="C1954" i="1"/>
  <c r="C1966" i="1"/>
  <c r="C1978" i="1"/>
  <c r="C1990" i="1"/>
  <c r="C2002" i="1"/>
  <c r="C2014" i="1"/>
  <c r="C2026" i="1"/>
  <c r="C2038" i="1"/>
  <c r="C2050" i="1"/>
  <c r="C2062" i="1"/>
  <c r="C2074" i="1"/>
  <c r="C2086" i="1"/>
  <c r="C2098" i="1"/>
  <c r="C2110" i="1"/>
  <c r="C2122" i="1"/>
  <c r="C2134" i="1"/>
  <c r="C2146" i="1"/>
  <c r="C39" i="1"/>
  <c r="E39" i="1" s="1"/>
  <c r="C97" i="1"/>
  <c r="C154" i="1"/>
  <c r="C202" i="1"/>
  <c r="C250" i="1"/>
  <c r="C298" i="1"/>
  <c r="C346" i="1"/>
  <c r="C394" i="1"/>
  <c r="C442" i="1"/>
  <c r="C490" i="1"/>
  <c r="C538" i="1"/>
  <c r="C586" i="1"/>
  <c r="C634" i="1"/>
  <c r="C682" i="1"/>
  <c r="C730" i="1"/>
  <c r="C778" i="1"/>
  <c r="C826" i="1"/>
  <c r="C874" i="1"/>
  <c r="C922" i="1"/>
  <c r="C958" i="1"/>
  <c r="C994" i="1"/>
  <c r="C1030" i="1"/>
  <c r="C1066" i="1"/>
  <c r="C1102" i="1"/>
  <c r="C1138" i="1"/>
  <c r="C1174" i="1"/>
  <c r="C1208" i="1"/>
  <c r="C1236" i="1"/>
  <c r="C1263" i="1"/>
  <c r="C1294" i="1"/>
  <c r="C1321" i="1"/>
  <c r="C1352" i="1"/>
  <c r="C1380" i="1"/>
  <c r="C1407" i="1"/>
  <c r="C1438" i="1"/>
  <c r="C1465" i="1"/>
  <c r="C1491" i="1"/>
  <c r="C1513" i="1"/>
  <c r="C1534" i="1"/>
  <c r="C1551" i="1"/>
  <c r="C1570" i="1"/>
  <c r="C1587" i="1"/>
  <c r="C1606" i="1"/>
  <c r="C1623" i="1"/>
  <c r="C1642" i="1"/>
  <c r="C1655" i="1"/>
  <c r="C1667" i="1"/>
  <c r="C1679" i="1"/>
  <c r="C1691" i="1"/>
  <c r="C1703" i="1"/>
  <c r="C1715" i="1"/>
  <c r="C1727" i="1"/>
  <c r="C1739" i="1"/>
  <c r="C1751" i="1"/>
  <c r="C1763" i="1"/>
  <c r="C1775" i="1"/>
  <c r="C1787" i="1"/>
  <c r="C1799" i="1"/>
  <c r="C1811" i="1"/>
  <c r="C1823" i="1"/>
  <c r="C1835" i="1"/>
  <c r="C1847" i="1"/>
  <c r="C1859" i="1"/>
  <c r="C1871" i="1"/>
  <c r="C1883" i="1"/>
  <c r="C1895" i="1"/>
  <c r="C1907" i="1"/>
  <c r="C1919" i="1"/>
  <c r="C1931" i="1"/>
  <c r="C1943" i="1"/>
  <c r="C1955" i="1"/>
  <c r="C1967" i="1"/>
  <c r="C1979" i="1"/>
  <c r="C1991" i="1"/>
  <c r="C2003" i="1"/>
  <c r="C2015" i="1"/>
  <c r="C2027" i="1"/>
  <c r="C2039" i="1"/>
  <c r="C2051" i="1"/>
  <c r="C2063" i="1"/>
  <c r="C2075" i="1"/>
  <c r="C2087" i="1"/>
  <c r="C2099" i="1"/>
  <c r="C2111" i="1"/>
  <c r="C2123" i="1"/>
  <c r="C2135" i="1"/>
  <c r="C2147" i="1"/>
  <c r="C41" i="1"/>
  <c r="E41" i="1" s="1"/>
  <c r="C99" i="1"/>
  <c r="C156" i="1"/>
  <c r="C204" i="1"/>
  <c r="C252" i="1"/>
  <c r="C300" i="1"/>
  <c r="C348" i="1"/>
  <c r="C396" i="1"/>
  <c r="C444" i="1"/>
  <c r="C492" i="1"/>
  <c r="C540" i="1"/>
  <c r="C588" i="1"/>
  <c r="C636" i="1"/>
  <c r="C684" i="1"/>
  <c r="C732" i="1"/>
  <c r="C780" i="1"/>
  <c r="C828" i="1"/>
  <c r="C876" i="1"/>
  <c r="C924" i="1"/>
  <c r="C960" i="1"/>
  <c r="C996" i="1"/>
  <c r="C1032" i="1"/>
  <c r="C1068" i="1"/>
  <c r="C1104" i="1"/>
  <c r="C1140" i="1"/>
  <c r="C1176" i="1"/>
  <c r="C1210" i="1"/>
  <c r="C1237" i="1"/>
  <c r="C1268" i="1"/>
  <c r="C1296" i="1"/>
  <c r="C1323" i="1"/>
  <c r="C1354" i="1"/>
  <c r="C1381" i="1"/>
  <c r="C1412" i="1"/>
  <c r="C1440" i="1"/>
  <c r="C1467" i="1"/>
  <c r="C1495" i="1"/>
  <c r="C1515" i="1"/>
  <c r="C1535" i="1"/>
  <c r="C1555" i="1"/>
  <c r="C1571" i="1"/>
  <c r="C1591" i="1"/>
  <c r="C1607" i="1"/>
  <c r="C1627" i="1"/>
  <c r="C1643" i="1"/>
  <c r="C1656" i="1"/>
  <c r="C1668" i="1"/>
  <c r="C1680" i="1"/>
  <c r="C1692" i="1"/>
  <c r="C1704" i="1"/>
  <c r="C1716" i="1"/>
  <c r="C1728" i="1"/>
  <c r="C1740" i="1"/>
  <c r="C1752" i="1"/>
  <c r="C1764" i="1"/>
  <c r="C1776" i="1"/>
  <c r="C1788" i="1"/>
  <c r="C1800" i="1"/>
  <c r="C1812" i="1"/>
  <c r="C1824" i="1"/>
  <c r="C1836" i="1"/>
  <c r="C1848" i="1"/>
  <c r="C1860" i="1"/>
  <c r="C1872" i="1"/>
  <c r="C1884" i="1"/>
  <c r="C1896" i="1"/>
  <c r="C1908" i="1"/>
  <c r="C1920" i="1"/>
  <c r="C1932" i="1"/>
  <c r="C1944" i="1"/>
  <c r="C1956" i="1"/>
  <c r="C1968" i="1"/>
  <c r="C1980" i="1"/>
  <c r="C1992" i="1"/>
  <c r="C2004" i="1"/>
  <c r="C2016" i="1"/>
  <c r="C2028" i="1"/>
  <c r="C2040" i="1"/>
  <c r="C2052" i="1"/>
  <c r="C2064" i="1"/>
  <c r="C2076" i="1"/>
  <c r="C2088" i="1"/>
  <c r="C2100" i="1"/>
  <c r="C2112" i="1"/>
  <c r="C2124" i="1"/>
  <c r="C2136" i="1"/>
  <c r="C2148" i="1"/>
  <c r="C43" i="1"/>
  <c r="E43" i="1" s="1"/>
  <c r="C100" i="1"/>
  <c r="C157" i="1"/>
  <c r="C205" i="1"/>
  <c r="C253" i="1"/>
  <c r="C301" i="1"/>
  <c r="C349" i="1"/>
  <c r="C397" i="1"/>
  <c r="C445" i="1"/>
  <c r="C493" i="1"/>
  <c r="C541" i="1"/>
  <c r="C589" i="1"/>
  <c r="C637" i="1"/>
  <c r="C685" i="1"/>
  <c r="C733" i="1"/>
  <c r="C781" i="1"/>
  <c r="C829" i="1"/>
  <c r="C877" i="1"/>
  <c r="C925" i="1"/>
  <c r="C961" i="1"/>
  <c r="C997" i="1"/>
  <c r="C1033" i="1"/>
  <c r="C1069" i="1"/>
  <c r="C1105" i="1"/>
  <c r="C1141" i="1"/>
  <c r="C1177" i="1"/>
  <c r="C1212" i="1"/>
  <c r="C1239" i="1"/>
  <c r="C1270" i="1"/>
  <c r="C1297" i="1"/>
  <c r="C1328" i="1"/>
  <c r="C1356" i="1"/>
  <c r="C1383" i="1"/>
  <c r="C1414" i="1"/>
  <c r="C1441" i="1"/>
  <c r="C1472" i="1"/>
  <c r="C1496" i="1"/>
  <c r="C1519" i="1"/>
  <c r="C1536" i="1"/>
  <c r="C1556" i="1"/>
  <c r="C1572" i="1"/>
  <c r="C1592" i="1"/>
  <c r="C1608" i="1"/>
  <c r="C1628" i="1"/>
  <c r="C1644" i="1"/>
  <c r="C1657" i="1"/>
  <c r="C1669" i="1"/>
  <c r="C1681" i="1"/>
  <c r="C1693" i="1"/>
  <c r="C1705" i="1"/>
  <c r="C1717" i="1"/>
  <c r="C1729" i="1"/>
  <c r="C1741" i="1"/>
  <c r="C1753" i="1"/>
  <c r="C1765" i="1"/>
  <c r="C1777" i="1"/>
  <c r="C1789" i="1"/>
  <c r="C1801" i="1"/>
  <c r="C1813" i="1"/>
  <c r="C1825" i="1"/>
  <c r="C1837" i="1"/>
  <c r="C1849" i="1"/>
  <c r="C1861" i="1"/>
  <c r="C1873" i="1"/>
  <c r="C1885" i="1"/>
  <c r="C1897" i="1"/>
  <c r="C1909" i="1"/>
  <c r="C1921" i="1"/>
  <c r="C1933" i="1"/>
  <c r="C1945" i="1"/>
  <c r="C1957" i="1"/>
  <c r="C1969" i="1"/>
  <c r="C1981" i="1"/>
  <c r="C1993" i="1"/>
  <c r="C2005" i="1"/>
  <c r="C2017" i="1"/>
  <c r="C2029" i="1"/>
  <c r="C2041" i="1"/>
  <c r="C2053" i="1"/>
  <c r="C2065" i="1"/>
  <c r="C2077" i="1"/>
  <c r="C2089" i="1"/>
  <c r="C2101" i="1"/>
  <c r="C2113" i="1"/>
  <c r="C2125" i="1"/>
  <c r="C2137" i="1"/>
  <c r="C9" i="1"/>
  <c r="E9" i="1" s="1"/>
  <c r="C169" i="1"/>
  <c r="C313" i="1"/>
  <c r="C457" i="1"/>
  <c r="C601" i="1"/>
  <c r="C745" i="1"/>
  <c r="C889" i="1"/>
  <c r="C1008" i="1"/>
  <c r="C1116" i="1"/>
  <c r="C1220" i="1"/>
  <c r="C1306" i="1"/>
  <c r="C1392" i="1"/>
  <c r="C1477" i="1"/>
  <c r="C1543" i="1"/>
  <c r="C1595" i="1"/>
  <c r="C1648" i="1"/>
  <c r="C1684" i="1"/>
  <c r="C1720" i="1"/>
  <c r="C1756" i="1"/>
  <c r="C1792" i="1"/>
  <c r="C1828" i="1"/>
  <c r="C1864" i="1"/>
  <c r="C1900" i="1"/>
  <c r="C1936" i="1"/>
  <c r="C1972" i="1"/>
  <c r="C2008" i="1"/>
  <c r="C2044" i="1"/>
  <c r="C2080" i="1"/>
  <c r="C2116" i="1"/>
  <c r="C10" i="1"/>
  <c r="E10" i="1" s="1"/>
  <c r="C178" i="1"/>
  <c r="C322" i="1"/>
  <c r="C466" i="1"/>
  <c r="C610" i="1"/>
  <c r="C754" i="1"/>
  <c r="C898" i="1"/>
  <c r="C1009" i="1"/>
  <c r="C1117" i="1"/>
  <c r="C1222" i="1"/>
  <c r="C1308" i="1"/>
  <c r="C1393" i="1"/>
  <c r="C1479" i="1"/>
  <c r="C1544" i="1"/>
  <c r="C1596" i="1"/>
  <c r="C1649" i="1"/>
  <c r="C1685" i="1"/>
  <c r="C1721" i="1"/>
  <c r="C1757" i="1"/>
  <c r="C1793" i="1"/>
  <c r="C1829" i="1"/>
  <c r="C1865" i="1"/>
  <c r="C1901" i="1"/>
  <c r="C1937" i="1"/>
  <c r="C1973" i="1"/>
  <c r="C2009" i="1"/>
  <c r="C2045" i="1"/>
  <c r="C2081" i="1"/>
  <c r="C2117" i="1"/>
  <c r="C53" i="1"/>
  <c r="E53" i="1" s="1"/>
  <c r="C214" i="1"/>
  <c r="C358" i="1"/>
  <c r="C502" i="1"/>
  <c r="C646" i="1"/>
  <c r="C790" i="1"/>
  <c r="C932" i="1"/>
  <c r="C1040" i="1"/>
  <c r="C1148" i="1"/>
  <c r="C1244" i="1"/>
  <c r="C1330" i="1"/>
  <c r="C1416" i="1"/>
  <c r="C1498" i="1"/>
  <c r="C1557" i="1"/>
  <c r="C1609" i="1"/>
  <c r="C1658" i="1"/>
  <c r="C1694" i="1"/>
  <c r="C1730" i="1"/>
  <c r="C1766" i="1"/>
  <c r="C1802" i="1"/>
  <c r="C1838" i="1"/>
  <c r="C1874" i="1"/>
  <c r="C1910" i="1"/>
  <c r="C1946" i="1"/>
  <c r="C1982" i="1"/>
  <c r="C2018" i="1"/>
  <c r="C2054" i="1"/>
  <c r="C2090" i="1"/>
  <c r="C2126" i="1"/>
  <c r="C56" i="1"/>
  <c r="E56" i="1" s="1"/>
  <c r="C216" i="1"/>
  <c r="C360" i="1"/>
  <c r="C504" i="1"/>
  <c r="C648" i="1"/>
  <c r="C792" i="1"/>
  <c r="C934" i="1"/>
  <c r="C1042" i="1"/>
  <c r="C1150" i="1"/>
  <c r="C1246" i="1"/>
  <c r="C1332" i="1"/>
  <c r="C1417" i="1"/>
  <c r="C1500" i="1"/>
  <c r="C1558" i="1"/>
  <c r="C1611" i="1"/>
  <c r="C1659" i="1"/>
  <c r="C1695" i="1"/>
  <c r="C1731" i="1"/>
  <c r="C1767" i="1"/>
  <c r="C1803" i="1"/>
  <c r="C1839" i="1"/>
  <c r="C1875" i="1"/>
  <c r="C1911" i="1"/>
  <c r="C1947" i="1"/>
  <c r="C1983" i="1"/>
  <c r="C2019" i="1"/>
  <c r="C2055" i="1"/>
  <c r="C2091" i="1"/>
  <c r="C2127" i="1"/>
  <c r="C57" i="1"/>
  <c r="E57" i="1" s="1"/>
  <c r="C217" i="1"/>
  <c r="C361" i="1"/>
  <c r="C505" i="1"/>
  <c r="C649" i="1"/>
  <c r="C793" i="1"/>
  <c r="C936" i="1"/>
  <c r="C1044" i="1"/>
  <c r="C1152" i="1"/>
  <c r="C1248" i="1"/>
  <c r="C1333" i="1"/>
  <c r="C1419" i="1"/>
  <c r="C1501" i="1"/>
  <c r="C1559" i="1"/>
  <c r="C1615" i="1"/>
  <c r="C1660" i="1"/>
  <c r="C1696" i="1"/>
  <c r="C1732" i="1"/>
  <c r="C1768" i="1"/>
  <c r="C1804" i="1"/>
  <c r="C1840" i="1"/>
  <c r="C1876" i="1"/>
  <c r="C1912" i="1"/>
  <c r="C1948" i="1"/>
  <c r="C1984" i="1"/>
  <c r="C2020" i="1"/>
  <c r="C2056" i="1"/>
  <c r="C2092" i="1"/>
  <c r="C2128" i="1"/>
  <c r="C68" i="1"/>
  <c r="E68" i="1" s="1"/>
  <c r="C226" i="1"/>
  <c r="C370" i="1"/>
  <c r="C514" i="1"/>
  <c r="C658" i="1"/>
  <c r="C802" i="1"/>
  <c r="C937" i="1"/>
  <c r="C1045" i="1"/>
  <c r="C1153" i="1"/>
  <c r="C1249" i="1"/>
  <c r="C1335" i="1"/>
  <c r="C1424" i="1"/>
  <c r="C1503" i="1"/>
  <c r="C1560" i="1"/>
  <c r="C1616" i="1"/>
  <c r="C1661" i="1"/>
  <c r="C1697" i="1"/>
  <c r="C1733" i="1"/>
  <c r="C1769" i="1"/>
  <c r="C1805" i="1"/>
  <c r="C1841" i="1"/>
  <c r="C1877" i="1"/>
  <c r="C1913" i="1"/>
  <c r="C1949" i="1"/>
  <c r="C1985" i="1"/>
  <c r="C2021" i="1"/>
  <c r="C2057" i="1"/>
  <c r="C2093" i="1"/>
  <c r="C2129" i="1"/>
  <c r="C111" i="1"/>
  <c r="C262" i="1"/>
  <c r="C406" i="1"/>
  <c r="C550" i="1"/>
  <c r="C694" i="1"/>
  <c r="C838" i="1"/>
  <c r="C968" i="1"/>
  <c r="C1076" i="1"/>
  <c r="C1184" i="1"/>
  <c r="C1272" i="1"/>
  <c r="C1357" i="1"/>
  <c r="C1443" i="1"/>
  <c r="C1520" i="1"/>
  <c r="C1573" i="1"/>
  <c r="C1629" i="1"/>
  <c r="C1670" i="1"/>
  <c r="C1706" i="1"/>
  <c r="C1742" i="1"/>
  <c r="C1778" i="1"/>
  <c r="C1814" i="1"/>
  <c r="C1850" i="1"/>
  <c r="C1886" i="1"/>
  <c r="C1922" i="1"/>
  <c r="C1958" i="1"/>
  <c r="C1994" i="1"/>
  <c r="C2030" i="1"/>
  <c r="C2066" i="1"/>
  <c r="C2102" i="1"/>
  <c r="C2138" i="1"/>
  <c r="C113" i="1"/>
  <c r="C264" i="1"/>
  <c r="C408" i="1"/>
  <c r="C552" i="1"/>
  <c r="C696" i="1"/>
  <c r="C840" i="1"/>
  <c r="C970" i="1"/>
  <c r="C1078" i="1"/>
  <c r="C1186" i="1"/>
  <c r="C1273" i="1"/>
  <c r="C1359" i="1"/>
  <c r="C1448" i="1"/>
  <c r="C1521" i="1"/>
  <c r="C1575" i="1"/>
  <c r="C1630" i="1"/>
  <c r="C1671" i="1"/>
  <c r="C1707" i="1"/>
  <c r="C1743" i="1"/>
  <c r="C1779" i="1"/>
  <c r="C1815" i="1"/>
  <c r="C1851" i="1"/>
  <c r="C1887" i="1"/>
  <c r="C1923" i="1"/>
  <c r="C1959" i="1"/>
  <c r="C1995" i="1"/>
  <c r="C2031" i="1"/>
  <c r="C2067" i="1"/>
  <c r="C2103" i="1"/>
  <c r="C2139" i="1"/>
  <c r="C115" i="1"/>
  <c r="C265" i="1"/>
  <c r="C409" i="1"/>
  <c r="C553" i="1"/>
  <c r="C697" i="1"/>
  <c r="C841" i="1"/>
  <c r="B2086" i="1"/>
  <c r="B2029" i="1"/>
  <c r="B1951" i="1"/>
  <c r="B1889" i="1"/>
  <c r="B1807" i="1"/>
  <c r="B1706" i="1"/>
  <c r="B1612" i="1"/>
  <c r="B1540" i="1"/>
  <c r="B1444" i="1"/>
  <c r="B1346" i="1"/>
  <c r="B1228" i="1"/>
  <c r="B1143" i="1"/>
  <c r="B1035" i="1"/>
  <c r="B927" i="1"/>
  <c r="B803" i="1"/>
  <c r="B608" i="1"/>
  <c r="D608" i="1" s="1"/>
  <c r="B298" i="1"/>
  <c r="D298" i="1" s="1"/>
  <c r="C1004" i="1"/>
  <c r="B2138" i="1"/>
  <c r="B2125" i="1"/>
  <c r="B2112" i="1"/>
  <c r="B2099" i="1"/>
  <c r="B2084" i="1"/>
  <c r="B2070" i="1"/>
  <c r="B2056" i="1"/>
  <c r="B2042" i="1"/>
  <c r="B2026" i="1"/>
  <c r="B2009" i="1"/>
  <c r="B1993" i="1"/>
  <c r="B1971" i="1"/>
  <c r="B1949" i="1"/>
  <c r="B1930" i="1"/>
  <c r="B1910" i="1"/>
  <c r="B1888" i="1"/>
  <c r="B1867" i="1"/>
  <c r="B1849" i="1"/>
  <c r="B1827" i="1"/>
  <c r="B1805" i="1"/>
  <c r="B1786" i="1"/>
  <c r="B1766" i="1"/>
  <c r="B1744" i="1"/>
  <c r="B1723" i="1"/>
  <c r="B1705" i="1"/>
  <c r="B1683" i="1"/>
  <c r="B1659" i="1"/>
  <c r="B1635" i="1"/>
  <c r="B1611" i="1"/>
  <c r="B1587" i="1"/>
  <c r="B1563" i="1"/>
  <c r="B1539" i="1"/>
  <c r="B1515" i="1"/>
  <c r="B1491" i="1"/>
  <c r="B1467" i="1"/>
  <c r="B1443" i="1"/>
  <c r="B1419" i="1"/>
  <c r="B1395" i="1"/>
  <c r="B1371" i="1"/>
  <c r="B1345" i="1"/>
  <c r="B1312" i="1"/>
  <c r="B1286" i="1"/>
  <c r="B1258" i="1"/>
  <c r="B1227" i="1"/>
  <c r="B1201" i="1"/>
  <c r="B1168" i="1"/>
  <c r="B1142" i="1"/>
  <c r="B1106" i="1"/>
  <c r="B1070" i="1"/>
  <c r="B1034" i="1"/>
  <c r="B998" i="1"/>
  <c r="B962" i="1"/>
  <c r="B926" i="1"/>
  <c r="B888" i="1"/>
  <c r="B845" i="1"/>
  <c r="B802" i="1"/>
  <c r="B759" i="1"/>
  <c r="B714" i="1"/>
  <c r="B666" i="1"/>
  <c r="D666" i="1" s="1"/>
  <c r="B605" i="1"/>
  <c r="D605" i="1" s="1"/>
  <c r="B543" i="1"/>
  <c r="D543" i="1" s="1"/>
  <c r="B473" i="1"/>
  <c r="D473" i="1" s="1"/>
  <c r="B395" i="1"/>
  <c r="D395" i="1" s="1"/>
  <c r="B289" i="1"/>
  <c r="D289" i="1" s="1"/>
  <c r="B181" i="1"/>
  <c r="D181" i="1" s="1"/>
  <c r="B73" i="1"/>
  <c r="D73" i="1" s="1"/>
  <c r="G73" i="1" s="1"/>
  <c r="C2105" i="1"/>
  <c r="C1997" i="1"/>
  <c r="C1889" i="1"/>
  <c r="C1781" i="1"/>
  <c r="C1673" i="1"/>
  <c r="C1524" i="1"/>
  <c r="C1280" i="1"/>
  <c r="C973" i="1"/>
  <c r="C454" i="1"/>
  <c r="B2140" i="1"/>
  <c r="B2088" i="1"/>
  <c r="B2044" i="1"/>
  <c r="B1934" i="1"/>
  <c r="B1810" i="1"/>
  <c r="B1707" i="1"/>
  <c r="B1613" i="1"/>
  <c r="B1517" i="1"/>
  <c r="B1445" i="1"/>
  <c r="B1373" i="1"/>
  <c r="B1288" i="1"/>
  <c r="B1177" i="1"/>
  <c r="B1000" i="1"/>
  <c r="B848" i="1"/>
  <c r="B670" i="1"/>
  <c r="D670" i="1" s="1"/>
  <c r="B397" i="1"/>
  <c r="D397" i="1" s="1"/>
  <c r="B83" i="1"/>
  <c r="D83" i="1" s="1"/>
  <c r="G83" i="1" s="1"/>
  <c r="B2126" i="1"/>
  <c r="B2043" i="1"/>
  <c r="B1828" i="1"/>
  <c r="B1492" i="1"/>
  <c r="B760" i="1"/>
  <c r="B2098" i="1"/>
  <c r="B2041" i="1"/>
  <c r="B1927" i="1"/>
  <c r="B1887" i="1"/>
  <c r="B1865" i="1"/>
  <c r="B1846" i="1"/>
  <c r="B1826" i="1"/>
  <c r="B1804" i="1"/>
  <c r="B1783" i="1"/>
  <c r="B1743" i="1"/>
  <c r="B1702" i="1"/>
  <c r="B1682" i="1"/>
  <c r="B1658" i="1"/>
  <c r="B1634" i="1"/>
  <c r="B1610" i="1"/>
  <c r="B1586" i="1"/>
  <c r="B1562" i="1"/>
  <c r="B1538" i="1"/>
  <c r="B1514" i="1"/>
  <c r="B1490" i="1"/>
  <c r="B1466" i="1"/>
  <c r="B1442" i="1"/>
  <c r="B1418" i="1"/>
  <c r="B1394" i="1"/>
  <c r="B1370" i="1"/>
  <c r="B1342" i="1"/>
  <c r="B1311" i="1"/>
  <c r="B1285" i="1"/>
  <c r="B1252" i="1"/>
  <c r="B1226" i="1"/>
  <c r="B1198" i="1"/>
  <c r="B1167" i="1"/>
  <c r="B1141" i="1"/>
  <c r="B1105" i="1"/>
  <c r="B1069" i="1"/>
  <c r="B1033" i="1"/>
  <c r="B997" i="1"/>
  <c r="B961" i="1"/>
  <c r="B925" i="1"/>
  <c r="B887" i="1"/>
  <c r="B844" i="1"/>
  <c r="B801" i="1"/>
  <c r="B757" i="1"/>
  <c r="B713" i="1"/>
  <c r="B665" i="1"/>
  <c r="D665" i="1" s="1"/>
  <c r="B603" i="1"/>
  <c r="D603" i="1" s="1"/>
  <c r="B541" i="1"/>
  <c r="D541" i="1" s="1"/>
  <c r="B469" i="1"/>
  <c r="D469" i="1" s="1"/>
  <c r="B394" i="1"/>
  <c r="D394" i="1" s="1"/>
  <c r="B288" i="1"/>
  <c r="D288" i="1" s="1"/>
  <c r="B180" i="1"/>
  <c r="D180" i="1" s="1"/>
  <c r="B72" i="1"/>
  <c r="D72" i="1" s="1"/>
  <c r="G72" i="1" s="1"/>
  <c r="C2104" i="1"/>
  <c r="C1996" i="1"/>
  <c r="C1888" i="1"/>
  <c r="C1780" i="1"/>
  <c r="C1672" i="1"/>
  <c r="C1522" i="1"/>
  <c r="C1275" i="1"/>
  <c r="C972" i="1"/>
  <c r="C418" i="1"/>
  <c r="B2127" i="1"/>
  <c r="B2072" i="1"/>
  <c r="B1954" i="1"/>
  <c r="B1851" i="1"/>
  <c r="B1747" i="1"/>
  <c r="B1661" i="1"/>
  <c r="B1565" i="1"/>
  <c r="B1469" i="1"/>
  <c r="B1347" i="1"/>
  <c r="B1203" i="1"/>
  <c r="B964" i="1"/>
  <c r="B548" i="1"/>
  <c r="D548" i="1" s="1"/>
  <c r="B2100" i="1"/>
  <c r="B2057" i="1"/>
  <c r="B1994" i="1"/>
  <c r="B1911" i="1"/>
  <c r="B1850" i="1"/>
  <c r="B1767" i="1"/>
  <c r="B1726" i="1"/>
  <c r="B1660" i="1"/>
  <c r="B1588" i="1"/>
  <c r="B1516" i="1"/>
  <c r="B1420" i="1"/>
  <c r="B1372" i="1"/>
  <c r="B1287" i="1"/>
  <c r="B1202" i="1"/>
  <c r="B1107" i="1"/>
  <c r="B999" i="1"/>
  <c r="B846" i="1"/>
  <c r="B668" i="1"/>
  <c r="D668" i="1" s="1"/>
  <c r="B396" i="1"/>
  <c r="D396" i="1" s="1"/>
  <c r="C456" i="1"/>
  <c r="B2124" i="1"/>
  <c r="B2083" i="1"/>
  <c r="B2055" i="1"/>
  <c r="B2008" i="1"/>
  <c r="B1970" i="1"/>
  <c r="B1909" i="1"/>
  <c r="B1765" i="1"/>
  <c r="B2123" i="1"/>
  <c r="B2096" i="1"/>
  <c r="B2068" i="1"/>
  <c r="B2040" i="1"/>
  <c r="B2007" i="1"/>
  <c r="B1987" i="1"/>
  <c r="B1969" i="1"/>
  <c r="B1947" i="1"/>
  <c r="B1925" i="1"/>
  <c r="B1906" i="1"/>
  <c r="B1886" i="1"/>
  <c r="B1864" i="1"/>
  <c r="B1843" i="1"/>
  <c r="B1825" i="1"/>
  <c r="B1803" i="1"/>
  <c r="B1781" i="1"/>
  <c r="B1762" i="1"/>
  <c r="B1742" i="1"/>
  <c r="B1720" i="1"/>
  <c r="B1699" i="1"/>
  <c r="B1681" i="1"/>
  <c r="B1657" i="1"/>
  <c r="B1633" i="1"/>
  <c r="B1609" i="1"/>
  <c r="B1585" i="1"/>
  <c r="B1561" i="1"/>
  <c r="B1537" i="1"/>
  <c r="B1513" i="1"/>
  <c r="B1489" i="1"/>
  <c r="B1465" i="1"/>
  <c r="B1441" i="1"/>
  <c r="B1417" i="1"/>
  <c r="B1393" i="1"/>
  <c r="B1369" i="1"/>
  <c r="B1336" i="1"/>
  <c r="B1310" i="1"/>
  <c r="B1282" i="1"/>
  <c r="B1251" i="1"/>
  <c r="B1225" i="1"/>
  <c r="B1192" i="1"/>
  <c r="B1166" i="1"/>
  <c r="B1132" i="1"/>
  <c r="B1096" i="1"/>
  <c r="B1060" i="1"/>
  <c r="B1024" i="1"/>
  <c r="B988" i="1"/>
  <c r="B952" i="1"/>
  <c r="B916" i="1"/>
  <c r="B876" i="1"/>
  <c r="B833" i="1"/>
  <c r="B790" i="1"/>
  <c r="B747" i="1"/>
  <c r="B701" i="1"/>
  <c r="D701" i="1" s="1"/>
  <c r="B649" i="1"/>
  <c r="D649" i="1" s="1"/>
  <c r="B588" i="1"/>
  <c r="D588" i="1" s="1"/>
  <c r="B526" i="1"/>
  <c r="D526" i="1" s="1"/>
  <c r="B454" i="1"/>
  <c r="D454" i="1" s="1"/>
  <c r="B371" i="1"/>
  <c r="D371" i="1" s="1"/>
  <c r="B263" i="1"/>
  <c r="D263" i="1" s="1"/>
  <c r="B155" i="1"/>
  <c r="D155" i="1" s="1"/>
  <c r="C2079" i="1"/>
  <c r="C1971" i="1"/>
  <c r="C1863" i="1"/>
  <c r="C1755" i="1"/>
  <c r="C1647" i="1"/>
  <c r="C1476" i="1"/>
  <c r="C1215" i="1"/>
  <c r="C888" i="1"/>
  <c r="C312" i="1"/>
  <c r="B14" i="1"/>
  <c r="D14" i="1" s="1"/>
  <c r="G14" i="1" s="1"/>
  <c r="B26" i="1"/>
  <c r="D26" i="1" s="1"/>
  <c r="G26" i="1" s="1"/>
  <c r="B38" i="1"/>
  <c r="D38" i="1" s="1"/>
  <c r="B50" i="1"/>
  <c r="D50" i="1" s="1"/>
  <c r="B62" i="1"/>
  <c r="D62" i="1" s="1"/>
  <c r="G62" i="1" s="1"/>
  <c r="B74" i="1"/>
  <c r="D74" i="1" s="1"/>
  <c r="G74" i="1" s="1"/>
  <c r="B86" i="1"/>
  <c r="D86" i="1" s="1"/>
  <c r="B98" i="1"/>
  <c r="D98" i="1" s="1"/>
  <c r="B110" i="1"/>
  <c r="D110" i="1" s="1"/>
  <c r="B122" i="1"/>
  <c r="D122" i="1" s="1"/>
  <c r="B134" i="1"/>
  <c r="D134" i="1" s="1"/>
  <c r="B146" i="1"/>
  <c r="D146" i="1" s="1"/>
  <c r="B158" i="1"/>
  <c r="D158" i="1" s="1"/>
  <c r="B170" i="1"/>
  <c r="D170" i="1" s="1"/>
  <c r="B182" i="1"/>
  <c r="D182" i="1" s="1"/>
  <c r="B194" i="1"/>
  <c r="D194" i="1" s="1"/>
  <c r="B206" i="1"/>
  <c r="D206" i="1" s="1"/>
  <c r="B218" i="1"/>
  <c r="D218" i="1" s="1"/>
  <c r="B230" i="1"/>
  <c r="D230" i="1" s="1"/>
  <c r="B242" i="1"/>
  <c r="D242" i="1" s="1"/>
  <c r="B254" i="1"/>
  <c r="D254" i="1" s="1"/>
  <c r="B266" i="1"/>
  <c r="D266" i="1" s="1"/>
  <c r="B278" i="1"/>
  <c r="D278" i="1" s="1"/>
  <c r="B290" i="1"/>
  <c r="D290" i="1" s="1"/>
  <c r="B302" i="1"/>
  <c r="D302" i="1" s="1"/>
  <c r="B314" i="1"/>
  <c r="D314" i="1" s="1"/>
  <c r="B326" i="1"/>
  <c r="D326" i="1" s="1"/>
  <c r="B338" i="1"/>
  <c r="D338" i="1" s="1"/>
  <c r="B350" i="1"/>
  <c r="D350" i="1" s="1"/>
  <c r="B362" i="1"/>
  <c r="D362" i="1" s="1"/>
  <c r="B374" i="1"/>
  <c r="D374" i="1" s="1"/>
  <c r="B386" i="1"/>
  <c r="D386" i="1" s="1"/>
  <c r="B398" i="1"/>
  <c r="D398" i="1" s="1"/>
  <c r="B410" i="1"/>
  <c r="D410" i="1" s="1"/>
  <c r="B422" i="1"/>
  <c r="D422" i="1" s="1"/>
  <c r="B434" i="1"/>
  <c r="D434" i="1" s="1"/>
  <c r="B446" i="1"/>
  <c r="D446" i="1" s="1"/>
  <c r="B458" i="1"/>
  <c r="D458" i="1" s="1"/>
  <c r="B470" i="1"/>
  <c r="D470" i="1" s="1"/>
  <c r="B482" i="1"/>
  <c r="D482" i="1" s="1"/>
  <c r="B494" i="1"/>
  <c r="D494" i="1" s="1"/>
  <c r="B506" i="1"/>
  <c r="D506" i="1" s="1"/>
  <c r="B518" i="1"/>
  <c r="D518" i="1" s="1"/>
  <c r="B530" i="1"/>
  <c r="D530" i="1" s="1"/>
  <c r="B542" i="1"/>
  <c r="D542" i="1" s="1"/>
  <c r="B554" i="1"/>
  <c r="D554" i="1" s="1"/>
  <c r="B566" i="1"/>
  <c r="D566" i="1" s="1"/>
  <c r="B578" i="1"/>
  <c r="D578" i="1" s="1"/>
  <c r="B590" i="1"/>
  <c r="D590" i="1" s="1"/>
  <c r="B602" i="1"/>
  <c r="D602" i="1" s="1"/>
  <c r="B614" i="1"/>
  <c r="D614" i="1" s="1"/>
  <c r="B626" i="1"/>
  <c r="D626" i="1" s="1"/>
  <c r="B638" i="1"/>
  <c r="D638" i="1" s="1"/>
  <c r="B650" i="1"/>
  <c r="D650" i="1" s="1"/>
  <c r="B662" i="1"/>
  <c r="D662" i="1" s="1"/>
  <c r="B674" i="1"/>
  <c r="D674" i="1" s="1"/>
  <c r="B686" i="1"/>
  <c r="D686" i="1" s="1"/>
  <c r="B698" i="1"/>
  <c r="D698" i="1" s="1"/>
  <c r="B710" i="1"/>
  <c r="B722" i="1"/>
  <c r="B734" i="1"/>
  <c r="B746" i="1"/>
  <c r="B758" i="1"/>
  <c r="B770" i="1"/>
  <c r="B782" i="1"/>
  <c r="B794" i="1"/>
  <c r="B806" i="1"/>
  <c r="B818" i="1"/>
  <c r="B830" i="1"/>
  <c r="B842" i="1"/>
  <c r="B854" i="1"/>
  <c r="B866" i="1"/>
  <c r="B878" i="1"/>
  <c r="B890" i="1"/>
  <c r="B15" i="1"/>
  <c r="D15" i="1" s="1"/>
  <c r="B27" i="1"/>
  <c r="D27" i="1" s="1"/>
  <c r="G27" i="1" s="1"/>
  <c r="B39" i="1"/>
  <c r="D39" i="1" s="1"/>
  <c r="G39" i="1" s="1"/>
  <c r="B51" i="1"/>
  <c r="D51" i="1" s="1"/>
  <c r="B63" i="1"/>
  <c r="D63" i="1" s="1"/>
  <c r="B75" i="1"/>
  <c r="D75" i="1" s="1"/>
  <c r="B87" i="1"/>
  <c r="D87" i="1" s="1"/>
  <c r="G87" i="1" s="1"/>
  <c r="B99" i="1"/>
  <c r="D99" i="1" s="1"/>
  <c r="B111" i="1"/>
  <c r="D111" i="1" s="1"/>
  <c r="B123" i="1"/>
  <c r="D123" i="1" s="1"/>
  <c r="B135" i="1"/>
  <c r="D135" i="1" s="1"/>
  <c r="B147" i="1"/>
  <c r="D147" i="1" s="1"/>
  <c r="B159" i="1"/>
  <c r="D159" i="1" s="1"/>
  <c r="B171" i="1"/>
  <c r="D171" i="1" s="1"/>
  <c r="B183" i="1"/>
  <c r="D183" i="1" s="1"/>
  <c r="B195" i="1"/>
  <c r="D195" i="1" s="1"/>
  <c r="B207" i="1"/>
  <c r="D207" i="1" s="1"/>
  <c r="B219" i="1"/>
  <c r="D219" i="1" s="1"/>
  <c r="B231" i="1"/>
  <c r="D231" i="1" s="1"/>
  <c r="B243" i="1"/>
  <c r="D243" i="1" s="1"/>
  <c r="B255" i="1"/>
  <c r="D255" i="1" s="1"/>
  <c r="B267" i="1"/>
  <c r="D267" i="1" s="1"/>
  <c r="B279" i="1"/>
  <c r="D279" i="1" s="1"/>
  <c r="B291" i="1"/>
  <c r="D291" i="1" s="1"/>
  <c r="B303" i="1"/>
  <c r="D303" i="1" s="1"/>
  <c r="B315" i="1"/>
  <c r="D315" i="1" s="1"/>
  <c r="B327" i="1"/>
  <c r="D327" i="1" s="1"/>
  <c r="B339" i="1"/>
  <c r="D339" i="1" s="1"/>
  <c r="B351" i="1"/>
  <c r="D351" i="1" s="1"/>
  <c r="B363" i="1"/>
  <c r="D363" i="1" s="1"/>
  <c r="B375" i="1"/>
  <c r="D375" i="1" s="1"/>
  <c r="B387" i="1"/>
  <c r="D387" i="1" s="1"/>
  <c r="B399" i="1"/>
  <c r="D399" i="1" s="1"/>
  <c r="B411" i="1"/>
  <c r="D411" i="1" s="1"/>
  <c r="B423" i="1"/>
  <c r="D423" i="1" s="1"/>
  <c r="B435" i="1"/>
  <c r="D435" i="1" s="1"/>
  <c r="B447" i="1"/>
  <c r="D447" i="1" s="1"/>
  <c r="B459" i="1"/>
  <c r="D459" i="1" s="1"/>
  <c r="B471" i="1"/>
  <c r="D471" i="1" s="1"/>
  <c r="B483" i="1"/>
  <c r="D483" i="1" s="1"/>
  <c r="B495" i="1"/>
  <c r="D495" i="1" s="1"/>
  <c r="B507" i="1"/>
  <c r="D507" i="1" s="1"/>
  <c r="B519" i="1"/>
  <c r="D519" i="1" s="1"/>
  <c r="B531" i="1"/>
  <c r="D531" i="1" s="1"/>
  <c r="B16" i="1"/>
  <c r="D16" i="1" s="1"/>
  <c r="B28" i="1"/>
  <c r="D28" i="1" s="1"/>
  <c r="G28" i="1" s="1"/>
  <c r="B40" i="1"/>
  <c r="D40" i="1" s="1"/>
  <c r="G40" i="1" s="1"/>
  <c r="B52" i="1"/>
  <c r="D52" i="1" s="1"/>
  <c r="B64" i="1"/>
  <c r="D64" i="1" s="1"/>
  <c r="B76" i="1"/>
  <c r="D76" i="1" s="1"/>
  <c r="G76" i="1" s="1"/>
  <c r="B88" i="1"/>
  <c r="D88" i="1" s="1"/>
  <c r="B100" i="1"/>
  <c r="D100" i="1" s="1"/>
  <c r="B112" i="1"/>
  <c r="D112" i="1" s="1"/>
  <c r="B124" i="1"/>
  <c r="D124" i="1" s="1"/>
  <c r="B136" i="1"/>
  <c r="D136" i="1" s="1"/>
  <c r="B148" i="1"/>
  <c r="D148" i="1" s="1"/>
  <c r="B160" i="1"/>
  <c r="D160" i="1" s="1"/>
  <c r="B172" i="1"/>
  <c r="D172" i="1" s="1"/>
  <c r="B184" i="1"/>
  <c r="D184" i="1" s="1"/>
  <c r="B196" i="1"/>
  <c r="D196" i="1" s="1"/>
  <c r="B208" i="1"/>
  <c r="D208" i="1" s="1"/>
  <c r="B220" i="1"/>
  <c r="D220" i="1" s="1"/>
  <c r="B232" i="1"/>
  <c r="D232" i="1" s="1"/>
  <c r="B244" i="1"/>
  <c r="D244" i="1" s="1"/>
  <c r="B256" i="1"/>
  <c r="D256" i="1" s="1"/>
  <c r="B268" i="1"/>
  <c r="D268" i="1" s="1"/>
  <c r="B280" i="1"/>
  <c r="D280" i="1" s="1"/>
  <c r="B292" i="1"/>
  <c r="D292" i="1" s="1"/>
  <c r="B304" i="1"/>
  <c r="D304" i="1" s="1"/>
  <c r="B316" i="1"/>
  <c r="D316" i="1" s="1"/>
  <c r="B328" i="1"/>
  <c r="D328" i="1" s="1"/>
  <c r="B340" i="1"/>
  <c r="D340" i="1" s="1"/>
  <c r="B352" i="1"/>
  <c r="D352" i="1" s="1"/>
  <c r="B364" i="1"/>
  <c r="D364" i="1" s="1"/>
  <c r="B376" i="1"/>
  <c r="D376" i="1" s="1"/>
  <c r="B388" i="1"/>
  <c r="D388" i="1" s="1"/>
  <c r="B400" i="1"/>
  <c r="D400" i="1" s="1"/>
  <c r="B412" i="1"/>
  <c r="D412" i="1" s="1"/>
  <c r="B424" i="1"/>
  <c r="D424" i="1" s="1"/>
  <c r="B436" i="1"/>
  <c r="D436" i="1" s="1"/>
  <c r="B448" i="1"/>
  <c r="D448" i="1" s="1"/>
  <c r="B460" i="1"/>
  <c r="D460" i="1" s="1"/>
  <c r="B472" i="1"/>
  <c r="D472" i="1" s="1"/>
  <c r="B484" i="1"/>
  <c r="D484" i="1" s="1"/>
  <c r="B496" i="1"/>
  <c r="D496" i="1" s="1"/>
  <c r="B508" i="1"/>
  <c r="D508" i="1" s="1"/>
  <c r="B520" i="1"/>
  <c r="D520" i="1" s="1"/>
  <c r="B532" i="1"/>
  <c r="D532" i="1" s="1"/>
  <c r="B544" i="1"/>
  <c r="D544" i="1" s="1"/>
  <c r="B556" i="1"/>
  <c r="D556" i="1" s="1"/>
  <c r="B568" i="1"/>
  <c r="D568" i="1" s="1"/>
  <c r="B580" i="1"/>
  <c r="D580" i="1" s="1"/>
  <c r="B592" i="1"/>
  <c r="D592" i="1" s="1"/>
  <c r="B604" i="1"/>
  <c r="D604" i="1" s="1"/>
  <c r="B616" i="1"/>
  <c r="D616" i="1" s="1"/>
  <c r="B628" i="1"/>
  <c r="D628" i="1" s="1"/>
  <c r="B640" i="1"/>
  <c r="D640" i="1" s="1"/>
  <c r="B652" i="1"/>
  <c r="D652" i="1" s="1"/>
  <c r="B664" i="1"/>
  <c r="D664" i="1" s="1"/>
  <c r="B17" i="1"/>
  <c r="D17" i="1" s="1"/>
  <c r="G17" i="1" s="1"/>
  <c r="B29" i="1"/>
  <c r="D29" i="1" s="1"/>
  <c r="B41" i="1"/>
  <c r="D41" i="1" s="1"/>
  <c r="B53" i="1"/>
  <c r="D53" i="1" s="1"/>
  <c r="G53" i="1" s="1"/>
  <c r="B65" i="1"/>
  <c r="D65" i="1" s="1"/>
  <c r="B77" i="1"/>
  <c r="D77" i="1" s="1"/>
  <c r="B89" i="1"/>
  <c r="D89" i="1" s="1"/>
  <c r="G89" i="1" s="1"/>
  <c r="B101" i="1"/>
  <c r="D101" i="1" s="1"/>
  <c r="B113" i="1"/>
  <c r="D113" i="1" s="1"/>
  <c r="B125" i="1"/>
  <c r="D125" i="1" s="1"/>
  <c r="B137" i="1"/>
  <c r="D137" i="1" s="1"/>
  <c r="B149" i="1"/>
  <c r="D149" i="1" s="1"/>
  <c r="B161" i="1"/>
  <c r="D161" i="1" s="1"/>
  <c r="B173" i="1"/>
  <c r="D173" i="1" s="1"/>
  <c r="B185" i="1"/>
  <c r="D185" i="1" s="1"/>
  <c r="B197" i="1"/>
  <c r="D197" i="1" s="1"/>
  <c r="B209" i="1"/>
  <c r="D209" i="1" s="1"/>
  <c r="B221" i="1"/>
  <c r="D221" i="1" s="1"/>
  <c r="B233" i="1"/>
  <c r="D233" i="1" s="1"/>
  <c r="B245" i="1"/>
  <c r="D245" i="1" s="1"/>
  <c r="B257" i="1"/>
  <c r="D257" i="1" s="1"/>
  <c r="B269" i="1"/>
  <c r="D269" i="1" s="1"/>
  <c r="B281" i="1"/>
  <c r="D281" i="1" s="1"/>
  <c r="B293" i="1"/>
  <c r="D293" i="1" s="1"/>
  <c r="B305" i="1"/>
  <c r="D305" i="1" s="1"/>
  <c r="B317" i="1"/>
  <c r="D317" i="1" s="1"/>
  <c r="B329" i="1"/>
  <c r="D329" i="1" s="1"/>
  <c r="B341" i="1"/>
  <c r="D341" i="1" s="1"/>
  <c r="B353" i="1"/>
  <c r="D353" i="1" s="1"/>
  <c r="B365" i="1"/>
  <c r="D365" i="1" s="1"/>
  <c r="B377" i="1"/>
  <c r="D377" i="1" s="1"/>
  <c r="B389" i="1"/>
  <c r="D389" i="1" s="1"/>
  <c r="B401" i="1"/>
  <c r="D401" i="1" s="1"/>
  <c r="B413" i="1"/>
  <c r="D413" i="1" s="1"/>
  <c r="B425" i="1"/>
  <c r="D425" i="1" s="1"/>
  <c r="B18" i="1"/>
  <c r="D18" i="1" s="1"/>
  <c r="B30" i="1"/>
  <c r="D30" i="1" s="1"/>
  <c r="B42" i="1"/>
  <c r="D42" i="1" s="1"/>
  <c r="B54" i="1"/>
  <c r="D54" i="1" s="1"/>
  <c r="G54" i="1" s="1"/>
  <c r="B66" i="1"/>
  <c r="D66" i="1" s="1"/>
  <c r="G66" i="1" s="1"/>
  <c r="B78" i="1"/>
  <c r="D78" i="1" s="1"/>
  <c r="G78" i="1" s="1"/>
  <c r="B90" i="1"/>
  <c r="D90" i="1" s="1"/>
  <c r="G90" i="1" s="1"/>
  <c r="B102" i="1"/>
  <c r="D102" i="1" s="1"/>
  <c r="B114" i="1"/>
  <c r="D114" i="1" s="1"/>
  <c r="B126" i="1"/>
  <c r="D126" i="1" s="1"/>
  <c r="B138" i="1"/>
  <c r="D138" i="1" s="1"/>
  <c r="B150" i="1"/>
  <c r="D150" i="1" s="1"/>
  <c r="B162" i="1"/>
  <c r="D162" i="1" s="1"/>
  <c r="B174" i="1"/>
  <c r="D174" i="1" s="1"/>
  <c r="B186" i="1"/>
  <c r="D186" i="1" s="1"/>
  <c r="B198" i="1"/>
  <c r="D198" i="1" s="1"/>
  <c r="B210" i="1"/>
  <c r="D210" i="1" s="1"/>
  <c r="B222" i="1"/>
  <c r="D222" i="1" s="1"/>
  <c r="B234" i="1"/>
  <c r="D234" i="1" s="1"/>
  <c r="B246" i="1"/>
  <c r="D246" i="1" s="1"/>
  <c r="B258" i="1"/>
  <c r="D258" i="1" s="1"/>
  <c r="B270" i="1"/>
  <c r="D270" i="1" s="1"/>
  <c r="B282" i="1"/>
  <c r="D282" i="1" s="1"/>
  <c r="B294" i="1"/>
  <c r="D294" i="1" s="1"/>
  <c r="B306" i="1"/>
  <c r="D306" i="1" s="1"/>
  <c r="B318" i="1"/>
  <c r="D318" i="1" s="1"/>
  <c r="B330" i="1"/>
  <c r="D330" i="1" s="1"/>
  <c r="B342" i="1"/>
  <c r="D342" i="1" s="1"/>
  <c r="B354" i="1"/>
  <c r="D354" i="1" s="1"/>
  <c r="B366" i="1"/>
  <c r="D366" i="1" s="1"/>
  <c r="B378" i="1"/>
  <c r="D378" i="1" s="1"/>
  <c r="B390" i="1"/>
  <c r="D390" i="1" s="1"/>
  <c r="B402" i="1"/>
  <c r="D402" i="1" s="1"/>
  <c r="B414" i="1"/>
  <c r="D414" i="1" s="1"/>
  <c r="B426" i="1"/>
  <c r="D426" i="1" s="1"/>
  <c r="B438" i="1"/>
  <c r="D438" i="1" s="1"/>
  <c r="B450" i="1"/>
  <c r="D450" i="1" s="1"/>
  <c r="B462" i="1"/>
  <c r="D462" i="1" s="1"/>
  <c r="B474" i="1"/>
  <c r="D474" i="1" s="1"/>
  <c r="B486" i="1"/>
  <c r="D486" i="1" s="1"/>
  <c r="B498" i="1"/>
  <c r="D498" i="1" s="1"/>
  <c r="B510" i="1"/>
  <c r="D510" i="1" s="1"/>
  <c r="B522" i="1"/>
  <c r="D522" i="1" s="1"/>
  <c r="B534" i="1"/>
  <c r="D534" i="1" s="1"/>
  <c r="B546" i="1"/>
  <c r="D546" i="1" s="1"/>
  <c r="B558" i="1"/>
  <c r="D558" i="1" s="1"/>
  <c r="B570" i="1"/>
  <c r="D570" i="1" s="1"/>
  <c r="B582" i="1"/>
  <c r="D582" i="1" s="1"/>
  <c r="B594" i="1"/>
  <c r="D594" i="1" s="1"/>
  <c r="B606" i="1"/>
  <c r="D606" i="1" s="1"/>
  <c r="B618" i="1"/>
  <c r="D618" i="1" s="1"/>
  <c r="B630" i="1"/>
  <c r="D630" i="1" s="1"/>
  <c r="B642" i="1"/>
  <c r="D642" i="1" s="1"/>
  <c r="B654" i="1"/>
  <c r="D654" i="1" s="1"/>
  <c r="B19" i="1"/>
  <c r="D19" i="1" s="1"/>
  <c r="G19" i="1" s="1"/>
  <c r="B31" i="1"/>
  <c r="D31" i="1" s="1"/>
  <c r="G31" i="1" s="1"/>
  <c r="B43" i="1"/>
  <c r="D43" i="1" s="1"/>
  <c r="G43" i="1" s="1"/>
  <c r="B55" i="1"/>
  <c r="D55" i="1" s="1"/>
  <c r="G55" i="1" s="1"/>
  <c r="B67" i="1"/>
  <c r="D67" i="1" s="1"/>
  <c r="B79" i="1"/>
  <c r="D79" i="1" s="1"/>
  <c r="B91" i="1"/>
  <c r="D91" i="1" s="1"/>
  <c r="B103" i="1"/>
  <c r="D103" i="1" s="1"/>
  <c r="B115" i="1"/>
  <c r="D115" i="1" s="1"/>
  <c r="B127" i="1"/>
  <c r="D127" i="1" s="1"/>
  <c r="B139" i="1"/>
  <c r="D139" i="1" s="1"/>
  <c r="B151" i="1"/>
  <c r="D151" i="1" s="1"/>
  <c r="B163" i="1"/>
  <c r="D163" i="1" s="1"/>
  <c r="B175" i="1"/>
  <c r="D175" i="1" s="1"/>
  <c r="B187" i="1"/>
  <c r="D187" i="1" s="1"/>
  <c r="B199" i="1"/>
  <c r="D199" i="1" s="1"/>
  <c r="B211" i="1"/>
  <c r="D211" i="1" s="1"/>
  <c r="B223" i="1"/>
  <c r="D223" i="1" s="1"/>
  <c r="B235" i="1"/>
  <c r="D235" i="1" s="1"/>
  <c r="B247" i="1"/>
  <c r="D247" i="1" s="1"/>
  <c r="B259" i="1"/>
  <c r="D259" i="1" s="1"/>
  <c r="B271" i="1"/>
  <c r="D271" i="1" s="1"/>
  <c r="B283" i="1"/>
  <c r="D283" i="1" s="1"/>
  <c r="B295" i="1"/>
  <c r="D295" i="1" s="1"/>
  <c r="B307" i="1"/>
  <c r="D307" i="1" s="1"/>
  <c r="B319" i="1"/>
  <c r="D319" i="1" s="1"/>
  <c r="B331" i="1"/>
  <c r="D331" i="1" s="1"/>
  <c r="B343" i="1"/>
  <c r="D343" i="1" s="1"/>
  <c r="B355" i="1"/>
  <c r="D355" i="1" s="1"/>
  <c r="B367" i="1"/>
  <c r="D367" i="1" s="1"/>
  <c r="B379" i="1"/>
  <c r="D379" i="1" s="1"/>
  <c r="B391" i="1"/>
  <c r="D391" i="1" s="1"/>
  <c r="B403" i="1"/>
  <c r="D403" i="1" s="1"/>
  <c r="B415" i="1"/>
  <c r="D415" i="1" s="1"/>
  <c r="B427" i="1"/>
  <c r="D427" i="1" s="1"/>
  <c r="B439" i="1"/>
  <c r="D439" i="1" s="1"/>
  <c r="B451" i="1"/>
  <c r="D451" i="1" s="1"/>
  <c r="B463" i="1"/>
  <c r="D463" i="1" s="1"/>
  <c r="B475" i="1"/>
  <c r="D475" i="1" s="1"/>
  <c r="B487" i="1"/>
  <c r="D487" i="1" s="1"/>
  <c r="B499" i="1"/>
  <c r="D499" i="1" s="1"/>
  <c r="B511" i="1"/>
  <c r="D511" i="1" s="1"/>
  <c r="B523" i="1"/>
  <c r="D523" i="1" s="1"/>
  <c r="B535" i="1"/>
  <c r="D535" i="1" s="1"/>
  <c r="B547" i="1"/>
  <c r="D547" i="1" s="1"/>
  <c r="B559" i="1"/>
  <c r="D559" i="1" s="1"/>
  <c r="B571" i="1"/>
  <c r="D571" i="1" s="1"/>
  <c r="B583" i="1"/>
  <c r="D583" i="1" s="1"/>
  <c r="B595" i="1"/>
  <c r="D595" i="1" s="1"/>
  <c r="B607" i="1"/>
  <c r="D607" i="1" s="1"/>
  <c r="B619" i="1"/>
  <c r="D619" i="1" s="1"/>
  <c r="B631" i="1"/>
  <c r="D631" i="1" s="1"/>
  <c r="B643" i="1"/>
  <c r="D643" i="1" s="1"/>
  <c r="B655" i="1"/>
  <c r="D655" i="1" s="1"/>
  <c r="B667" i="1"/>
  <c r="D667" i="1" s="1"/>
  <c r="B679" i="1"/>
  <c r="D679" i="1" s="1"/>
  <c r="B691" i="1"/>
  <c r="D691" i="1" s="1"/>
  <c r="B703" i="1"/>
  <c r="D703" i="1" s="1"/>
  <c r="B715" i="1"/>
  <c r="B727" i="1"/>
  <c r="B739" i="1"/>
  <c r="B751" i="1"/>
  <c r="B763" i="1"/>
  <c r="B775" i="1"/>
  <c r="B787" i="1"/>
  <c r="B799" i="1"/>
  <c r="B811" i="1"/>
  <c r="B823" i="1"/>
  <c r="B835" i="1"/>
  <c r="B847" i="1"/>
  <c r="B859" i="1"/>
  <c r="B871" i="1"/>
  <c r="B883" i="1"/>
  <c r="B895" i="1"/>
  <c r="B20" i="1"/>
  <c r="D20" i="1" s="1"/>
  <c r="B32" i="1"/>
  <c r="D32" i="1" s="1"/>
  <c r="G32" i="1" s="1"/>
  <c r="B44" i="1"/>
  <c r="D44" i="1" s="1"/>
  <c r="G44" i="1" s="1"/>
  <c r="B56" i="1"/>
  <c r="D56" i="1" s="1"/>
  <c r="G56" i="1" s="1"/>
  <c r="B68" i="1"/>
  <c r="D68" i="1" s="1"/>
  <c r="G68" i="1" s="1"/>
  <c r="B80" i="1"/>
  <c r="D80" i="1" s="1"/>
  <c r="B92" i="1"/>
  <c r="D92" i="1" s="1"/>
  <c r="B104" i="1"/>
  <c r="D104" i="1" s="1"/>
  <c r="B116" i="1"/>
  <c r="D116" i="1" s="1"/>
  <c r="B128" i="1"/>
  <c r="D128" i="1" s="1"/>
  <c r="B140" i="1"/>
  <c r="D140" i="1" s="1"/>
  <c r="B152" i="1"/>
  <c r="D152" i="1" s="1"/>
  <c r="B164" i="1"/>
  <c r="D164" i="1" s="1"/>
  <c r="B176" i="1"/>
  <c r="D176" i="1" s="1"/>
  <c r="B188" i="1"/>
  <c r="D188" i="1" s="1"/>
  <c r="B200" i="1"/>
  <c r="D200" i="1" s="1"/>
  <c r="B212" i="1"/>
  <c r="D212" i="1" s="1"/>
  <c r="B224" i="1"/>
  <c r="D224" i="1" s="1"/>
  <c r="B236" i="1"/>
  <c r="D236" i="1" s="1"/>
  <c r="B248" i="1"/>
  <c r="D248" i="1" s="1"/>
  <c r="B260" i="1"/>
  <c r="D260" i="1" s="1"/>
  <c r="B272" i="1"/>
  <c r="D272" i="1" s="1"/>
  <c r="B284" i="1"/>
  <c r="D284" i="1" s="1"/>
  <c r="B296" i="1"/>
  <c r="D296" i="1" s="1"/>
  <c r="B308" i="1"/>
  <c r="D308" i="1" s="1"/>
  <c r="B320" i="1"/>
  <c r="D320" i="1" s="1"/>
  <c r="B332" i="1"/>
  <c r="D332" i="1" s="1"/>
  <c r="B344" i="1"/>
  <c r="D344" i="1" s="1"/>
  <c r="B356" i="1"/>
  <c r="D356" i="1" s="1"/>
  <c r="B368" i="1"/>
  <c r="D368" i="1" s="1"/>
  <c r="B21" i="1"/>
  <c r="D21" i="1" s="1"/>
  <c r="G21" i="1" s="1"/>
  <c r="B33" i="1"/>
  <c r="D33" i="1" s="1"/>
  <c r="G33" i="1" s="1"/>
  <c r="B45" i="1"/>
  <c r="D45" i="1" s="1"/>
  <c r="G45" i="1" s="1"/>
  <c r="B57" i="1"/>
  <c r="D57" i="1" s="1"/>
  <c r="B69" i="1"/>
  <c r="D69" i="1" s="1"/>
  <c r="G69" i="1" s="1"/>
  <c r="B81" i="1"/>
  <c r="D81" i="1" s="1"/>
  <c r="G81" i="1" s="1"/>
  <c r="B93" i="1"/>
  <c r="D93" i="1" s="1"/>
  <c r="G93" i="1" s="1"/>
  <c r="B105" i="1"/>
  <c r="D105" i="1" s="1"/>
  <c r="B117" i="1"/>
  <c r="D117" i="1" s="1"/>
  <c r="B129" i="1"/>
  <c r="D129" i="1" s="1"/>
  <c r="B141" i="1"/>
  <c r="D141" i="1" s="1"/>
  <c r="B153" i="1"/>
  <c r="D153" i="1" s="1"/>
  <c r="B165" i="1"/>
  <c r="D165" i="1" s="1"/>
  <c r="B177" i="1"/>
  <c r="D177" i="1" s="1"/>
  <c r="B189" i="1"/>
  <c r="D189" i="1" s="1"/>
  <c r="B201" i="1"/>
  <c r="D201" i="1" s="1"/>
  <c r="B213" i="1"/>
  <c r="D213" i="1" s="1"/>
  <c r="B225" i="1"/>
  <c r="D225" i="1" s="1"/>
  <c r="B237" i="1"/>
  <c r="D237" i="1" s="1"/>
  <c r="B249" i="1"/>
  <c r="D249" i="1" s="1"/>
  <c r="B261" i="1"/>
  <c r="D261" i="1" s="1"/>
  <c r="B273" i="1"/>
  <c r="D273" i="1" s="1"/>
  <c r="B285" i="1"/>
  <c r="D285" i="1" s="1"/>
  <c r="B297" i="1"/>
  <c r="D297" i="1" s="1"/>
  <c r="B309" i="1"/>
  <c r="D309" i="1" s="1"/>
  <c r="B321" i="1"/>
  <c r="D321" i="1" s="1"/>
  <c r="B333" i="1"/>
  <c r="D333" i="1" s="1"/>
  <c r="B345" i="1"/>
  <c r="D345" i="1" s="1"/>
  <c r="B357" i="1"/>
  <c r="D357" i="1" s="1"/>
  <c r="B369" i="1"/>
  <c r="D369" i="1" s="1"/>
  <c r="B381" i="1"/>
  <c r="D381" i="1" s="1"/>
  <c r="B393" i="1"/>
  <c r="D393" i="1" s="1"/>
  <c r="B405" i="1"/>
  <c r="D405" i="1" s="1"/>
  <c r="B417" i="1"/>
  <c r="D417" i="1" s="1"/>
  <c r="B429" i="1"/>
  <c r="D429" i="1" s="1"/>
  <c r="B441" i="1"/>
  <c r="D441" i="1" s="1"/>
  <c r="B453" i="1"/>
  <c r="D453" i="1" s="1"/>
  <c r="B465" i="1"/>
  <c r="D465" i="1" s="1"/>
  <c r="B477" i="1"/>
  <c r="D477" i="1" s="1"/>
  <c r="B489" i="1"/>
  <c r="D489" i="1" s="1"/>
  <c r="B501" i="1"/>
  <c r="D501" i="1" s="1"/>
  <c r="B513" i="1"/>
  <c r="D513" i="1" s="1"/>
  <c r="B525" i="1"/>
  <c r="D525" i="1" s="1"/>
  <c r="B537" i="1"/>
  <c r="D537" i="1" s="1"/>
  <c r="B549" i="1"/>
  <c r="D549" i="1" s="1"/>
  <c r="B561" i="1"/>
  <c r="D561" i="1" s="1"/>
  <c r="B573" i="1"/>
  <c r="D573" i="1" s="1"/>
  <c r="B585" i="1"/>
  <c r="D585" i="1" s="1"/>
  <c r="B597" i="1"/>
  <c r="D597" i="1" s="1"/>
  <c r="B609" i="1"/>
  <c r="D609" i="1" s="1"/>
  <c r="B621" i="1"/>
  <c r="D621" i="1" s="1"/>
  <c r="B633" i="1"/>
  <c r="D633" i="1" s="1"/>
  <c r="B645" i="1"/>
  <c r="D645" i="1" s="1"/>
  <c r="B657" i="1"/>
  <c r="D657" i="1" s="1"/>
  <c r="B669" i="1"/>
  <c r="D669" i="1" s="1"/>
  <c r="B681" i="1"/>
  <c r="D681" i="1" s="1"/>
  <c r="B693" i="1"/>
  <c r="D693" i="1" s="1"/>
  <c r="B705" i="1"/>
  <c r="B717" i="1"/>
  <c r="B12" i="1"/>
  <c r="D12" i="1" s="1"/>
  <c r="B48" i="1"/>
  <c r="D48" i="1" s="1"/>
  <c r="G48" i="1" s="1"/>
  <c r="B84" i="1"/>
  <c r="D84" i="1" s="1"/>
  <c r="G84" i="1" s="1"/>
  <c r="B120" i="1"/>
  <c r="D120" i="1" s="1"/>
  <c r="B156" i="1"/>
  <c r="D156" i="1" s="1"/>
  <c r="B192" i="1"/>
  <c r="D192" i="1" s="1"/>
  <c r="B228" i="1"/>
  <c r="D228" i="1" s="1"/>
  <c r="B264" i="1"/>
  <c r="D264" i="1" s="1"/>
  <c r="B300" i="1"/>
  <c r="D300" i="1" s="1"/>
  <c r="B336" i="1"/>
  <c r="D336" i="1" s="1"/>
  <c r="B372" i="1"/>
  <c r="D372" i="1" s="1"/>
  <c r="B404" i="1"/>
  <c r="D404" i="1" s="1"/>
  <c r="B431" i="1"/>
  <c r="D431" i="1" s="1"/>
  <c r="B455" i="1"/>
  <c r="D455" i="1" s="1"/>
  <c r="B479" i="1"/>
  <c r="D479" i="1" s="1"/>
  <c r="B503" i="1"/>
  <c r="D503" i="1" s="1"/>
  <c r="B527" i="1"/>
  <c r="D527" i="1" s="1"/>
  <c r="B550" i="1"/>
  <c r="D550" i="1" s="1"/>
  <c r="B569" i="1"/>
  <c r="D569" i="1" s="1"/>
  <c r="B589" i="1"/>
  <c r="D589" i="1" s="1"/>
  <c r="B611" i="1"/>
  <c r="D611" i="1" s="1"/>
  <c r="B632" i="1"/>
  <c r="D632" i="1" s="1"/>
  <c r="B651" i="1"/>
  <c r="D651" i="1" s="1"/>
  <c r="B671" i="1"/>
  <c r="D671" i="1" s="1"/>
  <c r="B687" i="1"/>
  <c r="D687" i="1" s="1"/>
  <c r="B702" i="1"/>
  <c r="D702" i="1" s="1"/>
  <c r="B719" i="1"/>
  <c r="B733" i="1"/>
  <c r="B748" i="1"/>
  <c r="B762" i="1"/>
  <c r="B777" i="1"/>
  <c r="B791" i="1"/>
  <c r="B805" i="1"/>
  <c r="B820" i="1"/>
  <c r="B834" i="1"/>
  <c r="B849" i="1"/>
  <c r="B863" i="1"/>
  <c r="B877" i="1"/>
  <c r="B892" i="1"/>
  <c r="B905" i="1"/>
  <c r="B917" i="1"/>
  <c r="B929" i="1"/>
  <c r="B941" i="1"/>
  <c r="B953" i="1"/>
  <c r="B965" i="1"/>
  <c r="B977" i="1"/>
  <c r="B989" i="1"/>
  <c r="B1001" i="1"/>
  <c r="B1013" i="1"/>
  <c r="B1025" i="1"/>
  <c r="B1037" i="1"/>
  <c r="B1049" i="1"/>
  <c r="B1061" i="1"/>
  <c r="B1073" i="1"/>
  <c r="B1085" i="1"/>
  <c r="B1097" i="1"/>
  <c r="B1109" i="1"/>
  <c r="B1121" i="1"/>
  <c r="B1133" i="1"/>
  <c r="B1145" i="1"/>
  <c r="B1157" i="1"/>
  <c r="B1169" i="1"/>
  <c r="B1181" i="1"/>
  <c r="B1193" i="1"/>
  <c r="B1205" i="1"/>
  <c r="B1217" i="1"/>
  <c r="B1229" i="1"/>
  <c r="B1241" i="1"/>
  <c r="B1253" i="1"/>
  <c r="B1265" i="1"/>
  <c r="B1277" i="1"/>
  <c r="B1289" i="1"/>
  <c r="B1301" i="1"/>
  <c r="B1313" i="1"/>
  <c r="B1325" i="1"/>
  <c r="B1337" i="1"/>
  <c r="B1349" i="1"/>
  <c r="B1361" i="1"/>
  <c r="B13" i="1"/>
  <c r="D13" i="1" s="1"/>
  <c r="G13" i="1" s="1"/>
  <c r="B49" i="1"/>
  <c r="D49" i="1" s="1"/>
  <c r="G49" i="1" s="1"/>
  <c r="B85" i="1"/>
  <c r="D85" i="1" s="1"/>
  <c r="G85" i="1" s="1"/>
  <c r="B121" i="1"/>
  <c r="D121" i="1" s="1"/>
  <c r="B157" i="1"/>
  <c r="D157" i="1" s="1"/>
  <c r="B193" i="1"/>
  <c r="D193" i="1" s="1"/>
  <c r="B229" i="1"/>
  <c r="D229" i="1" s="1"/>
  <c r="B265" i="1"/>
  <c r="D265" i="1" s="1"/>
  <c r="B301" i="1"/>
  <c r="D301" i="1" s="1"/>
  <c r="B337" i="1"/>
  <c r="D337" i="1" s="1"/>
  <c r="B373" i="1"/>
  <c r="D373" i="1" s="1"/>
  <c r="B406" i="1"/>
  <c r="D406" i="1" s="1"/>
  <c r="B432" i="1"/>
  <c r="D432" i="1" s="1"/>
  <c r="B456" i="1"/>
  <c r="D456" i="1" s="1"/>
  <c r="B480" i="1"/>
  <c r="D480" i="1" s="1"/>
  <c r="B504" i="1"/>
  <c r="D504" i="1" s="1"/>
  <c r="B528" i="1"/>
  <c r="D528" i="1" s="1"/>
  <c r="B551" i="1"/>
  <c r="D551" i="1" s="1"/>
  <c r="B572" i="1"/>
  <c r="D572" i="1" s="1"/>
  <c r="B591" i="1"/>
  <c r="D591" i="1" s="1"/>
  <c r="B612" i="1"/>
  <c r="D612" i="1" s="1"/>
  <c r="B634" i="1"/>
  <c r="D634" i="1" s="1"/>
  <c r="B653" i="1"/>
  <c r="D653" i="1" s="1"/>
  <c r="B672" i="1"/>
  <c r="D672" i="1" s="1"/>
  <c r="B688" i="1"/>
  <c r="D688" i="1" s="1"/>
  <c r="B704" i="1"/>
  <c r="D704" i="1" s="1"/>
  <c r="B720" i="1"/>
  <c r="B735" i="1"/>
  <c r="B749" i="1"/>
  <c r="B764" i="1"/>
  <c r="B778" i="1"/>
  <c r="B792" i="1"/>
  <c r="B807" i="1"/>
  <c r="B821" i="1"/>
  <c r="B836" i="1"/>
  <c r="B850" i="1"/>
  <c r="B864" i="1"/>
  <c r="B879" i="1"/>
  <c r="B893" i="1"/>
  <c r="B906" i="1"/>
  <c r="B918" i="1"/>
  <c r="B930" i="1"/>
  <c r="B942" i="1"/>
  <c r="B954" i="1"/>
  <c r="B966" i="1"/>
  <c r="B978" i="1"/>
  <c r="B990" i="1"/>
  <c r="B1002" i="1"/>
  <c r="B1014" i="1"/>
  <c r="B1026" i="1"/>
  <c r="B1038" i="1"/>
  <c r="B1050" i="1"/>
  <c r="B1062" i="1"/>
  <c r="B1074" i="1"/>
  <c r="B1086" i="1"/>
  <c r="B1098" i="1"/>
  <c r="B1110" i="1"/>
  <c r="B1122" i="1"/>
  <c r="B1134" i="1"/>
  <c r="B1146" i="1"/>
  <c r="B1158" i="1"/>
  <c r="B1170" i="1"/>
  <c r="B1182" i="1"/>
  <c r="B1194" i="1"/>
  <c r="B1206" i="1"/>
  <c r="B1218" i="1"/>
  <c r="B1230" i="1"/>
  <c r="B1242" i="1"/>
  <c r="B1254" i="1"/>
  <c r="B1266" i="1"/>
  <c r="B1278" i="1"/>
  <c r="B1290" i="1"/>
  <c r="B1302" i="1"/>
  <c r="B1314" i="1"/>
  <c r="B1326" i="1"/>
  <c r="B1338" i="1"/>
  <c r="B1350" i="1"/>
  <c r="B1362" i="1"/>
  <c r="B1374" i="1"/>
  <c r="B1386" i="1"/>
  <c r="B1398" i="1"/>
  <c r="B1410" i="1"/>
  <c r="B1422" i="1"/>
  <c r="B1434" i="1"/>
  <c r="B1446" i="1"/>
  <c r="B1458" i="1"/>
  <c r="B1470" i="1"/>
  <c r="B1482" i="1"/>
  <c r="B1494" i="1"/>
  <c r="B1506" i="1"/>
  <c r="B1518" i="1"/>
  <c r="B1530" i="1"/>
  <c r="B1542" i="1"/>
  <c r="B1554" i="1"/>
  <c r="B1566" i="1"/>
  <c r="B1578" i="1"/>
  <c r="B1590" i="1"/>
  <c r="B1602" i="1"/>
  <c r="B1614" i="1"/>
  <c r="B1626" i="1"/>
  <c r="B1638" i="1"/>
  <c r="B1650" i="1"/>
  <c r="B1662" i="1"/>
  <c r="B1674" i="1"/>
  <c r="B1686" i="1"/>
  <c r="B1698" i="1"/>
  <c r="B1710" i="1"/>
  <c r="B1722" i="1"/>
  <c r="B1734" i="1"/>
  <c r="B1746" i="1"/>
  <c r="B1758" i="1"/>
  <c r="B1770" i="1"/>
  <c r="B1782" i="1"/>
  <c r="B1794" i="1"/>
  <c r="B1806" i="1"/>
  <c r="B1818" i="1"/>
  <c r="B1830" i="1"/>
  <c r="B1842" i="1"/>
  <c r="B1854" i="1"/>
  <c r="B1866" i="1"/>
  <c r="B1878" i="1"/>
  <c r="B1890" i="1"/>
  <c r="B1902" i="1"/>
  <c r="B1914" i="1"/>
  <c r="B1926" i="1"/>
  <c r="B1938" i="1"/>
  <c r="B1950" i="1"/>
  <c r="B1962" i="1"/>
  <c r="B1974" i="1"/>
  <c r="B1986" i="1"/>
  <c r="B1998" i="1"/>
  <c r="B2010" i="1"/>
  <c r="B22" i="1"/>
  <c r="D22" i="1" s="1"/>
  <c r="G22" i="1" s="1"/>
  <c r="B58" i="1"/>
  <c r="D58" i="1" s="1"/>
  <c r="G58" i="1" s="1"/>
  <c r="B94" i="1"/>
  <c r="D94" i="1" s="1"/>
  <c r="G94" i="1" s="1"/>
  <c r="B130" i="1"/>
  <c r="D130" i="1" s="1"/>
  <c r="B166" i="1"/>
  <c r="D166" i="1" s="1"/>
  <c r="B202" i="1"/>
  <c r="D202" i="1" s="1"/>
  <c r="B238" i="1"/>
  <c r="D238" i="1" s="1"/>
  <c r="B274" i="1"/>
  <c r="D274" i="1" s="1"/>
  <c r="B310" i="1"/>
  <c r="D310" i="1" s="1"/>
  <c r="B346" i="1"/>
  <c r="D346" i="1" s="1"/>
  <c r="B380" i="1"/>
  <c r="D380" i="1" s="1"/>
  <c r="B407" i="1"/>
  <c r="D407" i="1" s="1"/>
  <c r="B433" i="1"/>
  <c r="D433" i="1" s="1"/>
  <c r="B457" i="1"/>
  <c r="D457" i="1" s="1"/>
  <c r="B481" i="1"/>
  <c r="D481" i="1" s="1"/>
  <c r="B505" i="1"/>
  <c r="D505" i="1" s="1"/>
  <c r="B529" i="1"/>
  <c r="D529" i="1" s="1"/>
  <c r="B552" i="1"/>
  <c r="D552" i="1" s="1"/>
  <c r="B574" i="1"/>
  <c r="D574" i="1" s="1"/>
  <c r="B593" i="1"/>
  <c r="D593" i="1" s="1"/>
  <c r="B613" i="1"/>
  <c r="D613" i="1" s="1"/>
  <c r="B635" i="1"/>
  <c r="D635" i="1" s="1"/>
  <c r="B656" i="1"/>
  <c r="D656" i="1" s="1"/>
  <c r="B673" i="1"/>
  <c r="D673" i="1" s="1"/>
  <c r="B689" i="1"/>
  <c r="D689" i="1" s="1"/>
  <c r="B706" i="1"/>
  <c r="B721" i="1"/>
  <c r="B736" i="1"/>
  <c r="B750" i="1"/>
  <c r="B765" i="1"/>
  <c r="B779" i="1"/>
  <c r="B793" i="1"/>
  <c r="B808" i="1"/>
  <c r="B822" i="1"/>
  <c r="B837" i="1"/>
  <c r="B851" i="1"/>
  <c r="B865" i="1"/>
  <c r="B880" i="1"/>
  <c r="B894" i="1"/>
  <c r="B907" i="1"/>
  <c r="B919" i="1"/>
  <c r="B931" i="1"/>
  <c r="B943" i="1"/>
  <c r="B955" i="1"/>
  <c r="B967" i="1"/>
  <c r="B979" i="1"/>
  <c r="B991" i="1"/>
  <c r="B1003" i="1"/>
  <c r="B1015" i="1"/>
  <c r="B1027" i="1"/>
  <c r="B1039" i="1"/>
  <c r="B1051" i="1"/>
  <c r="B1063" i="1"/>
  <c r="B1075" i="1"/>
  <c r="B1087" i="1"/>
  <c r="B1099" i="1"/>
  <c r="B1111" i="1"/>
  <c r="B1123" i="1"/>
  <c r="B1135" i="1"/>
  <c r="B1147" i="1"/>
  <c r="B1159" i="1"/>
  <c r="B1171" i="1"/>
  <c r="B1183" i="1"/>
  <c r="B1195" i="1"/>
  <c r="B1207" i="1"/>
  <c r="B1219" i="1"/>
  <c r="B1231" i="1"/>
  <c r="B1243" i="1"/>
  <c r="B1255" i="1"/>
  <c r="B1267" i="1"/>
  <c r="B1279" i="1"/>
  <c r="B1291" i="1"/>
  <c r="B1303" i="1"/>
  <c r="B1315" i="1"/>
  <c r="B1327" i="1"/>
  <c r="B1339" i="1"/>
  <c r="B1351" i="1"/>
  <c r="B1363" i="1"/>
  <c r="B1375" i="1"/>
  <c r="B1387" i="1"/>
  <c r="B1399" i="1"/>
  <c r="B1411" i="1"/>
  <c r="B1423" i="1"/>
  <c r="B1435" i="1"/>
  <c r="B1447" i="1"/>
  <c r="B1459" i="1"/>
  <c r="B1471" i="1"/>
  <c r="B1483" i="1"/>
  <c r="B1495" i="1"/>
  <c r="B1507" i="1"/>
  <c r="B1519" i="1"/>
  <c r="B1531" i="1"/>
  <c r="B1543" i="1"/>
  <c r="B1555" i="1"/>
  <c r="B1567" i="1"/>
  <c r="B1579" i="1"/>
  <c r="B1591" i="1"/>
  <c r="B1603" i="1"/>
  <c r="B1615" i="1"/>
  <c r="B1627" i="1"/>
  <c r="B1639" i="1"/>
  <c r="B1651" i="1"/>
  <c r="B1663" i="1"/>
  <c r="B1675" i="1"/>
  <c r="B23" i="1"/>
  <c r="D23" i="1" s="1"/>
  <c r="B59" i="1"/>
  <c r="D59" i="1" s="1"/>
  <c r="G59" i="1" s="1"/>
  <c r="B95" i="1"/>
  <c r="D95" i="1" s="1"/>
  <c r="G95" i="1" s="1"/>
  <c r="B131" i="1"/>
  <c r="D131" i="1" s="1"/>
  <c r="B167" i="1"/>
  <c r="D167" i="1" s="1"/>
  <c r="B203" i="1"/>
  <c r="D203" i="1" s="1"/>
  <c r="B239" i="1"/>
  <c r="D239" i="1" s="1"/>
  <c r="B275" i="1"/>
  <c r="D275" i="1" s="1"/>
  <c r="B311" i="1"/>
  <c r="D311" i="1" s="1"/>
  <c r="B347" i="1"/>
  <c r="D347" i="1" s="1"/>
  <c r="B382" i="1"/>
  <c r="D382" i="1" s="1"/>
  <c r="B408" i="1"/>
  <c r="D408" i="1" s="1"/>
  <c r="B437" i="1"/>
  <c r="D437" i="1" s="1"/>
  <c r="B461" i="1"/>
  <c r="D461" i="1" s="1"/>
  <c r="B485" i="1"/>
  <c r="D485" i="1" s="1"/>
  <c r="B509" i="1"/>
  <c r="D509" i="1" s="1"/>
  <c r="B533" i="1"/>
  <c r="D533" i="1" s="1"/>
  <c r="B553" i="1"/>
  <c r="D553" i="1" s="1"/>
  <c r="B575" i="1"/>
  <c r="D575" i="1" s="1"/>
  <c r="B596" i="1"/>
  <c r="D596" i="1" s="1"/>
  <c r="B615" i="1"/>
  <c r="D615" i="1" s="1"/>
  <c r="B636" i="1"/>
  <c r="D636" i="1" s="1"/>
  <c r="B658" i="1"/>
  <c r="D658" i="1" s="1"/>
  <c r="B675" i="1"/>
  <c r="D675" i="1" s="1"/>
  <c r="B690" i="1"/>
  <c r="D690" i="1" s="1"/>
  <c r="B707" i="1"/>
  <c r="B723" i="1"/>
  <c r="B737" i="1"/>
  <c r="B752" i="1"/>
  <c r="B766" i="1"/>
  <c r="B780" i="1"/>
  <c r="B795" i="1"/>
  <c r="B809" i="1"/>
  <c r="B824" i="1"/>
  <c r="B838" i="1"/>
  <c r="B852" i="1"/>
  <c r="B867" i="1"/>
  <c r="B881" i="1"/>
  <c r="B896" i="1"/>
  <c r="B908" i="1"/>
  <c r="B920" i="1"/>
  <c r="B932" i="1"/>
  <c r="B944" i="1"/>
  <c r="B956" i="1"/>
  <c r="B968" i="1"/>
  <c r="B980" i="1"/>
  <c r="B992" i="1"/>
  <c r="B1004" i="1"/>
  <c r="B1016" i="1"/>
  <c r="B1028" i="1"/>
  <c r="B1040" i="1"/>
  <c r="B1052" i="1"/>
  <c r="B1064" i="1"/>
  <c r="B1076" i="1"/>
  <c r="B1088" i="1"/>
  <c r="B1100" i="1"/>
  <c r="B1112" i="1"/>
  <c r="B1124" i="1"/>
  <c r="B1136" i="1"/>
  <c r="B1148" i="1"/>
  <c r="B1160" i="1"/>
  <c r="B1172" i="1"/>
  <c r="B1184" i="1"/>
  <c r="B1196" i="1"/>
  <c r="B1208" i="1"/>
  <c r="B1220" i="1"/>
  <c r="B1232" i="1"/>
  <c r="B1244" i="1"/>
  <c r="B1256" i="1"/>
  <c r="B1268" i="1"/>
  <c r="B1280" i="1"/>
  <c r="B1292" i="1"/>
  <c r="B1304" i="1"/>
  <c r="B1316" i="1"/>
  <c r="B1328" i="1"/>
  <c r="B1340" i="1"/>
  <c r="B1352" i="1"/>
  <c r="B1364" i="1"/>
  <c r="B1376" i="1"/>
  <c r="B1388" i="1"/>
  <c r="B1400" i="1"/>
  <c r="B1412" i="1"/>
  <c r="B1424" i="1"/>
  <c r="B1436" i="1"/>
  <c r="B1448" i="1"/>
  <c r="B1460" i="1"/>
  <c r="B1472" i="1"/>
  <c r="B1484" i="1"/>
  <c r="B1496" i="1"/>
  <c r="B1508" i="1"/>
  <c r="B1520" i="1"/>
  <c r="B1532" i="1"/>
  <c r="B1544" i="1"/>
  <c r="B1556" i="1"/>
  <c r="B1568" i="1"/>
  <c r="B1580" i="1"/>
  <c r="B1592" i="1"/>
  <c r="B1604" i="1"/>
  <c r="B1616" i="1"/>
  <c r="B1628" i="1"/>
  <c r="B1640" i="1"/>
  <c r="B1652" i="1"/>
  <c r="B1664" i="1"/>
  <c r="B1676" i="1"/>
  <c r="B1688" i="1"/>
  <c r="B1700" i="1"/>
  <c r="B1712" i="1"/>
  <c r="B1724" i="1"/>
  <c r="B1736" i="1"/>
  <c r="B1748" i="1"/>
  <c r="B1760" i="1"/>
  <c r="B1772" i="1"/>
  <c r="B1784" i="1"/>
  <c r="B1796" i="1"/>
  <c r="B1808" i="1"/>
  <c r="B1820" i="1"/>
  <c r="B1832" i="1"/>
  <c r="B1844" i="1"/>
  <c r="B1856" i="1"/>
  <c r="B1868" i="1"/>
  <c r="B1880" i="1"/>
  <c r="B1892" i="1"/>
  <c r="B1904" i="1"/>
  <c r="B1916" i="1"/>
  <c r="B1928" i="1"/>
  <c r="B1940" i="1"/>
  <c r="B1952" i="1"/>
  <c r="B1964" i="1"/>
  <c r="B1976" i="1"/>
  <c r="B1988" i="1"/>
  <c r="B24" i="1"/>
  <c r="D24" i="1" s="1"/>
  <c r="B60" i="1"/>
  <c r="D60" i="1" s="1"/>
  <c r="G60" i="1" s="1"/>
  <c r="B96" i="1"/>
  <c r="D96" i="1" s="1"/>
  <c r="B132" i="1"/>
  <c r="D132" i="1" s="1"/>
  <c r="B168" i="1"/>
  <c r="D168" i="1" s="1"/>
  <c r="B204" i="1"/>
  <c r="D204" i="1" s="1"/>
  <c r="B240" i="1"/>
  <c r="D240" i="1" s="1"/>
  <c r="B276" i="1"/>
  <c r="D276" i="1" s="1"/>
  <c r="B312" i="1"/>
  <c r="D312" i="1" s="1"/>
  <c r="B348" i="1"/>
  <c r="D348" i="1" s="1"/>
  <c r="B383" i="1"/>
  <c r="D383" i="1" s="1"/>
  <c r="B409" i="1"/>
  <c r="D409" i="1" s="1"/>
  <c r="B440" i="1"/>
  <c r="D440" i="1" s="1"/>
  <c r="B464" i="1"/>
  <c r="D464" i="1" s="1"/>
  <c r="B488" i="1"/>
  <c r="D488" i="1" s="1"/>
  <c r="B512" i="1"/>
  <c r="D512" i="1" s="1"/>
  <c r="B536" i="1"/>
  <c r="D536" i="1" s="1"/>
  <c r="B555" i="1"/>
  <c r="D555" i="1" s="1"/>
  <c r="B576" i="1"/>
  <c r="D576" i="1" s="1"/>
  <c r="B598" i="1"/>
  <c r="D598" i="1" s="1"/>
  <c r="B617" i="1"/>
  <c r="D617" i="1" s="1"/>
  <c r="B637" i="1"/>
  <c r="D637" i="1" s="1"/>
  <c r="B659" i="1"/>
  <c r="D659" i="1" s="1"/>
  <c r="B676" i="1"/>
  <c r="D676" i="1" s="1"/>
  <c r="B692" i="1"/>
  <c r="D692" i="1" s="1"/>
  <c r="B708" i="1"/>
  <c r="B724" i="1"/>
  <c r="B738" i="1"/>
  <c r="B753" i="1"/>
  <c r="B767" i="1"/>
  <c r="B781" i="1"/>
  <c r="B796" i="1"/>
  <c r="B810" i="1"/>
  <c r="B825" i="1"/>
  <c r="B839" i="1"/>
  <c r="B853" i="1"/>
  <c r="B868" i="1"/>
  <c r="B882" i="1"/>
  <c r="B897" i="1"/>
  <c r="B909" i="1"/>
  <c r="B921" i="1"/>
  <c r="B933" i="1"/>
  <c r="B945" i="1"/>
  <c r="B957" i="1"/>
  <c r="B969" i="1"/>
  <c r="B981" i="1"/>
  <c r="B993" i="1"/>
  <c r="B1005" i="1"/>
  <c r="B1017" i="1"/>
  <c r="B1029" i="1"/>
  <c r="B1041" i="1"/>
  <c r="B1053" i="1"/>
  <c r="B1065" i="1"/>
  <c r="B1077" i="1"/>
  <c r="B1089" i="1"/>
  <c r="B1101" i="1"/>
  <c r="B1113" i="1"/>
  <c r="B1125" i="1"/>
  <c r="B1137" i="1"/>
  <c r="B1149" i="1"/>
  <c r="B1161" i="1"/>
  <c r="B1173" i="1"/>
  <c r="B1185" i="1"/>
  <c r="B1197" i="1"/>
  <c r="B1209" i="1"/>
  <c r="B1221" i="1"/>
  <c r="B1233" i="1"/>
  <c r="B1245" i="1"/>
  <c r="B1257" i="1"/>
  <c r="B1269" i="1"/>
  <c r="B1281" i="1"/>
  <c r="B1293" i="1"/>
  <c r="B1305" i="1"/>
  <c r="B1317" i="1"/>
  <c r="B1329" i="1"/>
  <c r="B1341" i="1"/>
  <c r="B1353" i="1"/>
  <c r="B1365" i="1"/>
  <c r="B1377" i="1"/>
  <c r="B1389" i="1"/>
  <c r="B1401" i="1"/>
  <c r="B1413" i="1"/>
  <c r="B1425" i="1"/>
  <c r="B1437" i="1"/>
  <c r="B1449" i="1"/>
  <c r="B1461" i="1"/>
  <c r="B1473" i="1"/>
  <c r="B1485" i="1"/>
  <c r="B1497" i="1"/>
  <c r="B1509" i="1"/>
  <c r="B1521" i="1"/>
  <c r="B1533" i="1"/>
  <c r="B1545" i="1"/>
  <c r="B1557" i="1"/>
  <c r="B1569" i="1"/>
  <c r="B1581" i="1"/>
  <c r="B1593" i="1"/>
  <c r="B1605" i="1"/>
  <c r="B1617" i="1"/>
  <c r="B1629" i="1"/>
  <c r="B1641" i="1"/>
  <c r="B1653" i="1"/>
  <c r="B1665" i="1"/>
  <c r="B1677" i="1"/>
  <c r="B1689" i="1"/>
  <c r="B1701" i="1"/>
  <c r="B1713" i="1"/>
  <c r="B1725" i="1"/>
  <c r="B1737" i="1"/>
  <c r="B1749" i="1"/>
  <c r="B1761" i="1"/>
  <c r="B1773" i="1"/>
  <c r="B1785" i="1"/>
  <c r="B1797" i="1"/>
  <c r="B1809" i="1"/>
  <c r="B1821" i="1"/>
  <c r="B1833" i="1"/>
  <c r="B1845" i="1"/>
  <c r="B1857" i="1"/>
  <c r="B1869" i="1"/>
  <c r="B1881" i="1"/>
  <c r="B1893" i="1"/>
  <c r="B1905" i="1"/>
  <c r="B1917" i="1"/>
  <c r="B1929" i="1"/>
  <c r="B1941" i="1"/>
  <c r="B1953" i="1"/>
  <c r="B1965" i="1"/>
  <c r="B1977" i="1"/>
  <c r="B1989" i="1"/>
  <c r="B2001" i="1"/>
  <c r="B2013" i="1"/>
  <c r="B2025" i="1"/>
  <c r="B2037" i="1"/>
  <c r="B2049" i="1"/>
  <c r="B2061" i="1"/>
  <c r="B2073" i="1"/>
  <c r="B2085" i="1"/>
  <c r="B2097" i="1"/>
  <c r="B2109" i="1"/>
  <c r="B2121" i="1"/>
  <c r="B2133" i="1"/>
  <c r="B2145" i="1"/>
  <c r="B25" i="1"/>
  <c r="D25" i="1" s="1"/>
  <c r="B61" i="1"/>
  <c r="D61" i="1" s="1"/>
  <c r="G61" i="1" s="1"/>
  <c r="B97" i="1"/>
  <c r="D97" i="1" s="1"/>
  <c r="B133" i="1"/>
  <c r="D133" i="1" s="1"/>
  <c r="B169" i="1"/>
  <c r="D169" i="1" s="1"/>
  <c r="B205" i="1"/>
  <c r="D205" i="1" s="1"/>
  <c r="B241" i="1"/>
  <c r="D241" i="1" s="1"/>
  <c r="B277" i="1"/>
  <c r="D277" i="1" s="1"/>
  <c r="B313" i="1"/>
  <c r="D313" i="1" s="1"/>
  <c r="B349" i="1"/>
  <c r="D349" i="1" s="1"/>
  <c r="B384" i="1"/>
  <c r="D384" i="1" s="1"/>
  <c r="B416" i="1"/>
  <c r="D416" i="1" s="1"/>
  <c r="B442" i="1"/>
  <c r="D442" i="1" s="1"/>
  <c r="B466" i="1"/>
  <c r="D466" i="1" s="1"/>
  <c r="B490" i="1"/>
  <c r="D490" i="1" s="1"/>
  <c r="B514" i="1"/>
  <c r="D514" i="1" s="1"/>
  <c r="B538" i="1"/>
  <c r="D538" i="1" s="1"/>
  <c r="B557" i="1"/>
  <c r="D557" i="1" s="1"/>
  <c r="B577" i="1"/>
  <c r="D577" i="1" s="1"/>
  <c r="B599" i="1"/>
  <c r="D599" i="1" s="1"/>
  <c r="B620" i="1"/>
  <c r="D620" i="1" s="1"/>
  <c r="B639" i="1"/>
  <c r="D639" i="1" s="1"/>
  <c r="B660" i="1"/>
  <c r="D660" i="1" s="1"/>
  <c r="B677" i="1"/>
  <c r="D677" i="1" s="1"/>
  <c r="B694" i="1"/>
  <c r="D694" i="1" s="1"/>
  <c r="B709" i="1"/>
  <c r="B725" i="1"/>
  <c r="B740" i="1"/>
  <c r="B754" i="1"/>
  <c r="B768" i="1"/>
  <c r="B783" i="1"/>
  <c r="B797" i="1"/>
  <c r="B812" i="1"/>
  <c r="B826" i="1"/>
  <c r="B840" i="1"/>
  <c r="B855" i="1"/>
  <c r="B869" i="1"/>
  <c r="B884" i="1"/>
  <c r="B898" i="1"/>
  <c r="B910" i="1"/>
  <c r="B922" i="1"/>
  <c r="B934" i="1"/>
  <c r="B946" i="1"/>
  <c r="B958" i="1"/>
  <c r="B970" i="1"/>
  <c r="B982" i="1"/>
  <c r="B994" i="1"/>
  <c r="B1006" i="1"/>
  <c r="B1018" i="1"/>
  <c r="B1030" i="1"/>
  <c r="B1042" i="1"/>
  <c r="B1054" i="1"/>
  <c r="B1066" i="1"/>
  <c r="B1078" i="1"/>
  <c r="B1090" i="1"/>
  <c r="B1102" i="1"/>
  <c r="B1114" i="1"/>
  <c r="B1126" i="1"/>
  <c r="B1138" i="1"/>
  <c r="B34" i="1"/>
  <c r="D34" i="1" s="1"/>
  <c r="G34" i="1" s="1"/>
  <c r="B70" i="1"/>
  <c r="D70" i="1" s="1"/>
  <c r="B106" i="1"/>
  <c r="D106" i="1" s="1"/>
  <c r="B142" i="1"/>
  <c r="D142" i="1" s="1"/>
  <c r="B178" i="1"/>
  <c r="D178" i="1" s="1"/>
  <c r="B214" i="1"/>
  <c r="D214" i="1" s="1"/>
  <c r="B250" i="1"/>
  <c r="D250" i="1" s="1"/>
  <c r="B286" i="1"/>
  <c r="D286" i="1" s="1"/>
  <c r="B322" i="1"/>
  <c r="D322" i="1" s="1"/>
  <c r="B358" i="1"/>
  <c r="D358" i="1" s="1"/>
  <c r="B385" i="1"/>
  <c r="D385" i="1" s="1"/>
  <c r="B418" i="1"/>
  <c r="D418" i="1" s="1"/>
  <c r="B443" i="1"/>
  <c r="D443" i="1" s="1"/>
  <c r="B467" i="1"/>
  <c r="D467" i="1" s="1"/>
  <c r="B491" i="1"/>
  <c r="D491" i="1" s="1"/>
  <c r="B515" i="1"/>
  <c r="D515" i="1" s="1"/>
  <c r="B539" i="1"/>
  <c r="D539" i="1" s="1"/>
  <c r="B560" i="1"/>
  <c r="D560" i="1" s="1"/>
  <c r="B579" i="1"/>
  <c r="D579" i="1" s="1"/>
  <c r="B600" i="1"/>
  <c r="D600" i="1" s="1"/>
  <c r="B622" i="1"/>
  <c r="D622" i="1" s="1"/>
  <c r="B641" i="1"/>
  <c r="D641" i="1" s="1"/>
  <c r="B661" i="1"/>
  <c r="D661" i="1" s="1"/>
  <c r="B678" i="1"/>
  <c r="D678" i="1" s="1"/>
  <c r="B695" i="1"/>
  <c r="D695" i="1" s="1"/>
  <c r="B711" i="1"/>
  <c r="B726" i="1"/>
  <c r="B741" i="1"/>
  <c r="B755" i="1"/>
  <c r="B769" i="1"/>
  <c r="B784" i="1"/>
  <c r="B798" i="1"/>
  <c r="B813" i="1"/>
  <c r="B827" i="1"/>
  <c r="B841" i="1"/>
  <c r="B856" i="1"/>
  <c r="B870" i="1"/>
  <c r="B885" i="1"/>
  <c r="B899" i="1"/>
  <c r="B911" i="1"/>
  <c r="B923" i="1"/>
  <c r="B935" i="1"/>
  <c r="B947" i="1"/>
  <c r="B959" i="1"/>
  <c r="B971" i="1"/>
  <c r="B983" i="1"/>
  <c r="B995" i="1"/>
  <c r="B1007" i="1"/>
  <c r="B1019" i="1"/>
  <c r="B1031" i="1"/>
  <c r="B1043" i="1"/>
  <c r="B1055" i="1"/>
  <c r="B1067" i="1"/>
  <c r="B1079" i="1"/>
  <c r="B1091" i="1"/>
  <c r="B1103" i="1"/>
  <c r="B1115" i="1"/>
  <c r="B1127" i="1"/>
  <c r="B1139" i="1"/>
  <c r="B1151" i="1"/>
  <c r="B1163" i="1"/>
  <c r="B1175" i="1"/>
  <c r="B1187" i="1"/>
  <c r="B1199" i="1"/>
  <c r="B1211" i="1"/>
  <c r="B1223" i="1"/>
  <c r="B1235" i="1"/>
  <c r="B1247" i="1"/>
  <c r="B1259" i="1"/>
  <c r="B1271" i="1"/>
  <c r="B1283" i="1"/>
  <c r="B1295" i="1"/>
  <c r="B1307" i="1"/>
  <c r="B1319" i="1"/>
  <c r="B1331" i="1"/>
  <c r="B1343" i="1"/>
  <c r="B1355" i="1"/>
  <c r="B1367" i="1"/>
  <c r="B1379" i="1"/>
  <c r="B1391" i="1"/>
  <c r="B1403" i="1"/>
  <c r="B1415" i="1"/>
  <c r="B1427" i="1"/>
  <c r="B1439" i="1"/>
  <c r="B1451" i="1"/>
  <c r="B1463" i="1"/>
  <c r="B1475" i="1"/>
  <c r="B1487" i="1"/>
  <c r="B1499" i="1"/>
  <c r="B1511" i="1"/>
  <c r="B1523" i="1"/>
  <c r="B1535" i="1"/>
  <c r="B1547" i="1"/>
  <c r="B1559" i="1"/>
  <c r="B1571" i="1"/>
  <c r="B1583" i="1"/>
  <c r="B1595" i="1"/>
  <c r="B1607" i="1"/>
  <c r="B1619" i="1"/>
  <c r="B1631" i="1"/>
  <c r="B1643" i="1"/>
  <c r="B1655" i="1"/>
  <c r="B1667" i="1"/>
  <c r="B1679" i="1"/>
  <c r="B1691" i="1"/>
  <c r="B1703" i="1"/>
  <c r="B1715" i="1"/>
  <c r="B1727" i="1"/>
  <c r="B1739" i="1"/>
  <c r="B1751" i="1"/>
  <c r="B1763" i="1"/>
  <c r="B1775" i="1"/>
  <c r="B1787" i="1"/>
  <c r="B1799" i="1"/>
  <c r="B1811" i="1"/>
  <c r="B1823" i="1"/>
  <c r="B1835" i="1"/>
  <c r="B1847" i="1"/>
  <c r="B1859" i="1"/>
  <c r="B1871" i="1"/>
  <c r="B1883" i="1"/>
  <c r="B1895" i="1"/>
  <c r="B1907" i="1"/>
  <c r="B1919" i="1"/>
  <c r="B1931" i="1"/>
  <c r="B1943" i="1"/>
  <c r="B1955" i="1"/>
  <c r="B1967" i="1"/>
  <c r="B1979" i="1"/>
  <c r="B1991" i="1"/>
  <c r="B2003" i="1"/>
  <c r="B2015" i="1"/>
  <c r="B2027" i="1"/>
  <c r="B2039" i="1"/>
  <c r="B2051" i="1"/>
  <c r="B2063" i="1"/>
  <c r="B2075" i="1"/>
  <c r="B2087" i="1"/>
  <c r="B35" i="1"/>
  <c r="D35" i="1" s="1"/>
  <c r="B71" i="1"/>
  <c r="D71" i="1" s="1"/>
  <c r="B107" i="1"/>
  <c r="D107" i="1" s="1"/>
  <c r="B143" i="1"/>
  <c r="D143" i="1" s="1"/>
  <c r="B179" i="1"/>
  <c r="D179" i="1" s="1"/>
  <c r="B215" i="1"/>
  <c r="D215" i="1" s="1"/>
  <c r="B251" i="1"/>
  <c r="D251" i="1" s="1"/>
  <c r="B287" i="1"/>
  <c r="D287" i="1" s="1"/>
  <c r="B323" i="1"/>
  <c r="D323" i="1" s="1"/>
  <c r="B359" i="1"/>
  <c r="D359" i="1" s="1"/>
  <c r="B392" i="1"/>
  <c r="D392" i="1" s="1"/>
  <c r="B419" i="1"/>
  <c r="D419" i="1" s="1"/>
  <c r="B444" i="1"/>
  <c r="D444" i="1" s="1"/>
  <c r="B468" i="1"/>
  <c r="D468" i="1" s="1"/>
  <c r="B492" i="1"/>
  <c r="D492" i="1" s="1"/>
  <c r="B516" i="1"/>
  <c r="D516" i="1" s="1"/>
  <c r="B540" i="1"/>
  <c r="D540" i="1" s="1"/>
  <c r="B562" i="1"/>
  <c r="D562" i="1" s="1"/>
  <c r="B581" i="1"/>
  <c r="D581" i="1" s="1"/>
  <c r="B601" i="1"/>
  <c r="D601" i="1" s="1"/>
  <c r="B623" i="1"/>
  <c r="D623" i="1" s="1"/>
  <c r="B644" i="1"/>
  <c r="D644" i="1" s="1"/>
  <c r="B663" i="1"/>
  <c r="D663" i="1" s="1"/>
  <c r="B680" i="1"/>
  <c r="D680" i="1" s="1"/>
  <c r="B696" i="1"/>
  <c r="D696" i="1" s="1"/>
  <c r="B712" i="1"/>
  <c r="B728" i="1"/>
  <c r="B742" i="1"/>
  <c r="B756" i="1"/>
  <c r="B771" i="1"/>
  <c r="B785" i="1"/>
  <c r="B800" i="1"/>
  <c r="B814" i="1"/>
  <c r="B828" i="1"/>
  <c r="B843" i="1"/>
  <c r="B857" i="1"/>
  <c r="B872" i="1"/>
  <c r="B886" i="1"/>
  <c r="B900" i="1"/>
  <c r="B912" i="1"/>
  <c r="B924" i="1"/>
  <c r="B936" i="1"/>
  <c r="B948" i="1"/>
  <c r="B960" i="1"/>
  <c r="B972" i="1"/>
  <c r="B984" i="1"/>
  <c r="B996" i="1"/>
  <c r="B1008" i="1"/>
  <c r="B1020" i="1"/>
  <c r="B1032" i="1"/>
  <c r="B1044" i="1"/>
  <c r="B1056" i="1"/>
  <c r="B1068" i="1"/>
  <c r="B1080" i="1"/>
  <c r="B1092" i="1"/>
  <c r="B1104" i="1"/>
  <c r="B1116" i="1"/>
  <c r="B1128" i="1"/>
  <c r="B1140" i="1"/>
  <c r="B1152" i="1"/>
  <c r="B1164" i="1"/>
  <c r="B1176" i="1"/>
  <c r="B1188" i="1"/>
  <c r="B1200" i="1"/>
  <c r="B1212" i="1"/>
  <c r="B1224" i="1"/>
  <c r="B1236" i="1"/>
  <c r="B1248" i="1"/>
  <c r="B1260" i="1"/>
  <c r="B1272" i="1"/>
  <c r="B1284" i="1"/>
  <c r="B1296" i="1"/>
  <c r="B1308" i="1"/>
  <c r="B1320" i="1"/>
  <c r="B1332" i="1"/>
  <c r="B1344" i="1"/>
  <c r="B1356" i="1"/>
  <c r="B1368" i="1"/>
  <c r="B1380" i="1"/>
  <c r="B1392" i="1"/>
  <c r="B1404" i="1"/>
  <c r="B1416" i="1"/>
  <c r="B1428" i="1"/>
  <c r="B1440" i="1"/>
  <c r="B1452" i="1"/>
  <c r="B1464" i="1"/>
  <c r="B1476" i="1"/>
  <c r="B1488" i="1"/>
  <c r="B1500" i="1"/>
  <c r="B1512" i="1"/>
  <c r="B1524" i="1"/>
  <c r="B1536" i="1"/>
  <c r="B1548" i="1"/>
  <c r="B1560" i="1"/>
  <c r="B1572" i="1"/>
  <c r="B1584" i="1"/>
  <c r="B1596" i="1"/>
  <c r="B1608" i="1"/>
  <c r="B1620" i="1"/>
  <c r="B1632" i="1"/>
  <c r="B1644" i="1"/>
  <c r="B1656" i="1"/>
  <c r="B1668" i="1"/>
  <c r="B1680" i="1"/>
  <c r="B1692" i="1"/>
  <c r="B1704" i="1"/>
  <c r="B1716" i="1"/>
  <c r="B1728" i="1"/>
  <c r="B1740" i="1"/>
  <c r="B1752" i="1"/>
  <c r="B1764" i="1"/>
  <c r="B1776" i="1"/>
  <c r="B1788" i="1"/>
  <c r="B1800" i="1"/>
  <c r="B1812" i="1"/>
  <c r="B1824" i="1"/>
  <c r="B1836" i="1"/>
  <c r="B1848" i="1"/>
  <c r="B1860" i="1"/>
  <c r="B1872" i="1"/>
  <c r="B1884" i="1"/>
  <c r="B1896" i="1"/>
  <c r="B1908" i="1"/>
  <c r="B1920" i="1"/>
  <c r="B1932" i="1"/>
  <c r="B1944" i="1"/>
  <c r="B1956" i="1"/>
  <c r="B1968" i="1"/>
  <c r="B1980" i="1"/>
  <c r="B1992" i="1"/>
  <c r="B2004" i="1"/>
  <c r="B2016" i="1"/>
  <c r="B2028" i="1"/>
  <c r="B2101" i="1"/>
  <c r="B2058" i="1"/>
  <c r="B1973" i="1"/>
  <c r="B1912" i="1"/>
  <c r="B1829" i="1"/>
  <c r="B1790" i="1"/>
  <c r="B1729" i="1"/>
  <c r="B1685" i="1"/>
  <c r="B1589" i="1"/>
  <c r="B1493" i="1"/>
  <c r="B1397" i="1"/>
  <c r="B1321" i="1"/>
  <c r="B1234" i="1"/>
  <c r="B1144" i="1"/>
  <c r="B1036" i="1"/>
  <c r="B891" i="1"/>
  <c r="B718" i="1"/>
  <c r="B478" i="1"/>
  <c r="D478" i="1" s="1"/>
  <c r="B191" i="1"/>
  <c r="D191" i="1" s="1"/>
  <c r="B2139" i="1"/>
  <c r="B2113" i="1"/>
  <c r="B2071" i="1"/>
  <c r="B2011" i="1"/>
  <c r="B1972" i="1"/>
  <c r="B1933" i="1"/>
  <c r="B1870" i="1"/>
  <c r="B1789" i="1"/>
  <c r="B1745" i="1"/>
  <c r="B1684" i="1"/>
  <c r="B1636" i="1"/>
  <c r="B1564" i="1"/>
  <c r="B1468" i="1"/>
  <c r="B1396" i="1"/>
  <c r="B1318" i="1"/>
  <c r="B1261" i="1"/>
  <c r="B1174" i="1"/>
  <c r="B1071" i="1"/>
  <c r="B963" i="1"/>
  <c r="B889" i="1"/>
  <c r="B716" i="1"/>
  <c r="B545" i="1"/>
  <c r="D545" i="1" s="1"/>
  <c r="B476" i="1"/>
  <c r="D476" i="1" s="1"/>
  <c r="B190" i="1"/>
  <c r="D190" i="1" s="1"/>
  <c r="B82" i="1"/>
  <c r="D82" i="1" s="1"/>
  <c r="C2114" i="1"/>
  <c r="C2006" i="1"/>
  <c r="C1898" i="1"/>
  <c r="C1790" i="1"/>
  <c r="C1682" i="1"/>
  <c r="C1537" i="1"/>
  <c r="C1299" i="1"/>
  <c r="B2137" i="1"/>
  <c r="B2111" i="1"/>
  <c r="B2069" i="1"/>
  <c r="B2024" i="1"/>
  <c r="B1990" i="1"/>
  <c r="B1948" i="1"/>
  <c r="B1721" i="1"/>
  <c r="B9" i="1"/>
  <c r="D9" i="1" s="1"/>
  <c r="G9" i="1" s="1"/>
  <c r="B2136" i="1"/>
  <c r="B2110" i="1"/>
  <c r="B2082" i="1"/>
  <c r="B2054" i="1"/>
  <c r="B2023" i="1"/>
  <c r="B2148" i="1"/>
  <c r="B2135" i="1"/>
  <c r="B2122" i="1"/>
  <c r="B2108" i="1"/>
  <c r="B2095" i="1"/>
  <c r="B2081" i="1"/>
  <c r="B2067" i="1"/>
  <c r="B2053" i="1"/>
  <c r="B2038" i="1"/>
  <c r="B2022" i="1"/>
  <c r="B2006" i="1"/>
  <c r="B1985" i="1"/>
  <c r="B1966" i="1"/>
  <c r="B1946" i="1"/>
  <c r="B1924" i="1"/>
  <c r="B1903" i="1"/>
  <c r="B1885" i="1"/>
  <c r="B1863" i="1"/>
  <c r="B1841" i="1"/>
  <c r="B1822" i="1"/>
  <c r="B1802" i="1"/>
  <c r="B1780" i="1"/>
  <c r="B1759" i="1"/>
  <c r="B1741" i="1"/>
  <c r="B1719" i="1"/>
  <c r="B1697" i="1"/>
  <c r="B1678" i="1"/>
  <c r="B1654" i="1"/>
  <c r="B1630" i="1"/>
  <c r="B1606" i="1"/>
  <c r="B1582" i="1"/>
  <c r="B1558" i="1"/>
  <c r="B1534" i="1"/>
  <c r="B1510" i="1"/>
  <c r="B1486" i="1"/>
  <c r="B1462" i="1"/>
  <c r="B1438" i="1"/>
  <c r="B1414" i="1"/>
  <c r="B1390" i="1"/>
  <c r="B1366" i="1"/>
  <c r="B1335" i="1"/>
  <c r="B1309" i="1"/>
  <c r="B1276" i="1"/>
  <c r="B1250" i="1"/>
  <c r="B1222" i="1"/>
  <c r="B1191" i="1"/>
  <c r="B1165" i="1"/>
  <c r="B1131" i="1"/>
  <c r="B1095" i="1"/>
  <c r="B1059" i="1"/>
  <c r="B1023" i="1"/>
  <c r="B987" i="1"/>
  <c r="B951" i="1"/>
  <c r="B915" i="1"/>
  <c r="B875" i="1"/>
  <c r="B832" i="1"/>
  <c r="B789" i="1"/>
  <c r="B745" i="1"/>
  <c r="B700" i="1"/>
  <c r="D700" i="1" s="1"/>
  <c r="B648" i="1"/>
  <c r="D648" i="1" s="1"/>
  <c r="B587" i="1"/>
  <c r="D587" i="1" s="1"/>
  <c r="B524" i="1"/>
  <c r="D524" i="1" s="1"/>
  <c r="B452" i="1"/>
  <c r="D452" i="1" s="1"/>
  <c r="B370" i="1"/>
  <c r="D370" i="1" s="1"/>
  <c r="B262" i="1"/>
  <c r="D262" i="1" s="1"/>
  <c r="B154" i="1"/>
  <c r="D154" i="1" s="1"/>
  <c r="B46" i="1"/>
  <c r="D46" i="1" s="1"/>
  <c r="G46" i="1" s="1"/>
  <c r="C2078" i="1"/>
  <c r="C1970" i="1"/>
  <c r="C1862" i="1"/>
  <c r="C1754" i="1"/>
  <c r="C1645" i="1"/>
  <c r="C1474" i="1"/>
  <c r="C1213" i="1"/>
  <c r="C886" i="1"/>
  <c r="C310" i="1"/>
  <c r="B1995" i="1"/>
  <c r="B761" i="1"/>
  <c r="B2134" i="1"/>
  <c r="B2107" i="1"/>
  <c r="B2094" i="1"/>
  <c r="B2066" i="1"/>
  <c r="B2052" i="1"/>
  <c r="B2021" i="1"/>
  <c r="B2005" i="1"/>
  <c r="B1984" i="1"/>
  <c r="B1945" i="1"/>
  <c r="B1923" i="1"/>
  <c r="B1901" i="1"/>
  <c r="B1882" i="1"/>
  <c r="B1862" i="1"/>
  <c r="B1840" i="1"/>
  <c r="B1819" i="1"/>
  <c r="B1801" i="1"/>
  <c r="B1779" i="1"/>
  <c r="B1757" i="1"/>
  <c r="B1738" i="1"/>
  <c r="B1718" i="1"/>
  <c r="B1696" i="1"/>
  <c r="B1673" i="1"/>
  <c r="B1649" i="1"/>
  <c r="B1625" i="1"/>
  <c r="B1601" i="1"/>
  <c r="B1577" i="1"/>
  <c r="B1553" i="1"/>
  <c r="B1529" i="1"/>
  <c r="B1505" i="1"/>
  <c r="B1481" i="1"/>
  <c r="B1457" i="1"/>
  <c r="B1433" i="1"/>
  <c r="B1409" i="1"/>
  <c r="B1385" i="1"/>
  <c r="B1360" i="1"/>
  <c r="B1334" i="1"/>
  <c r="B1306" i="1"/>
  <c r="B1275" i="1"/>
  <c r="B1249" i="1"/>
  <c r="B1216" i="1"/>
  <c r="B1190" i="1"/>
  <c r="B1162" i="1"/>
  <c r="B1130" i="1"/>
  <c r="B1094" i="1"/>
  <c r="B1058" i="1"/>
  <c r="B1022" i="1"/>
  <c r="B986" i="1"/>
  <c r="B950" i="1"/>
  <c r="B914" i="1"/>
  <c r="B874" i="1"/>
  <c r="B831" i="1"/>
  <c r="B788" i="1"/>
  <c r="B744" i="1"/>
  <c r="B699" i="1"/>
  <c r="D699" i="1" s="1"/>
  <c r="B647" i="1"/>
  <c r="D647" i="1" s="1"/>
  <c r="B586" i="1"/>
  <c r="D586" i="1" s="1"/>
  <c r="B521" i="1"/>
  <c r="D521" i="1" s="1"/>
  <c r="B449" i="1"/>
  <c r="D449" i="1" s="1"/>
  <c r="B361" i="1"/>
  <c r="D361" i="1" s="1"/>
  <c r="B253" i="1"/>
  <c r="D253" i="1" s="1"/>
  <c r="B145" i="1"/>
  <c r="D145" i="1" s="1"/>
  <c r="B37" i="1"/>
  <c r="D37" i="1" s="1"/>
  <c r="C2069" i="1"/>
  <c r="C1961" i="1"/>
  <c r="C1853" i="1"/>
  <c r="C1745" i="1"/>
  <c r="C1632" i="1"/>
  <c r="C1452" i="1"/>
  <c r="C1189" i="1"/>
  <c r="C850" i="1"/>
  <c r="C274" i="1"/>
  <c r="B804" i="1"/>
  <c r="B2147" i="1"/>
  <c r="B2120" i="1"/>
  <c r="B2080" i="1"/>
  <c r="B2036" i="1"/>
  <c r="B1963" i="1"/>
  <c r="B2146" i="1"/>
  <c r="B2132" i="1"/>
  <c r="B2119" i="1"/>
  <c r="B2106" i="1"/>
  <c r="B2093" i="1"/>
  <c r="B2079" i="1"/>
  <c r="B2065" i="1"/>
  <c r="B2050" i="1"/>
  <c r="B2035" i="1"/>
  <c r="B2020" i="1"/>
  <c r="B2002" i="1"/>
  <c r="B1983" i="1"/>
  <c r="B1961" i="1"/>
  <c r="B1942" i="1"/>
  <c r="B1922" i="1"/>
  <c r="B1900" i="1"/>
  <c r="B1879" i="1"/>
  <c r="B1861" i="1"/>
  <c r="B1839" i="1"/>
  <c r="B1817" i="1"/>
  <c r="B1798" i="1"/>
  <c r="B1778" i="1"/>
  <c r="B1756" i="1"/>
  <c r="B1735" i="1"/>
  <c r="B1717" i="1"/>
  <c r="B1695" i="1"/>
  <c r="B1672" i="1"/>
  <c r="B1648" i="1"/>
  <c r="B1624" i="1"/>
  <c r="B1600" i="1"/>
  <c r="B1576" i="1"/>
  <c r="B1552" i="1"/>
  <c r="B1528" i="1"/>
  <c r="B1504" i="1"/>
  <c r="B1480" i="1"/>
  <c r="B1456" i="1"/>
  <c r="B1432" i="1"/>
  <c r="B1408" i="1"/>
  <c r="B1384" i="1"/>
  <c r="B1359" i="1"/>
  <c r="B1333" i="1"/>
  <c r="B1300" i="1"/>
  <c r="B1274" i="1"/>
  <c r="B1246" i="1"/>
  <c r="B1215" i="1"/>
  <c r="B1189" i="1"/>
  <c r="B1156" i="1"/>
  <c r="B1129" i="1"/>
  <c r="B1093" i="1"/>
  <c r="B1057" i="1"/>
  <c r="B1021" i="1"/>
  <c r="B985" i="1"/>
  <c r="B949" i="1"/>
  <c r="B913" i="1"/>
  <c r="B873" i="1"/>
  <c r="B829" i="1"/>
  <c r="B786" i="1"/>
  <c r="B743" i="1"/>
  <c r="B697" i="1"/>
  <c r="D697" i="1" s="1"/>
  <c r="B646" i="1"/>
  <c r="D646" i="1" s="1"/>
  <c r="B584" i="1"/>
  <c r="D584" i="1" s="1"/>
  <c r="B517" i="1"/>
  <c r="D517" i="1" s="1"/>
  <c r="B445" i="1"/>
  <c r="D445" i="1" s="1"/>
  <c r="B360" i="1"/>
  <c r="D360" i="1" s="1"/>
  <c r="B252" i="1"/>
  <c r="D252" i="1" s="1"/>
  <c r="B144" i="1"/>
  <c r="D144" i="1" s="1"/>
  <c r="B36" i="1"/>
  <c r="D36" i="1" s="1"/>
  <c r="C2068" i="1"/>
  <c r="C1960" i="1"/>
  <c r="C1852" i="1"/>
  <c r="C1744" i="1"/>
  <c r="C1631" i="1"/>
  <c r="C1450" i="1"/>
  <c r="C1188" i="1"/>
  <c r="C744" i="1"/>
  <c r="C168" i="1"/>
  <c r="B1891" i="1"/>
  <c r="B1072" i="1"/>
  <c r="B2144" i="1"/>
  <c r="B2131" i="1"/>
  <c r="B2118" i="1"/>
  <c r="B2105" i="1"/>
  <c r="B2092" i="1"/>
  <c r="B2078" i="1"/>
  <c r="B2064" i="1"/>
  <c r="B2048" i="1"/>
  <c r="B2034" i="1"/>
  <c r="B2019" i="1"/>
  <c r="B2000" i="1"/>
  <c r="B1982" i="1"/>
  <c r="B1960" i="1"/>
  <c r="B1939" i="1"/>
  <c r="B1921" i="1"/>
  <c r="B1899" i="1"/>
  <c r="B1877" i="1"/>
  <c r="B1858" i="1"/>
  <c r="B1838" i="1"/>
  <c r="B1816" i="1"/>
  <c r="B1795" i="1"/>
  <c r="B1777" i="1"/>
  <c r="B1755" i="1"/>
  <c r="B1733" i="1"/>
  <c r="B1714" i="1"/>
  <c r="B1694" i="1"/>
  <c r="B1671" i="1"/>
  <c r="B1647" i="1"/>
  <c r="B1623" i="1"/>
  <c r="B1599" i="1"/>
  <c r="B1575" i="1"/>
  <c r="B1551" i="1"/>
  <c r="B1527" i="1"/>
  <c r="B1503" i="1"/>
  <c r="B1479" i="1"/>
  <c r="B1455" i="1"/>
  <c r="B1431" i="1"/>
  <c r="B1407" i="1"/>
  <c r="B1383" i="1"/>
  <c r="B1358" i="1"/>
  <c r="B1330" i="1"/>
  <c r="B1299" i="1"/>
  <c r="B1273" i="1"/>
  <c r="B1240" i="1"/>
  <c r="B1214" i="1"/>
  <c r="B1186" i="1"/>
  <c r="B1155" i="1"/>
  <c r="B1120" i="1"/>
  <c r="B1084" i="1"/>
  <c r="B1048" i="1"/>
  <c r="B1012" i="1"/>
  <c r="B976" i="1"/>
  <c r="B940" i="1"/>
  <c r="B904" i="1"/>
  <c r="B862" i="1"/>
  <c r="B819" i="1"/>
  <c r="B776" i="1"/>
  <c r="B732" i="1"/>
  <c r="B685" i="1"/>
  <c r="D685" i="1" s="1"/>
  <c r="B629" i="1"/>
  <c r="D629" i="1" s="1"/>
  <c r="B567" i="1"/>
  <c r="D567" i="1" s="1"/>
  <c r="B502" i="1"/>
  <c r="D502" i="1" s="1"/>
  <c r="B430" i="1"/>
  <c r="D430" i="1" s="1"/>
  <c r="B335" i="1"/>
  <c r="D335" i="1" s="1"/>
  <c r="B227" i="1"/>
  <c r="D227" i="1" s="1"/>
  <c r="B119" i="1"/>
  <c r="D119" i="1" s="1"/>
  <c r="B11" i="1"/>
  <c r="D11" i="1" s="1"/>
  <c r="C2043" i="1"/>
  <c r="C1935" i="1"/>
  <c r="C1827" i="1"/>
  <c r="C1719" i="1"/>
  <c r="C1594" i="1"/>
  <c r="C1390" i="1"/>
  <c r="C1114" i="1"/>
  <c r="C742" i="1"/>
  <c r="C166" i="1"/>
  <c r="G20" i="1" l="1"/>
  <c r="G75" i="1"/>
  <c r="G86" i="1"/>
  <c r="G70" i="1"/>
  <c r="G88" i="1"/>
  <c r="G67" i="1"/>
  <c r="G64" i="1"/>
  <c r="G38" i="1"/>
  <c r="G71" i="1"/>
  <c r="G16" i="1"/>
  <c r="G37" i="1"/>
  <c r="G35" i="1"/>
  <c r="G65" i="1"/>
  <c r="G41" i="1"/>
  <c r="G92" i="1"/>
  <c r="G29" i="1"/>
  <c r="G24" i="1"/>
  <c r="G30" i="1"/>
  <c r="G25" i="1"/>
  <c r="G63" i="1"/>
  <c r="G91" i="1"/>
  <c r="G15" i="1"/>
  <c r="G77" i="1"/>
  <c r="G23" i="1"/>
  <c r="G12" i="1"/>
  <c r="G51" i="1"/>
  <c r="G18" i="1"/>
  <c r="G50" i="1"/>
  <c r="H57" i="1"/>
  <c r="H82" i="1"/>
  <c r="H11" i="1"/>
  <c r="H52" i="1"/>
  <c r="H80" i="1"/>
  <c r="H79" i="1"/>
  <c r="H42" i="1"/>
  <c r="H36" i="1"/>
  <c r="G10" i="1"/>
  <c r="G11" i="1"/>
  <c r="G52" i="1"/>
  <c r="H41" i="1"/>
  <c r="H25" i="1"/>
  <c r="H38" i="1"/>
  <c r="H65" i="1"/>
  <c r="H64" i="1"/>
  <c r="H92" i="1"/>
  <c r="H29" i="1"/>
  <c r="H30" i="1"/>
  <c r="H24" i="1"/>
  <c r="H23" i="1"/>
  <c r="H51" i="1"/>
  <c r="H50" i="1"/>
  <c r="H77" i="1"/>
  <c r="H15" i="1"/>
  <c r="H18" i="1"/>
  <c r="H12" i="1"/>
  <c r="H44" i="1"/>
  <c r="H10" i="1"/>
  <c r="H71" i="1"/>
  <c r="H37" i="1"/>
  <c r="H35" i="1"/>
  <c r="H63" i="1"/>
  <c r="H91" i="1"/>
  <c r="H39" i="1"/>
  <c r="H14" i="1"/>
  <c r="H22" i="1"/>
  <c r="H21" i="1"/>
  <c r="H49" i="1"/>
  <c r="H76" i="1"/>
  <c r="G57" i="1"/>
  <c r="H56" i="1"/>
  <c r="H34" i="1"/>
  <c r="H62" i="1"/>
  <c r="H89" i="1"/>
  <c r="H86" i="1"/>
  <c r="H70" i="1"/>
  <c r="H20" i="1"/>
  <c r="H75" i="1"/>
  <c r="H88" i="1"/>
  <c r="G47" i="1"/>
  <c r="G36" i="1"/>
  <c r="H68" i="1"/>
  <c r="H28" i="1"/>
  <c r="H13" i="1"/>
  <c r="H83" i="1"/>
  <c r="H33" i="1"/>
  <c r="H61" i="1"/>
  <c r="H74" i="1"/>
  <c r="G42" i="1"/>
  <c r="H9" i="1"/>
  <c r="F9" i="1" s="1"/>
  <c r="H69" i="1"/>
  <c r="H19" i="1"/>
  <c r="H46" i="1"/>
  <c r="H59" i="1"/>
  <c r="H90" i="1"/>
  <c r="H84" i="1"/>
  <c r="G82" i="1"/>
  <c r="G80" i="1"/>
  <c r="H85" i="1"/>
  <c r="H55" i="1"/>
  <c r="H95" i="1"/>
  <c r="H32" i="1"/>
  <c r="H45" i="1"/>
  <c r="H87" i="1"/>
  <c r="H78" i="1"/>
  <c r="H72" i="1"/>
  <c r="H53" i="1"/>
  <c r="H43" i="1"/>
  <c r="H27" i="1"/>
  <c r="H40" i="1"/>
  <c r="H81" i="1"/>
  <c r="H17" i="1"/>
  <c r="H31" i="1"/>
  <c r="H73" i="1"/>
  <c r="H66" i="1"/>
  <c r="H60" i="1"/>
  <c r="G79" i="1"/>
  <c r="H26" i="1"/>
  <c r="H67" i="1"/>
  <c r="H94" i="1"/>
  <c r="H93" i="1"/>
  <c r="H16" i="1"/>
  <c r="H58" i="1"/>
  <c r="H54" i="1"/>
  <c r="H48" i="1"/>
  <c r="D705" i="1"/>
  <c r="E97" i="1"/>
  <c r="E96" i="1"/>
  <c r="H96" i="1" s="1"/>
  <c r="J9" i="1"/>
  <c r="G96" i="1" l="1"/>
  <c r="D706" i="1"/>
  <c r="E98" i="1"/>
  <c r="H97" i="1"/>
  <c r="G97" i="1"/>
  <c r="I9" i="1"/>
  <c r="K9" i="1" s="1"/>
  <c r="M9" i="1" s="1"/>
  <c r="J10" i="1"/>
  <c r="D707" i="1" l="1"/>
  <c r="E99" i="1"/>
  <c r="H98" i="1"/>
  <c r="G98" i="1"/>
  <c r="F10" i="1"/>
  <c r="I10" i="1" s="1"/>
  <c r="K10" i="1" s="1"/>
  <c r="M10" i="1" s="1"/>
  <c r="E100" i="1" l="1"/>
  <c r="H99" i="1"/>
  <c r="G99" i="1"/>
  <c r="D708" i="1"/>
  <c r="J11" i="1"/>
  <c r="D709" i="1" l="1"/>
  <c r="E101" i="1"/>
  <c r="H100" i="1"/>
  <c r="G100" i="1"/>
  <c r="F11" i="1"/>
  <c r="J12" i="1" s="1"/>
  <c r="E102" i="1" l="1"/>
  <c r="H101" i="1"/>
  <c r="G101" i="1"/>
  <c r="D710" i="1"/>
  <c r="F12" i="1"/>
  <c r="J13" i="1" s="1"/>
  <c r="I11" i="1"/>
  <c r="K11" i="1" s="1"/>
  <c r="M11" i="1" s="1"/>
  <c r="D711" i="1" l="1"/>
  <c r="E103" i="1"/>
  <c r="H102" i="1"/>
  <c r="G102" i="1"/>
  <c r="I12" i="1"/>
  <c r="K12" i="1" s="1"/>
  <c r="M12" i="1" s="1"/>
  <c r="F13" i="1"/>
  <c r="E104" i="1" l="1"/>
  <c r="H103" i="1"/>
  <c r="G103" i="1"/>
  <c r="D712" i="1"/>
  <c r="I13" i="1"/>
  <c r="K13" i="1" s="1"/>
  <c r="M13" i="1" s="1"/>
  <c r="J14" i="1"/>
  <c r="D713" i="1" l="1"/>
  <c r="E105" i="1"/>
  <c r="H104" i="1"/>
  <c r="G104" i="1"/>
  <c r="F14" i="1"/>
  <c r="E106" i="1" l="1"/>
  <c r="H105" i="1"/>
  <c r="G105" i="1"/>
  <c r="D714" i="1"/>
  <c r="J15" i="1"/>
  <c r="I14" i="1"/>
  <c r="K14" i="1" s="1"/>
  <c r="M14" i="1" s="1"/>
  <c r="D715" i="1" l="1"/>
  <c r="E107" i="1"/>
  <c r="H106" i="1"/>
  <c r="G106" i="1"/>
  <c r="F15" i="1"/>
  <c r="I15" i="1" s="1"/>
  <c r="K15" i="1" s="1"/>
  <c r="M15" i="1" s="1"/>
  <c r="E108" i="1" l="1"/>
  <c r="H107" i="1"/>
  <c r="G107" i="1"/>
  <c r="D716" i="1"/>
  <c r="F16" i="1"/>
  <c r="J16" i="1"/>
  <c r="D717" i="1" l="1"/>
  <c r="E109" i="1"/>
  <c r="H108" i="1"/>
  <c r="G108" i="1"/>
  <c r="J17" i="1"/>
  <c r="I16" i="1"/>
  <c r="K16" i="1" s="1"/>
  <c r="M16" i="1" s="1"/>
  <c r="E110" i="1" l="1"/>
  <c r="H109" i="1"/>
  <c r="G109" i="1"/>
  <c r="D718" i="1"/>
  <c r="F17" i="1"/>
  <c r="D719" i="1" l="1"/>
  <c r="E111" i="1"/>
  <c r="H110" i="1"/>
  <c r="G110" i="1"/>
  <c r="I17" i="1"/>
  <c r="K17" i="1" s="1"/>
  <c r="M17" i="1" s="1"/>
  <c r="E112" i="1" l="1"/>
  <c r="H111" i="1"/>
  <c r="G111" i="1"/>
  <c r="D720" i="1"/>
  <c r="J18" i="1"/>
  <c r="F18" i="1"/>
  <c r="D721" i="1" l="1"/>
  <c r="E113" i="1"/>
  <c r="H112" i="1"/>
  <c r="G112" i="1"/>
  <c r="I18" i="1"/>
  <c r="K18" i="1" s="1"/>
  <c r="M18" i="1" s="1"/>
  <c r="J19" i="1"/>
  <c r="E114" i="1" l="1"/>
  <c r="H113" i="1"/>
  <c r="G113" i="1"/>
  <c r="D722" i="1"/>
  <c r="F19" i="1"/>
  <c r="D723" i="1" l="1"/>
  <c r="E115" i="1"/>
  <c r="H114" i="1"/>
  <c r="G114" i="1"/>
  <c r="I19" i="1"/>
  <c r="K19" i="1" s="1"/>
  <c r="M19" i="1" s="1"/>
  <c r="J20" i="1"/>
  <c r="E116" i="1" l="1"/>
  <c r="H115" i="1"/>
  <c r="G115" i="1"/>
  <c r="D724" i="1"/>
  <c r="F20" i="1"/>
  <c r="D725" i="1" l="1"/>
  <c r="E117" i="1"/>
  <c r="H116" i="1"/>
  <c r="G116" i="1"/>
  <c r="I20" i="1"/>
  <c r="K20" i="1" s="1"/>
  <c r="M20" i="1" s="1"/>
  <c r="J21" i="1"/>
  <c r="E118" i="1" l="1"/>
  <c r="H117" i="1"/>
  <c r="G117" i="1"/>
  <c r="D726" i="1"/>
  <c r="F21" i="1"/>
  <c r="D727" i="1" l="1"/>
  <c r="E119" i="1"/>
  <c r="H118" i="1"/>
  <c r="G118" i="1"/>
  <c r="F22" i="1"/>
  <c r="I21" i="1"/>
  <c r="K21" i="1" s="1"/>
  <c r="M21" i="1" s="1"/>
  <c r="J22" i="1"/>
  <c r="E120" i="1" l="1"/>
  <c r="H119" i="1"/>
  <c r="G119" i="1"/>
  <c r="D728" i="1"/>
  <c r="I22" i="1"/>
  <c r="K22" i="1" s="1"/>
  <c r="M22" i="1" s="1"/>
  <c r="D729" i="1" l="1"/>
  <c r="E121" i="1"/>
  <c r="H120" i="1"/>
  <c r="G120" i="1"/>
  <c r="J23" i="1"/>
  <c r="F23" i="1"/>
  <c r="E122" i="1" l="1"/>
  <c r="H121" i="1"/>
  <c r="G121" i="1"/>
  <c r="D730" i="1"/>
  <c r="J24" i="1"/>
  <c r="I23" i="1"/>
  <c r="K23" i="1" s="1"/>
  <c r="M23" i="1" s="1"/>
  <c r="D731" i="1" l="1"/>
  <c r="E123" i="1"/>
  <c r="H122" i="1"/>
  <c r="G122" i="1"/>
  <c r="F24" i="1"/>
  <c r="E124" i="1" l="1"/>
  <c r="H123" i="1"/>
  <c r="G123" i="1"/>
  <c r="D732" i="1"/>
  <c r="I24" i="1"/>
  <c r="K24" i="1" s="1"/>
  <c r="M24" i="1" s="1"/>
  <c r="F25" i="1"/>
  <c r="J25" i="1"/>
  <c r="D733" i="1" l="1"/>
  <c r="E125" i="1"/>
  <c r="H124" i="1"/>
  <c r="G124" i="1"/>
  <c r="I25" i="1"/>
  <c r="K25" i="1" s="1"/>
  <c r="M25" i="1" s="1"/>
  <c r="J26" i="1"/>
  <c r="E126" i="1" l="1"/>
  <c r="H125" i="1"/>
  <c r="G125" i="1"/>
  <c r="D734" i="1"/>
  <c r="F26" i="1"/>
  <c r="D735" i="1" l="1"/>
  <c r="E127" i="1"/>
  <c r="H126" i="1"/>
  <c r="G126" i="1"/>
  <c r="I26" i="1"/>
  <c r="K26" i="1" s="1"/>
  <c r="M26" i="1" s="1"/>
  <c r="J27" i="1"/>
  <c r="E128" i="1" l="1"/>
  <c r="H127" i="1"/>
  <c r="G127" i="1"/>
  <c r="D736" i="1"/>
  <c r="F27" i="1"/>
  <c r="D737" i="1" l="1"/>
  <c r="E129" i="1"/>
  <c r="H128" i="1"/>
  <c r="G128" i="1"/>
  <c r="I27" i="1"/>
  <c r="K27" i="1" s="1"/>
  <c r="M27" i="1" s="1"/>
  <c r="J28" i="1"/>
  <c r="E130" i="1" l="1"/>
  <c r="H129" i="1"/>
  <c r="G129" i="1"/>
  <c r="D738" i="1"/>
  <c r="F28" i="1"/>
  <c r="D739" i="1" l="1"/>
  <c r="E131" i="1"/>
  <c r="H130" i="1"/>
  <c r="G130" i="1"/>
  <c r="J29" i="1"/>
  <c r="I28" i="1"/>
  <c r="K28" i="1" s="1"/>
  <c r="M28" i="1" s="1"/>
  <c r="F29" i="1"/>
  <c r="E132" i="1" l="1"/>
  <c r="H131" i="1"/>
  <c r="G131" i="1"/>
  <c r="D740" i="1"/>
  <c r="I29" i="1"/>
  <c r="K29" i="1" s="1"/>
  <c r="M29" i="1" s="1"/>
  <c r="D741" i="1" l="1"/>
  <c r="E133" i="1"/>
  <c r="H132" i="1"/>
  <c r="G132" i="1"/>
  <c r="J30" i="1"/>
  <c r="F30" i="1"/>
  <c r="E134" i="1" l="1"/>
  <c r="H133" i="1"/>
  <c r="G133" i="1"/>
  <c r="D742" i="1"/>
  <c r="I30" i="1"/>
  <c r="K30" i="1" s="1"/>
  <c r="M30" i="1" s="1"/>
  <c r="D743" i="1" l="1"/>
  <c r="E135" i="1"/>
  <c r="H134" i="1"/>
  <c r="G134" i="1"/>
  <c r="J31" i="1"/>
  <c r="F31" i="1"/>
  <c r="E136" i="1" l="1"/>
  <c r="H135" i="1"/>
  <c r="G135" i="1"/>
  <c r="D744" i="1"/>
  <c r="I31" i="1"/>
  <c r="K31" i="1" s="1"/>
  <c r="M31" i="1" s="1"/>
  <c r="J32" i="1"/>
  <c r="D745" i="1" l="1"/>
  <c r="E137" i="1"/>
  <c r="H136" i="1"/>
  <c r="G136" i="1"/>
  <c r="F32" i="1"/>
  <c r="I32" i="1" s="1"/>
  <c r="K32" i="1" s="1"/>
  <c r="M32" i="1" s="1"/>
  <c r="J33" i="1"/>
  <c r="F33" i="1" l="1"/>
  <c r="J34" i="1" s="1"/>
  <c r="E138" i="1"/>
  <c r="H137" i="1"/>
  <c r="G137" i="1"/>
  <c r="D746" i="1"/>
  <c r="F34" i="1"/>
  <c r="I34" i="1" s="1"/>
  <c r="K34" i="1" s="1"/>
  <c r="M34" i="1" s="1"/>
  <c r="I33" i="1"/>
  <c r="K33" i="1" s="1"/>
  <c r="M33" i="1" s="1"/>
  <c r="J35" i="1"/>
  <c r="D747" i="1" l="1"/>
  <c r="E139" i="1"/>
  <c r="H138" i="1"/>
  <c r="G138" i="1"/>
  <c r="F35" i="1"/>
  <c r="I35" i="1" s="1"/>
  <c r="K35" i="1" s="1"/>
  <c r="M35" i="1" s="1"/>
  <c r="J36" i="1"/>
  <c r="E140" i="1" l="1"/>
  <c r="H139" i="1"/>
  <c r="G139" i="1"/>
  <c r="D748" i="1"/>
  <c r="F36" i="1"/>
  <c r="E141" i="1" l="1"/>
  <c r="H140" i="1"/>
  <c r="G140" i="1"/>
  <c r="D749" i="1"/>
  <c r="I36" i="1"/>
  <c r="K36" i="1" s="1"/>
  <c r="M36" i="1" s="1"/>
  <c r="J37" i="1"/>
  <c r="D750" i="1" l="1"/>
  <c r="E142" i="1"/>
  <c r="H141" i="1"/>
  <c r="G141" i="1"/>
  <c r="F37" i="1"/>
  <c r="E143" i="1" l="1"/>
  <c r="H142" i="1"/>
  <c r="G142" i="1"/>
  <c r="D751" i="1"/>
  <c r="I37" i="1"/>
  <c r="K37" i="1" s="1"/>
  <c r="M37" i="1" s="1"/>
  <c r="E144" i="1" l="1"/>
  <c r="H143" i="1"/>
  <c r="G143" i="1"/>
  <c r="D752" i="1"/>
  <c r="J38" i="1"/>
  <c r="F38" i="1"/>
  <c r="E145" i="1" l="1"/>
  <c r="H144" i="1"/>
  <c r="G144" i="1"/>
  <c r="D753" i="1"/>
  <c r="I38" i="1"/>
  <c r="K38" i="1" s="1"/>
  <c r="M38" i="1" s="1"/>
  <c r="J39" i="1"/>
  <c r="E146" i="1" l="1"/>
  <c r="H145" i="1"/>
  <c r="G145" i="1"/>
  <c r="D754" i="1"/>
  <c r="F39" i="1"/>
  <c r="D755" i="1" l="1"/>
  <c r="E147" i="1"/>
  <c r="H146" i="1"/>
  <c r="G146" i="1"/>
  <c r="J40" i="1"/>
  <c r="F40" i="1"/>
  <c r="I39" i="1"/>
  <c r="K39" i="1" s="1"/>
  <c r="M39" i="1" s="1"/>
  <c r="E148" i="1" l="1"/>
  <c r="H147" i="1"/>
  <c r="G147" i="1"/>
  <c r="D756" i="1"/>
  <c r="J41" i="1"/>
  <c r="I40" i="1"/>
  <c r="K40" i="1" s="1"/>
  <c r="M40" i="1" s="1"/>
  <c r="E149" i="1" l="1"/>
  <c r="H148" i="1"/>
  <c r="G148" i="1"/>
  <c r="D757" i="1"/>
  <c r="F41" i="1"/>
  <c r="D758" i="1" l="1"/>
  <c r="E150" i="1"/>
  <c r="H149" i="1"/>
  <c r="G149" i="1"/>
  <c r="J42" i="1"/>
  <c r="I41" i="1"/>
  <c r="K41" i="1" s="1"/>
  <c r="M41" i="1" s="1"/>
  <c r="F42" i="1"/>
  <c r="E151" i="1" l="1"/>
  <c r="H150" i="1"/>
  <c r="G150" i="1"/>
  <c r="D759" i="1"/>
  <c r="J43" i="1"/>
  <c r="I42" i="1"/>
  <c r="K42" i="1" s="1"/>
  <c r="M42" i="1" s="1"/>
  <c r="D760" i="1" l="1"/>
  <c r="E152" i="1"/>
  <c r="H151" i="1"/>
  <c r="G151" i="1"/>
  <c r="F43" i="1"/>
  <c r="E153" i="1" l="1"/>
  <c r="H152" i="1"/>
  <c r="G152" i="1"/>
  <c r="D761" i="1"/>
  <c r="I43" i="1"/>
  <c r="K43" i="1" s="1"/>
  <c r="M43" i="1" s="1"/>
  <c r="J44" i="1"/>
  <c r="D762" i="1" l="1"/>
  <c r="E154" i="1"/>
  <c r="H153" i="1"/>
  <c r="G153" i="1"/>
  <c r="F44" i="1"/>
  <c r="E155" i="1" l="1"/>
  <c r="H154" i="1"/>
  <c r="G154" i="1"/>
  <c r="D763" i="1"/>
  <c r="I44" i="1"/>
  <c r="K44" i="1" s="1"/>
  <c r="M44" i="1" s="1"/>
  <c r="J45" i="1"/>
  <c r="D764" i="1" l="1"/>
  <c r="E156" i="1"/>
  <c r="H155" i="1"/>
  <c r="G155" i="1"/>
  <c r="F45" i="1"/>
  <c r="I45" i="1" s="1"/>
  <c r="K45" i="1" s="1"/>
  <c r="M45" i="1" s="1"/>
  <c r="J46" i="1"/>
  <c r="E157" i="1" l="1"/>
  <c r="H156" i="1"/>
  <c r="G156" i="1"/>
  <c r="D765" i="1"/>
  <c r="F46" i="1"/>
  <c r="D766" i="1" l="1"/>
  <c r="E158" i="1"/>
  <c r="H157" i="1"/>
  <c r="G157" i="1"/>
  <c r="J47" i="1"/>
  <c r="I46" i="1"/>
  <c r="K46" i="1" s="1"/>
  <c r="M46" i="1" s="1"/>
  <c r="F47" i="1"/>
  <c r="E159" i="1" l="1"/>
  <c r="H158" i="1"/>
  <c r="G158" i="1"/>
  <c r="D767" i="1"/>
  <c r="I47" i="1"/>
  <c r="K47" i="1" s="1"/>
  <c r="M47" i="1" s="1"/>
  <c r="J48" i="1"/>
  <c r="D768" i="1" l="1"/>
  <c r="E160" i="1"/>
  <c r="H159" i="1"/>
  <c r="G159" i="1"/>
  <c r="F48" i="1"/>
  <c r="F49" i="1" s="1"/>
  <c r="J49" i="1"/>
  <c r="E161" i="1" l="1"/>
  <c r="H160" i="1"/>
  <c r="G160" i="1"/>
  <c r="D769" i="1"/>
  <c r="I48" i="1"/>
  <c r="K48" i="1" s="1"/>
  <c r="M48" i="1" s="1"/>
  <c r="J50" i="1"/>
  <c r="I49" i="1"/>
  <c r="K49" i="1" s="1"/>
  <c r="M49" i="1" s="1"/>
  <c r="F50" i="1"/>
  <c r="D770" i="1" l="1"/>
  <c r="E162" i="1"/>
  <c r="H161" i="1"/>
  <c r="G161" i="1"/>
  <c r="J51" i="1"/>
  <c r="I50" i="1"/>
  <c r="K50" i="1" s="1"/>
  <c r="M50" i="1" s="1"/>
  <c r="E163" i="1" l="1"/>
  <c r="H162" i="1"/>
  <c r="G162" i="1"/>
  <c r="D771" i="1"/>
  <c r="F51" i="1"/>
  <c r="I51" i="1" s="1"/>
  <c r="K51" i="1" s="1"/>
  <c r="M51" i="1" s="1"/>
  <c r="D772" i="1" l="1"/>
  <c r="E164" i="1"/>
  <c r="H163" i="1"/>
  <c r="G163" i="1"/>
  <c r="J52" i="1"/>
  <c r="E165" i="1" l="1"/>
  <c r="H164" i="1"/>
  <c r="G164" i="1"/>
  <c r="D773" i="1"/>
  <c r="F52" i="1"/>
  <c r="D774" i="1" l="1"/>
  <c r="E166" i="1"/>
  <c r="H165" i="1"/>
  <c r="G165" i="1"/>
  <c r="J53" i="1"/>
  <c r="I52" i="1"/>
  <c r="K52" i="1" s="1"/>
  <c r="M52" i="1" s="1"/>
  <c r="E167" i="1" l="1"/>
  <c r="H166" i="1"/>
  <c r="G166" i="1"/>
  <c r="D775" i="1"/>
  <c r="F53" i="1"/>
  <c r="D776" i="1" l="1"/>
  <c r="E168" i="1"/>
  <c r="H167" i="1"/>
  <c r="G167" i="1"/>
  <c r="I53" i="1"/>
  <c r="K53" i="1" s="1"/>
  <c r="M53" i="1" s="1"/>
  <c r="J54" i="1"/>
  <c r="E169" i="1" l="1"/>
  <c r="H168" i="1"/>
  <c r="G168" i="1"/>
  <c r="D777" i="1"/>
  <c r="F54" i="1"/>
  <c r="D778" i="1" l="1"/>
  <c r="E170" i="1"/>
  <c r="H169" i="1"/>
  <c r="G169" i="1"/>
  <c r="J55" i="1"/>
  <c r="I54" i="1"/>
  <c r="K54" i="1" s="1"/>
  <c r="M54" i="1" s="1"/>
  <c r="F55" i="1"/>
  <c r="E171" i="1" l="1"/>
  <c r="H170" i="1"/>
  <c r="G170" i="1"/>
  <c r="D779" i="1"/>
  <c r="J56" i="1"/>
  <c r="F56" i="1"/>
  <c r="I55" i="1"/>
  <c r="K55" i="1" s="1"/>
  <c r="M55" i="1" s="1"/>
  <c r="D780" i="1" l="1"/>
  <c r="E172" i="1"/>
  <c r="H171" i="1"/>
  <c r="G171" i="1"/>
  <c r="I56" i="1"/>
  <c r="K56" i="1" s="1"/>
  <c r="M56" i="1" s="1"/>
  <c r="J57" i="1"/>
  <c r="E173" i="1" l="1"/>
  <c r="H172" i="1"/>
  <c r="G172" i="1"/>
  <c r="D781" i="1"/>
  <c r="F57" i="1"/>
  <c r="I57" i="1" s="1"/>
  <c r="K57" i="1" s="1"/>
  <c r="M57" i="1" s="1"/>
  <c r="J58" i="1"/>
  <c r="D782" i="1" l="1"/>
  <c r="E174" i="1"/>
  <c r="H173" i="1"/>
  <c r="G173" i="1"/>
  <c r="F58" i="1"/>
  <c r="E175" i="1" l="1"/>
  <c r="H174" i="1"/>
  <c r="G174" i="1"/>
  <c r="D783" i="1"/>
  <c r="J59" i="1"/>
  <c r="F59" i="1"/>
  <c r="I58" i="1"/>
  <c r="K58" i="1" s="1"/>
  <c r="M58" i="1" s="1"/>
  <c r="D784" i="1" l="1"/>
  <c r="E176" i="1"/>
  <c r="H175" i="1"/>
  <c r="G175" i="1"/>
  <c r="J60" i="1"/>
  <c r="I59" i="1"/>
  <c r="K59" i="1" s="1"/>
  <c r="M59" i="1" s="1"/>
  <c r="F60" i="1"/>
  <c r="E177" i="1" l="1"/>
  <c r="H176" i="1"/>
  <c r="G176" i="1"/>
  <c r="D785" i="1"/>
  <c r="I60" i="1"/>
  <c r="K60" i="1" s="1"/>
  <c r="M60" i="1" s="1"/>
  <c r="J61" i="1"/>
  <c r="D786" i="1" l="1"/>
  <c r="E178" i="1"/>
  <c r="H177" i="1"/>
  <c r="G177" i="1"/>
  <c r="F61" i="1"/>
  <c r="I61" i="1" s="1"/>
  <c r="K61" i="1" s="1"/>
  <c r="M61" i="1" s="1"/>
  <c r="J62" i="1"/>
  <c r="F62" i="1" l="1"/>
  <c r="I62" i="1" s="1"/>
  <c r="K62" i="1" s="1"/>
  <c r="M62" i="1" s="1"/>
  <c r="E179" i="1"/>
  <c r="H178" i="1"/>
  <c r="G178" i="1"/>
  <c r="D787" i="1"/>
  <c r="J63" i="1"/>
  <c r="D788" i="1" l="1"/>
  <c r="E180" i="1"/>
  <c r="H179" i="1"/>
  <c r="G179" i="1"/>
  <c r="F63" i="1"/>
  <c r="I63" i="1" s="1"/>
  <c r="K63" i="1" s="1"/>
  <c r="M63" i="1" s="1"/>
  <c r="J64" i="1"/>
  <c r="E181" i="1" l="1"/>
  <c r="H180" i="1"/>
  <c r="G180" i="1"/>
  <c r="D789" i="1"/>
  <c r="F64" i="1"/>
  <c r="D790" i="1" l="1"/>
  <c r="E182" i="1"/>
  <c r="H181" i="1"/>
  <c r="G181" i="1"/>
  <c r="I64" i="1"/>
  <c r="K64" i="1" s="1"/>
  <c r="M64" i="1" s="1"/>
  <c r="J65" i="1"/>
  <c r="E183" i="1" l="1"/>
  <c r="H182" i="1"/>
  <c r="G182" i="1"/>
  <c r="D791" i="1"/>
  <c r="F65" i="1"/>
  <c r="D792" i="1" l="1"/>
  <c r="E184" i="1"/>
  <c r="H183" i="1"/>
  <c r="G183" i="1"/>
  <c r="J66" i="1"/>
  <c r="I65" i="1"/>
  <c r="K65" i="1" s="1"/>
  <c r="M65" i="1" s="1"/>
  <c r="F66" i="1"/>
  <c r="E185" i="1" l="1"/>
  <c r="H184" i="1"/>
  <c r="G184" i="1"/>
  <c r="D793" i="1"/>
  <c r="I66" i="1"/>
  <c r="K66" i="1" s="1"/>
  <c r="M66" i="1" s="1"/>
  <c r="J67" i="1"/>
  <c r="D794" i="1" l="1"/>
  <c r="E186" i="1"/>
  <c r="H185" i="1"/>
  <c r="G185" i="1"/>
  <c r="F67" i="1"/>
  <c r="I67" i="1" s="1"/>
  <c r="K67" i="1" s="1"/>
  <c r="M67" i="1" s="1"/>
  <c r="J68" i="1"/>
  <c r="E187" i="1" l="1"/>
  <c r="H186" i="1"/>
  <c r="G186" i="1"/>
  <c r="D795" i="1"/>
  <c r="F68" i="1"/>
  <c r="D796" i="1" l="1"/>
  <c r="E188" i="1"/>
  <c r="H187" i="1"/>
  <c r="G187" i="1"/>
  <c r="I68" i="1"/>
  <c r="K68" i="1" s="1"/>
  <c r="M68" i="1" s="1"/>
  <c r="J69" i="1"/>
  <c r="E189" i="1" l="1"/>
  <c r="H188" i="1"/>
  <c r="G188" i="1"/>
  <c r="D797" i="1"/>
  <c r="F69" i="1"/>
  <c r="D798" i="1" l="1"/>
  <c r="E190" i="1"/>
  <c r="H189" i="1"/>
  <c r="G189" i="1"/>
  <c r="I69" i="1"/>
  <c r="K69" i="1" s="1"/>
  <c r="M69" i="1" s="1"/>
  <c r="J70" i="1"/>
  <c r="E191" i="1" l="1"/>
  <c r="H190" i="1"/>
  <c r="G190" i="1"/>
  <c r="D799" i="1"/>
  <c r="F70" i="1"/>
  <c r="I70" i="1" s="1"/>
  <c r="K70" i="1" s="1"/>
  <c r="M70" i="1" s="1"/>
  <c r="J71" i="1"/>
  <c r="F71" i="1" l="1"/>
  <c r="I71" i="1" s="1"/>
  <c r="K71" i="1" s="1"/>
  <c r="M71" i="1" s="1"/>
  <c r="D800" i="1"/>
  <c r="E192" i="1"/>
  <c r="H191" i="1"/>
  <c r="G191" i="1"/>
  <c r="J72" i="1"/>
  <c r="E193" i="1" l="1"/>
  <c r="H192" i="1"/>
  <c r="G192" i="1"/>
  <c r="D801" i="1"/>
  <c r="F72" i="1"/>
  <c r="F73" i="1" s="1"/>
  <c r="J73" i="1"/>
  <c r="D802" i="1" l="1"/>
  <c r="E194" i="1"/>
  <c r="H193" i="1"/>
  <c r="G193" i="1"/>
  <c r="I72" i="1"/>
  <c r="K72" i="1" s="1"/>
  <c r="M72" i="1" s="1"/>
  <c r="J74" i="1"/>
  <c r="I73" i="1"/>
  <c r="K73" i="1" s="1"/>
  <c r="M73" i="1" s="1"/>
  <c r="E195" i="1" l="1"/>
  <c r="H194" i="1"/>
  <c r="G194" i="1"/>
  <c r="D803" i="1"/>
  <c r="F74" i="1"/>
  <c r="D804" i="1" l="1"/>
  <c r="E196" i="1"/>
  <c r="H195" i="1"/>
  <c r="G195" i="1"/>
  <c r="I74" i="1"/>
  <c r="K74" i="1" s="1"/>
  <c r="M74" i="1" s="1"/>
  <c r="J75" i="1"/>
  <c r="E197" i="1" l="1"/>
  <c r="H196" i="1"/>
  <c r="G196" i="1"/>
  <c r="D805" i="1"/>
  <c r="F75" i="1"/>
  <c r="F76" i="1" s="1"/>
  <c r="J76" i="1"/>
  <c r="I75" i="1" l="1"/>
  <c r="K75" i="1" s="1"/>
  <c r="M75" i="1" s="1"/>
  <c r="D806" i="1"/>
  <c r="E198" i="1"/>
  <c r="H197" i="1"/>
  <c r="G197" i="1"/>
  <c r="J77" i="1"/>
  <c r="F77" i="1"/>
  <c r="I76" i="1"/>
  <c r="K76" i="1" s="1"/>
  <c r="M76" i="1" s="1"/>
  <c r="E199" i="1" l="1"/>
  <c r="H198" i="1"/>
  <c r="G198" i="1"/>
  <c r="D807" i="1"/>
  <c r="I77" i="1"/>
  <c r="K77" i="1" s="1"/>
  <c r="M77" i="1" s="1"/>
  <c r="J78" i="1"/>
  <c r="D808" i="1" l="1"/>
  <c r="E200" i="1"/>
  <c r="H199" i="1"/>
  <c r="G199" i="1"/>
  <c r="F78" i="1"/>
  <c r="E201" i="1" l="1"/>
  <c r="H200" i="1"/>
  <c r="G200" i="1"/>
  <c r="D809" i="1"/>
  <c r="I78" i="1"/>
  <c r="K78" i="1" s="1"/>
  <c r="M78" i="1" s="1"/>
  <c r="J79" i="1"/>
  <c r="D810" i="1" l="1"/>
  <c r="E202" i="1"/>
  <c r="H201" i="1"/>
  <c r="G201" i="1"/>
  <c r="F79" i="1"/>
  <c r="E203" i="1" l="1"/>
  <c r="H202" i="1"/>
  <c r="G202" i="1"/>
  <c r="D811" i="1"/>
  <c r="J80" i="1"/>
  <c r="I79" i="1"/>
  <c r="K79" i="1" s="1"/>
  <c r="M79" i="1" s="1"/>
  <c r="D812" i="1" l="1"/>
  <c r="E204" i="1"/>
  <c r="H203" i="1"/>
  <c r="G203" i="1"/>
  <c r="F80" i="1"/>
  <c r="I80" i="1" s="1"/>
  <c r="K80" i="1" s="1"/>
  <c r="M80" i="1" s="1"/>
  <c r="E205" i="1" l="1"/>
  <c r="H204" i="1"/>
  <c r="G204" i="1"/>
  <c r="D813" i="1"/>
  <c r="J81" i="1"/>
  <c r="F81" i="1"/>
  <c r="D814" i="1" l="1"/>
  <c r="E206" i="1"/>
  <c r="H205" i="1"/>
  <c r="G205" i="1"/>
  <c r="I81" i="1"/>
  <c r="K81" i="1" s="1"/>
  <c r="M81" i="1" s="1"/>
  <c r="E207" i="1" l="1"/>
  <c r="H206" i="1"/>
  <c r="G206" i="1"/>
  <c r="D815" i="1"/>
  <c r="J82" i="1"/>
  <c r="F82" i="1"/>
  <c r="D816" i="1" l="1"/>
  <c r="E208" i="1"/>
  <c r="H207" i="1"/>
  <c r="G207" i="1"/>
  <c r="J83" i="1"/>
  <c r="I82" i="1"/>
  <c r="K82" i="1" s="1"/>
  <c r="M82" i="1" s="1"/>
  <c r="E209" i="1" l="1"/>
  <c r="H208" i="1"/>
  <c r="G208" i="1"/>
  <c r="D817" i="1"/>
  <c r="F83" i="1"/>
  <c r="D818" i="1" l="1"/>
  <c r="E210" i="1"/>
  <c r="H209" i="1"/>
  <c r="G209" i="1"/>
  <c r="J84" i="1"/>
  <c r="I83" i="1"/>
  <c r="K83" i="1" s="1"/>
  <c r="M83" i="1" s="1"/>
  <c r="E211" i="1" l="1"/>
  <c r="H210" i="1"/>
  <c r="G210" i="1"/>
  <c r="D819" i="1"/>
  <c r="F84" i="1"/>
  <c r="J85" i="1" s="1"/>
  <c r="D820" i="1" l="1"/>
  <c r="E212" i="1"/>
  <c r="H211" i="1"/>
  <c r="G211" i="1"/>
  <c r="I84" i="1"/>
  <c r="K84" i="1" s="1"/>
  <c r="M84" i="1" s="1"/>
  <c r="F85" i="1"/>
  <c r="E213" i="1" l="1"/>
  <c r="H212" i="1"/>
  <c r="G212" i="1"/>
  <c r="D821" i="1"/>
  <c r="J86" i="1"/>
  <c r="I85" i="1"/>
  <c r="K85" i="1" s="1"/>
  <c r="M85" i="1" s="1"/>
  <c r="D822" i="1" l="1"/>
  <c r="E214" i="1"/>
  <c r="H213" i="1"/>
  <c r="G213" i="1"/>
  <c r="F86" i="1"/>
  <c r="E215" i="1" l="1"/>
  <c r="H214" i="1"/>
  <c r="G214" i="1"/>
  <c r="D823" i="1"/>
  <c r="I86" i="1"/>
  <c r="K86" i="1" s="1"/>
  <c r="M86" i="1" s="1"/>
  <c r="J87" i="1"/>
  <c r="D824" i="1" l="1"/>
  <c r="E216" i="1"/>
  <c r="H215" i="1"/>
  <c r="G215" i="1"/>
  <c r="F87" i="1"/>
  <c r="F88" i="1" s="1"/>
  <c r="J88" i="1"/>
  <c r="I87" i="1" l="1"/>
  <c r="K87" i="1" s="1"/>
  <c r="M87" i="1" s="1"/>
  <c r="E217" i="1"/>
  <c r="H216" i="1"/>
  <c r="G216" i="1"/>
  <c r="D825" i="1"/>
  <c r="J89" i="1"/>
  <c r="I88" i="1"/>
  <c r="K88" i="1" s="1"/>
  <c r="M88" i="1" s="1"/>
  <c r="D826" i="1" l="1"/>
  <c r="E218" i="1"/>
  <c r="H217" i="1"/>
  <c r="G217" i="1"/>
  <c r="F89" i="1"/>
  <c r="E219" i="1" l="1"/>
  <c r="H218" i="1"/>
  <c r="G218" i="1"/>
  <c r="D827" i="1"/>
  <c r="J90" i="1"/>
  <c r="I89" i="1"/>
  <c r="K89" i="1" s="1"/>
  <c r="M89" i="1" s="1"/>
  <c r="D828" i="1" l="1"/>
  <c r="E220" i="1"/>
  <c r="H219" i="1"/>
  <c r="G219" i="1"/>
  <c r="F90" i="1"/>
  <c r="E221" i="1" l="1"/>
  <c r="H220" i="1"/>
  <c r="G220" i="1"/>
  <c r="D829" i="1"/>
  <c r="I90" i="1"/>
  <c r="K90" i="1" s="1"/>
  <c r="M90" i="1" s="1"/>
  <c r="J91" i="1"/>
  <c r="D830" i="1" l="1"/>
  <c r="E222" i="1"/>
  <c r="H221" i="1"/>
  <c r="G221" i="1"/>
  <c r="F91" i="1"/>
  <c r="E223" i="1" l="1"/>
  <c r="H222" i="1"/>
  <c r="G222" i="1"/>
  <c r="D831" i="1"/>
  <c r="J92" i="1"/>
  <c r="I91" i="1"/>
  <c r="K91" i="1" s="1"/>
  <c r="M91" i="1" s="1"/>
  <c r="F92" i="1"/>
  <c r="D832" i="1" l="1"/>
  <c r="E224" i="1"/>
  <c r="H223" i="1"/>
  <c r="G223" i="1"/>
  <c r="I92" i="1"/>
  <c r="K92" i="1" s="1"/>
  <c r="M92" i="1" s="1"/>
  <c r="J93" i="1"/>
  <c r="E225" i="1" l="1"/>
  <c r="H224" i="1"/>
  <c r="G224" i="1"/>
  <c r="D833" i="1"/>
  <c r="F93" i="1"/>
  <c r="D834" i="1" l="1"/>
  <c r="E226" i="1"/>
  <c r="H225" i="1"/>
  <c r="G225" i="1"/>
  <c r="J94" i="1"/>
  <c r="I93" i="1"/>
  <c r="K93" i="1" s="1"/>
  <c r="M93" i="1" s="1"/>
  <c r="F94" i="1"/>
  <c r="E227" i="1" l="1"/>
  <c r="H226" i="1"/>
  <c r="G226" i="1"/>
  <c r="D835" i="1"/>
  <c r="J95" i="1"/>
  <c r="I94" i="1"/>
  <c r="K94" i="1" s="1"/>
  <c r="M94" i="1" s="1"/>
  <c r="F95" i="1"/>
  <c r="D836" i="1" l="1"/>
  <c r="E228" i="1"/>
  <c r="H227" i="1"/>
  <c r="G227" i="1"/>
  <c r="I95" i="1"/>
  <c r="K95" i="1" s="1"/>
  <c r="M95" i="1" s="1"/>
  <c r="J96" i="1"/>
  <c r="E229" i="1" l="1"/>
  <c r="H228" i="1"/>
  <c r="G228" i="1"/>
  <c r="D837" i="1"/>
  <c r="F96" i="1"/>
  <c r="I96" i="1" s="1"/>
  <c r="K96" i="1" s="1"/>
  <c r="M96" i="1" s="1"/>
  <c r="J97" i="1"/>
  <c r="D838" i="1" l="1"/>
  <c r="E230" i="1"/>
  <c r="H229" i="1"/>
  <c r="G229" i="1"/>
  <c r="F97" i="1"/>
  <c r="E231" i="1" l="1"/>
  <c r="H230" i="1"/>
  <c r="G230" i="1"/>
  <c r="D839" i="1"/>
  <c r="I97" i="1"/>
  <c r="K97" i="1" s="1"/>
  <c r="M97" i="1" s="1"/>
  <c r="J98" i="1"/>
  <c r="D840" i="1" l="1"/>
  <c r="E232" i="1"/>
  <c r="H231" i="1"/>
  <c r="G231" i="1"/>
  <c r="F98" i="1"/>
  <c r="E233" i="1" l="1"/>
  <c r="H232" i="1"/>
  <c r="G232" i="1"/>
  <c r="D841" i="1"/>
  <c r="J99" i="1"/>
  <c r="I98" i="1"/>
  <c r="K98" i="1" s="1"/>
  <c r="M98" i="1" s="1"/>
  <c r="D842" i="1" l="1"/>
  <c r="E234" i="1"/>
  <c r="H233" i="1"/>
  <c r="G233" i="1"/>
  <c r="F99" i="1"/>
  <c r="E235" i="1" l="1"/>
  <c r="H234" i="1"/>
  <c r="G234" i="1"/>
  <c r="D843" i="1"/>
  <c r="J100" i="1"/>
  <c r="I99" i="1"/>
  <c r="K99" i="1" s="1"/>
  <c r="M99" i="1" s="1"/>
  <c r="D844" i="1" l="1"/>
  <c r="E236" i="1"/>
  <c r="H235" i="1"/>
  <c r="G235" i="1"/>
  <c r="F100" i="1"/>
  <c r="E237" i="1" l="1"/>
  <c r="H236" i="1"/>
  <c r="G236" i="1"/>
  <c r="D845" i="1"/>
  <c r="J101" i="1"/>
  <c r="I100" i="1"/>
  <c r="K100" i="1" s="1"/>
  <c r="M100" i="1" s="1"/>
  <c r="D846" i="1" l="1"/>
  <c r="E238" i="1"/>
  <c r="H237" i="1"/>
  <c r="G237" i="1"/>
  <c r="F101" i="1"/>
  <c r="E239" i="1" l="1"/>
  <c r="H238" i="1"/>
  <c r="G238" i="1"/>
  <c r="D847" i="1"/>
  <c r="J102" i="1"/>
  <c r="I101" i="1"/>
  <c r="K101" i="1" s="1"/>
  <c r="M101" i="1" s="1"/>
  <c r="F102" i="1"/>
  <c r="D848" i="1" l="1"/>
  <c r="E240" i="1"/>
  <c r="H239" i="1"/>
  <c r="G239" i="1"/>
  <c r="J103" i="1"/>
  <c r="I102" i="1"/>
  <c r="K102" i="1" s="1"/>
  <c r="M102" i="1" s="1"/>
  <c r="F103" i="1"/>
  <c r="E241" i="1" l="1"/>
  <c r="H240" i="1"/>
  <c r="G240" i="1"/>
  <c r="D849" i="1"/>
  <c r="J104" i="1"/>
  <c r="I103" i="1"/>
  <c r="K103" i="1" s="1"/>
  <c r="M103" i="1" s="1"/>
  <c r="F104" i="1"/>
  <c r="D850" i="1" l="1"/>
  <c r="E242" i="1"/>
  <c r="H241" i="1"/>
  <c r="G241" i="1"/>
  <c r="J105" i="1"/>
  <c r="I104" i="1"/>
  <c r="K104" i="1" s="1"/>
  <c r="M104" i="1" s="1"/>
  <c r="F105" i="1"/>
  <c r="E243" i="1" l="1"/>
  <c r="H242" i="1"/>
  <c r="G242" i="1"/>
  <c r="D851" i="1"/>
  <c r="I105" i="1"/>
  <c r="K105" i="1" s="1"/>
  <c r="M105" i="1" s="1"/>
  <c r="J106" i="1"/>
  <c r="D852" i="1" l="1"/>
  <c r="E244" i="1"/>
  <c r="H243" i="1"/>
  <c r="G243" i="1"/>
  <c r="F106" i="1"/>
  <c r="I106" i="1" s="1"/>
  <c r="K106" i="1" s="1"/>
  <c r="M106" i="1" s="1"/>
  <c r="J107" i="1"/>
  <c r="E245" i="1" l="1"/>
  <c r="H244" i="1"/>
  <c r="G244" i="1"/>
  <c r="D853" i="1"/>
  <c r="F107" i="1"/>
  <c r="I107" i="1" s="1"/>
  <c r="K107" i="1" s="1"/>
  <c r="M107" i="1" s="1"/>
  <c r="J108" i="1"/>
  <c r="D854" i="1" l="1"/>
  <c r="E246" i="1"/>
  <c r="H245" i="1"/>
  <c r="G245" i="1"/>
  <c r="F108" i="1"/>
  <c r="I108" i="1" s="1"/>
  <c r="K108" i="1" s="1"/>
  <c r="M108" i="1" s="1"/>
  <c r="J109" i="1"/>
  <c r="E247" i="1" l="1"/>
  <c r="H246" i="1"/>
  <c r="G246" i="1"/>
  <c r="D855" i="1"/>
  <c r="F109" i="1"/>
  <c r="D856" i="1" l="1"/>
  <c r="E248" i="1"/>
  <c r="H247" i="1"/>
  <c r="G247" i="1"/>
  <c r="J110" i="1"/>
  <c r="I109" i="1"/>
  <c r="K109" i="1" s="1"/>
  <c r="M109" i="1" s="1"/>
  <c r="F110" i="1"/>
  <c r="E249" i="1" l="1"/>
  <c r="H248" i="1"/>
  <c r="G248" i="1"/>
  <c r="D857" i="1"/>
  <c r="J111" i="1"/>
  <c r="I110" i="1"/>
  <c r="K110" i="1" s="1"/>
  <c r="M110" i="1" s="1"/>
  <c r="F111" i="1"/>
  <c r="D858" i="1" l="1"/>
  <c r="E250" i="1"/>
  <c r="H249" i="1"/>
  <c r="G249" i="1"/>
  <c r="J112" i="1"/>
  <c r="I111" i="1"/>
  <c r="K111" i="1" s="1"/>
  <c r="M111" i="1" s="1"/>
  <c r="F112" i="1"/>
  <c r="E251" i="1" l="1"/>
  <c r="H250" i="1"/>
  <c r="G250" i="1"/>
  <c r="D859" i="1"/>
  <c r="J113" i="1"/>
  <c r="I112" i="1"/>
  <c r="K112" i="1" s="1"/>
  <c r="M112" i="1" s="1"/>
  <c r="D860" i="1" l="1"/>
  <c r="E252" i="1"/>
  <c r="H251" i="1"/>
  <c r="G251" i="1"/>
  <c r="F113" i="1"/>
  <c r="E253" i="1" l="1"/>
  <c r="H252" i="1"/>
  <c r="G252" i="1"/>
  <c r="D861" i="1"/>
  <c r="J114" i="1"/>
  <c r="F114" i="1"/>
  <c r="I113" i="1"/>
  <c r="K113" i="1" s="1"/>
  <c r="M113" i="1" s="1"/>
  <c r="D862" i="1" l="1"/>
  <c r="E254" i="1"/>
  <c r="H253" i="1"/>
  <c r="G253" i="1"/>
  <c r="I114" i="1"/>
  <c r="K114" i="1" s="1"/>
  <c r="M114" i="1" s="1"/>
  <c r="E255" i="1" l="1"/>
  <c r="H254" i="1"/>
  <c r="G254" i="1"/>
  <c r="D863" i="1"/>
  <c r="J115" i="1"/>
  <c r="F115" i="1"/>
  <c r="D864" i="1" l="1"/>
  <c r="E256" i="1"/>
  <c r="H255" i="1"/>
  <c r="G255" i="1"/>
  <c r="I115" i="1"/>
  <c r="K115" i="1" s="1"/>
  <c r="M115" i="1" s="1"/>
  <c r="E257" i="1" l="1"/>
  <c r="H256" i="1"/>
  <c r="G256" i="1"/>
  <c r="D865" i="1"/>
  <c r="J116" i="1"/>
  <c r="F116" i="1"/>
  <c r="D866" i="1" l="1"/>
  <c r="E258" i="1"/>
  <c r="H257" i="1"/>
  <c r="G257" i="1"/>
  <c r="J117" i="1"/>
  <c r="I116" i="1"/>
  <c r="K116" i="1" s="1"/>
  <c r="M116" i="1" s="1"/>
  <c r="E259" i="1" l="1"/>
  <c r="H258" i="1"/>
  <c r="G258" i="1"/>
  <c r="D867" i="1"/>
  <c r="F117" i="1"/>
  <c r="D868" i="1" l="1"/>
  <c r="E260" i="1"/>
  <c r="H259" i="1"/>
  <c r="G259" i="1"/>
  <c r="J118" i="1"/>
  <c r="I117" i="1"/>
  <c r="K117" i="1" s="1"/>
  <c r="M117" i="1" s="1"/>
  <c r="F118" i="1"/>
  <c r="E261" i="1" l="1"/>
  <c r="H260" i="1"/>
  <c r="G260" i="1"/>
  <c r="D869" i="1"/>
  <c r="J119" i="1"/>
  <c r="I118" i="1"/>
  <c r="K118" i="1" s="1"/>
  <c r="M118" i="1" s="1"/>
  <c r="D870" i="1" l="1"/>
  <c r="E262" i="1"/>
  <c r="H261" i="1"/>
  <c r="G261" i="1"/>
  <c r="F119" i="1"/>
  <c r="E263" i="1" l="1"/>
  <c r="H262" i="1"/>
  <c r="G262" i="1"/>
  <c r="D871" i="1"/>
  <c r="J120" i="1"/>
  <c r="I119" i="1"/>
  <c r="K119" i="1" s="1"/>
  <c r="M119" i="1" s="1"/>
  <c r="D872" i="1" l="1"/>
  <c r="E264" i="1"/>
  <c r="H263" i="1"/>
  <c r="G263" i="1"/>
  <c r="F120" i="1"/>
  <c r="E265" i="1" l="1"/>
  <c r="H264" i="1"/>
  <c r="G264" i="1"/>
  <c r="D873" i="1"/>
  <c r="J121" i="1"/>
  <c r="I120" i="1"/>
  <c r="K120" i="1" s="1"/>
  <c r="M120" i="1" s="1"/>
  <c r="F121" i="1"/>
  <c r="D874" i="1" l="1"/>
  <c r="E266" i="1"/>
  <c r="H265" i="1"/>
  <c r="G265" i="1"/>
  <c r="J122" i="1"/>
  <c r="I121" i="1"/>
  <c r="K121" i="1" s="1"/>
  <c r="M121" i="1" s="1"/>
  <c r="F122" i="1"/>
  <c r="E267" i="1" l="1"/>
  <c r="H266" i="1"/>
  <c r="G266" i="1"/>
  <c r="D875" i="1"/>
  <c r="J123" i="1"/>
  <c r="I122" i="1"/>
  <c r="K122" i="1" s="1"/>
  <c r="M122" i="1" s="1"/>
  <c r="F123" i="1"/>
  <c r="D876" i="1" l="1"/>
  <c r="E268" i="1"/>
  <c r="H267" i="1"/>
  <c r="G267" i="1"/>
  <c r="J124" i="1"/>
  <c r="I123" i="1"/>
  <c r="K123" i="1" s="1"/>
  <c r="M123" i="1" s="1"/>
  <c r="F124" i="1"/>
  <c r="E269" i="1" l="1"/>
  <c r="H268" i="1"/>
  <c r="G268" i="1"/>
  <c r="D877" i="1"/>
  <c r="J125" i="1"/>
  <c r="I124" i="1"/>
  <c r="K124" i="1" s="1"/>
  <c r="M124" i="1" s="1"/>
  <c r="D878" i="1" l="1"/>
  <c r="E270" i="1"/>
  <c r="H269" i="1"/>
  <c r="G269" i="1"/>
  <c r="F125" i="1"/>
  <c r="E271" i="1" l="1"/>
  <c r="H270" i="1"/>
  <c r="G270" i="1"/>
  <c r="D879" i="1"/>
  <c r="J126" i="1"/>
  <c r="I125" i="1"/>
  <c r="K125" i="1" s="1"/>
  <c r="M125" i="1" s="1"/>
  <c r="D880" i="1" l="1"/>
  <c r="E272" i="1"/>
  <c r="H271" i="1"/>
  <c r="G271" i="1"/>
  <c r="F126" i="1"/>
  <c r="E273" i="1" l="1"/>
  <c r="H272" i="1"/>
  <c r="G272" i="1"/>
  <c r="D881" i="1"/>
  <c r="J127" i="1"/>
  <c r="I126" i="1"/>
  <c r="K126" i="1" s="1"/>
  <c r="M126" i="1" s="1"/>
  <c r="F127" i="1"/>
  <c r="D882" i="1" l="1"/>
  <c r="E274" i="1"/>
  <c r="H273" i="1"/>
  <c r="G273" i="1"/>
  <c r="J128" i="1"/>
  <c r="I127" i="1"/>
  <c r="K127" i="1" s="1"/>
  <c r="M127" i="1" s="1"/>
  <c r="F128" i="1"/>
  <c r="E275" i="1" l="1"/>
  <c r="H274" i="1"/>
  <c r="G274" i="1"/>
  <c r="D883" i="1"/>
  <c r="J129" i="1"/>
  <c r="I128" i="1"/>
  <c r="K128" i="1" s="1"/>
  <c r="M128" i="1" s="1"/>
  <c r="F129" i="1"/>
  <c r="J130" i="1" s="1"/>
  <c r="D884" i="1" l="1"/>
  <c r="E276" i="1"/>
  <c r="H275" i="1"/>
  <c r="G275" i="1"/>
  <c r="F130" i="1"/>
  <c r="J131" i="1" s="1"/>
  <c r="I129" i="1"/>
  <c r="K129" i="1" s="1"/>
  <c r="M129" i="1" s="1"/>
  <c r="F131" i="1" l="1"/>
  <c r="J132" i="1" s="1"/>
  <c r="I130" i="1"/>
  <c r="K130" i="1" s="1"/>
  <c r="M130" i="1" s="1"/>
  <c r="E277" i="1"/>
  <c r="H276" i="1"/>
  <c r="G276" i="1"/>
  <c r="D885" i="1"/>
  <c r="I131" i="1"/>
  <c r="K131" i="1" s="1"/>
  <c r="M131" i="1" s="1"/>
  <c r="D886" i="1" l="1"/>
  <c r="E278" i="1"/>
  <c r="H277" i="1"/>
  <c r="G277" i="1"/>
  <c r="F132" i="1"/>
  <c r="J133" i="1" s="1"/>
  <c r="E279" i="1" l="1"/>
  <c r="H278" i="1"/>
  <c r="G278" i="1"/>
  <c r="D887" i="1"/>
  <c r="I132" i="1"/>
  <c r="K132" i="1" s="1"/>
  <c r="M132" i="1" s="1"/>
  <c r="D888" i="1" l="1"/>
  <c r="E280" i="1"/>
  <c r="H279" i="1"/>
  <c r="G279" i="1"/>
  <c r="F133" i="1"/>
  <c r="J134" i="1" s="1"/>
  <c r="E281" i="1" l="1"/>
  <c r="H280" i="1"/>
  <c r="G280" i="1"/>
  <c r="D889" i="1"/>
  <c r="I133" i="1"/>
  <c r="K133" i="1" s="1"/>
  <c r="M133" i="1" s="1"/>
  <c r="F134" i="1"/>
  <c r="J135" i="1" s="1"/>
  <c r="D890" i="1" l="1"/>
  <c r="E282" i="1"/>
  <c r="H281" i="1"/>
  <c r="G281" i="1"/>
  <c r="I134" i="1"/>
  <c r="K134" i="1" s="1"/>
  <c r="M134" i="1" s="1"/>
  <c r="F135" i="1"/>
  <c r="J136" i="1" s="1"/>
  <c r="E283" i="1" l="1"/>
  <c r="H282" i="1"/>
  <c r="G282" i="1"/>
  <c r="D891" i="1"/>
  <c r="I135" i="1"/>
  <c r="K135" i="1" s="1"/>
  <c r="M135" i="1" s="1"/>
  <c r="D892" i="1" l="1"/>
  <c r="E284" i="1"/>
  <c r="H283" i="1"/>
  <c r="G283" i="1"/>
  <c r="F136" i="1"/>
  <c r="J137" i="1" s="1"/>
  <c r="E285" i="1" l="1"/>
  <c r="H284" i="1"/>
  <c r="G284" i="1"/>
  <c r="D893" i="1"/>
  <c r="I136" i="1"/>
  <c r="K136" i="1" s="1"/>
  <c r="M136" i="1" s="1"/>
  <c r="D894" i="1" l="1"/>
  <c r="E286" i="1"/>
  <c r="H285" i="1"/>
  <c r="G285" i="1"/>
  <c r="F137" i="1"/>
  <c r="J138" i="1" s="1"/>
  <c r="E287" i="1" l="1"/>
  <c r="H286" i="1"/>
  <c r="G286" i="1"/>
  <c r="D895" i="1"/>
  <c r="I137" i="1"/>
  <c r="K137" i="1" s="1"/>
  <c r="M137" i="1" s="1"/>
  <c r="F138" i="1"/>
  <c r="J139" i="1" s="1"/>
  <c r="D896" i="1" l="1"/>
  <c r="E288" i="1"/>
  <c r="H287" i="1"/>
  <c r="G287" i="1"/>
  <c r="I138" i="1"/>
  <c r="K138" i="1" s="1"/>
  <c r="M138" i="1" s="1"/>
  <c r="F139" i="1"/>
  <c r="J140" i="1" s="1"/>
  <c r="E289" i="1" l="1"/>
  <c r="H288" i="1"/>
  <c r="G288" i="1"/>
  <c r="D897" i="1"/>
  <c r="I139" i="1"/>
  <c r="K139" i="1" s="1"/>
  <c r="M139" i="1" s="1"/>
  <c r="F140" i="1"/>
  <c r="J141" i="1" s="1"/>
  <c r="D898" i="1" l="1"/>
  <c r="E290" i="1"/>
  <c r="H289" i="1"/>
  <c r="G289" i="1"/>
  <c r="I140" i="1"/>
  <c r="K140" i="1" s="1"/>
  <c r="M140" i="1" s="1"/>
  <c r="E291" i="1" l="1"/>
  <c r="H290" i="1"/>
  <c r="G290" i="1"/>
  <c r="D899" i="1"/>
  <c r="F141" i="1"/>
  <c r="J142" i="1" s="1"/>
  <c r="D900" i="1" l="1"/>
  <c r="E292" i="1"/>
  <c r="H291" i="1"/>
  <c r="G291" i="1"/>
  <c r="I141" i="1"/>
  <c r="K141" i="1" s="1"/>
  <c r="M141" i="1" s="1"/>
  <c r="F142" i="1"/>
  <c r="J143" i="1" s="1"/>
  <c r="E293" i="1" l="1"/>
  <c r="H292" i="1"/>
  <c r="G292" i="1"/>
  <c r="D901" i="1"/>
  <c r="I142" i="1"/>
  <c r="K142" i="1" s="1"/>
  <c r="M142" i="1" s="1"/>
  <c r="F143" i="1"/>
  <c r="J144" i="1" s="1"/>
  <c r="D902" i="1" l="1"/>
  <c r="E294" i="1"/>
  <c r="H293" i="1"/>
  <c r="G293" i="1"/>
  <c r="I143" i="1"/>
  <c r="K143" i="1" s="1"/>
  <c r="M143" i="1" s="1"/>
  <c r="E295" i="1" l="1"/>
  <c r="H294" i="1"/>
  <c r="G294" i="1"/>
  <c r="D903" i="1"/>
  <c r="F144" i="1"/>
  <c r="J145" i="1" s="1"/>
  <c r="D904" i="1" l="1"/>
  <c r="E296" i="1"/>
  <c r="H295" i="1"/>
  <c r="G295" i="1"/>
  <c r="I144" i="1"/>
  <c r="K144" i="1" s="1"/>
  <c r="M144" i="1" s="1"/>
  <c r="F145" i="1"/>
  <c r="J146" i="1" s="1"/>
  <c r="E297" i="1" l="1"/>
  <c r="H296" i="1"/>
  <c r="G296" i="1"/>
  <c r="D905" i="1"/>
  <c r="I145" i="1"/>
  <c r="K145" i="1" s="1"/>
  <c r="M145" i="1" s="1"/>
  <c r="F146" i="1"/>
  <c r="J147" i="1" s="1"/>
  <c r="D906" i="1" l="1"/>
  <c r="E298" i="1"/>
  <c r="H297" i="1"/>
  <c r="G297" i="1"/>
  <c r="I146" i="1"/>
  <c r="K146" i="1" s="1"/>
  <c r="M146" i="1" s="1"/>
  <c r="F147" i="1"/>
  <c r="J148" i="1" s="1"/>
  <c r="E299" i="1" l="1"/>
  <c r="H298" i="1"/>
  <c r="G298" i="1"/>
  <c r="D907" i="1"/>
  <c r="I147" i="1"/>
  <c r="K147" i="1" s="1"/>
  <c r="M147" i="1" s="1"/>
  <c r="D908" i="1" l="1"/>
  <c r="E300" i="1"/>
  <c r="H299" i="1"/>
  <c r="G299" i="1"/>
  <c r="F148" i="1"/>
  <c r="J149" i="1" s="1"/>
  <c r="E301" i="1" l="1"/>
  <c r="H300" i="1"/>
  <c r="G300" i="1"/>
  <c r="D909" i="1"/>
  <c r="I148" i="1"/>
  <c r="K148" i="1" s="1"/>
  <c r="M148" i="1" s="1"/>
  <c r="F149" i="1"/>
  <c r="J150" i="1" s="1"/>
  <c r="D910" i="1" l="1"/>
  <c r="E302" i="1"/>
  <c r="H301" i="1"/>
  <c r="G301" i="1"/>
  <c r="I149" i="1"/>
  <c r="K149" i="1" s="1"/>
  <c r="M149" i="1" s="1"/>
  <c r="F150" i="1"/>
  <c r="J151" i="1" s="1"/>
  <c r="E303" i="1" l="1"/>
  <c r="H302" i="1"/>
  <c r="G302" i="1"/>
  <c r="D911" i="1"/>
  <c r="I150" i="1"/>
  <c r="K150" i="1" s="1"/>
  <c r="M150" i="1" s="1"/>
  <c r="F151" i="1"/>
  <c r="J152" i="1" s="1"/>
  <c r="D912" i="1" l="1"/>
  <c r="E304" i="1"/>
  <c r="H303" i="1"/>
  <c r="G303" i="1"/>
  <c r="I151" i="1"/>
  <c r="K151" i="1" s="1"/>
  <c r="M151" i="1" s="1"/>
  <c r="E305" i="1" l="1"/>
  <c r="H304" i="1"/>
  <c r="G304" i="1"/>
  <c r="D913" i="1"/>
  <c r="F152" i="1"/>
  <c r="J153" i="1" s="1"/>
  <c r="D914" i="1" l="1"/>
  <c r="E306" i="1"/>
  <c r="H305" i="1"/>
  <c r="G305" i="1"/>
  <c r="I152" i="1"/>
  <c r="K152" i="1" s="1"/>
  <c r="M152" i="1" s="1"/>
  <c r="F153" i="1"/>
  <c r="J154" i="1" s="1"/>
  <c r="E307" i="1" l="1"/>
  <c r="H306" i="1"/>
  <c r="G306" i="1"/>
  <c r="D915" i="1"/>
  <c r="I153" i="1"/>
  <c r="K153" i="1" s="1"/>
  <c r="M153" i="1" s="1"/>
  <c r="F154" i="1"/>
  <c r="J155" i="1" s="1"/>
  <c r="D916" i="1" l="1"/>
  <c r="E308" i="1"/>
  <c r="H307" i="1"/>
  <c r="G307" i="1"/>
  <c r="I154" i="1"/>
  <c r="K154" i="1" s="1"/>
  <c r="M154" i="1" s="1"/>
  <c r="F155" i="1"/>
  <c r="J156" i="1" s="1"/>
  <c r="E309" i="1" l="1"/>
  <c r="H308" i="1"/>
  <c r="G308" i="1"/>
  <c r="D917" i="1"/>
  <c r="I155" i="1"/>
  <c r="K155" i="1" s="1"/>
  <c r="M155" i="1" s="1"/>
  <c r="F156" i="1"/>
  <c r="J157" i="1" s="1"/>
  <c r="D918" i="1" l="1"/>
  <c r="E310" i="1"/>
  <c r="H309" i="1"/>
  <c r="G309" i="1"/>
  <c r="I156" i="1"/>
  <c r="K156" i="1" s="1"/>
  <c r="M156" i="1" s="1"/>
  <c r="F157" i="1"/>
  <c r="J158" i="1" s="1"/>
  <c r="E311" i="1" l="1"/>
  <c r="H310" i="1"/>
  <c r="G310" i="1"/>
  <c r="D919" i="1"/>
  <c r="I157" i="1"/>
  <c r="K157" i="1" s="1"/>
  <c r="M157" i="1" s="1"/>
  <c r="F158" i="1"/>
  <c r="J159" i="1" s="1"/>
  <c r="D920" i="1" l="1"/>
  <c r="E312" i="1"/>
  <c r="H311" i="1"/>
  <c r="G311" i="1"/>
  <c r="I158" i="1"/>
  <c r="K158" i="1" s="1"/>
  <c r="M158" i="1" s="1"/>
  <c r="F159" i="1"/>
  <c r="J160" i="1" s="1"/>
  <c r="E313" i="1" l="1"/>
  <c r="H312" i="1"/>
  <c r="G312" i="1"/>
  <c r="D921" i="1"/>
  <c r="I159" i="1"/>
  <c r="K159" i="1" s="1"/>
  <c r="M159" i="1" s="1"/>
  <c r="D922" i="1" l="1"/>
  <c r="E314" i="1"/>
  <c r="H313" i="1"/>
  <c r="G313" i="1"/>
  <c r="F160" i="1"/>
  <c r="J161" i="1" s="1"/>
  <c r="E315" i="1" l="1"/>
  <c r="H314" i="1"/>
  <c r="G314" i="1"/>
  <c r="D923" i="1"/>
  <c r="I160" i="1"/>
  <c r="K160" i="1" s="1"/>
  <c r="M160" i="1" s="1"/>
  <c r="D924" i="1" l="1"/>
  <c r="E316" i="1"/>
  <c r="H315" i="1"/>
  <c r="G315" i="1"/>
  <c r="F161" i="1"/>
  <c r="J162" i="1" s="1"/>
  <c r="E317" i="1" l="1"/>
  <c r="H316" i="1"/>
  <c r="G316" i="1"/>
  <c r="D925" i="1"/>
  <c r="I161" i="1"/>
  <c r="K161" i="1" s="1"/>
  <c r="M161" i="1" s="1"/>
  <c r="F162" i="1"/>
  <c r="J163" i="1" s="1"/>
  <c r="D926" i="1" l="1"/>
  <c r="E318" i="1"/>
  <c r="H317" i="1"/>
  <c r="G317" i="1"/>
  <c r="I162" i="1"/>
  <c r="K162" i="1" s="1"/>
  <c r="M162" i="1" s="1"/>
  <c r="F163" i="1"/>
  <c r="J164" i="1" s="1"/>
  <c r="E319" i="1" l="1"/>
  <c r="H318" i="1"/>
  <c r="G318" i="1"/>
  <c r="D927" i="1"/>
  <c r="I163" i="1"/>
  <c r="K163" i="1" s="1"/>
  <c r="M163" i="1" s="1"/>
  <c r="D928" i="1" l="1"/>
  <c r="E320" i="1"/>
  <c r="H319" i="1"/>
  <c r="G319" i="1"/>
  <c r="F164" i="1"/>
  <c r="J165" i="1" s="1"/>
  <c r="E321" i="1" l="1"/>
  <c r="H320" i="1"/>
  <c r="G320" i="1"/>
  <c r="D929" i="1"/>
  <c r="I164" i="1"/>
  <c r="K164" i="1" s="1"/>
  <c r="M164" i="1" s="1"/>
  <c r="F165" i="1"/>
  <c r="J166" i="1" s="1"/>
  <c r="D930" i="1" l="1"/>
  <c r="E322" i="1"/>
  <c r="H321" i="1"/>
  <c r="G321" i="1"/>
  <c r="I165" i="1"/>
  <c r="K165" i="1" s="1"/>
  <c r="M165" i="1" s="1"/>
  <c r="F166" i="1"/>
  <c r="J167" i="1" s="1"/>
  <c r="E323" i="1" l="1"/>
  <c r="H322" i="1"/>
  <c r="G322" i="1"/>
  <c r="D931" i="1"/>
  <c r="I166" i="1"/>
  <c r="K166" i="1" s="1"/>
  <c r="M166" i="1" s="1"/>
  <c r="F167" i="1"/>
  <c r="J168" i="1" s="1"/>
  <c r="D932" i="1" l="1"/>
  <c r="E324" i="1"/>
  <c r="H323" i="1"/>
  <c r="G323" i="1"/>
  <c r="I167" i="1"/>
  <c r="K167" i="1" s="1"/>
  <c r="M167" i="1" s="1"/>
  <c r="F168" i="1"/>
  <c r="J169" i="1" s="1"/>
  <c r="E325" i="1" l="1"/>
  <c r="H324" i="1"/>
  <c r="G324" i="1"/>
  <c r="D933" i="1"/>
  <c r="I168" i="1"/>
  <c r="K168" i="1" s="1"/>
  <c r="M168" i="1" s="1"/>
  <c r="F169" i="1"/>
  <c r="J170" i="1" s="1"/>
  <c r="D934" i="1" l="1"/>
  <c r="E326" i="1"/>
  <c r="H325" i="1"/>
  <c r="G325" i="1"/>
  <c r="I169" i="1"/>
  <c r="K169" i="1" s="1"/>
  <c r="M169" i="1" s="1"/>
  <c r="F170" i="1"/>
  <c r="J171" i="1" s="1"/>
  <c r="E327" i="1" l="1"/>
  <c r="H326" i="1"/>
  <c r="G326" i="1"/>
  <c r="D935" i="1"/>
  <c r="I170" i="1"/>
  <c r="K170" i="1" s="1"/>
  <c r="M170" i="1" s="1"/>
  <c r="F171" i="1"/>
  <c r="J172" i="1" s="1"/>
  <c r="D936" i="1" l="1"/>
  <c r="E328" i="1"/>
  <c r="H327" i="1"/>
  <c r="G327" i="1"/>
  <c r="I171" i="1"/>
  <c r="K171" i="1" s="1"/>
  <c r="M171" i="1" s="1"/>
  <c r="E329" i="1" l="1"/>
  <c r="H328" i="1"/>
  <c r="G328" i="1"/>
  <c r="D937" i="1"/>
  <c r="F172" i="1"/>
  <c r="J173" i="1" s="1"/>
  <c r="D938" i="1" l="1"/>
  <c r="E330" i="1"/>
  <c r="H329" i="1"/>
  <c r="G329" i="1"/>
  <c r="I172" i="1"/>
  <c r="K172" i="1" s="1"/>
  <c r="M172" i="1" s="1"/>
  <c r="F173" i="1"/>
  <c r="J174" i="1" s="1"/>
  <c r="E331" i="1" l="1"/>
  <c r="H330" i="1"/>
  <c r="G330" i="1"/>
  <c r="D939" i="1"/>
  <c r="I173" i="1"/>
  <c r="K173" i="1" s="1"/>
  <c r="M173" i="1" s="1"/>
  <c r="F174" i="1"/>
  <c r="J175" i="1" s="1"/>
  <c r="D940" i="1" l="1"/>
  <c r="E332" i="1"/>
  <c r="H331" i="1"/>
  <c r="G331" i="1"/>
  <c r="I174" i="1"/>
  <c r="K174" i="1" s="1"/>
  <c r="M174" i="1" s="1"/>
  <c r="F175" i="1"/>
  <c r="J176" i="1" s="1"/>
  <c r="E333" i="1" l="1"/>
  <c r="H332" i="1"/>
  <c r="G332" i="1"/>
  <c r="D941" i="1"/>
  <c r="I175" i="1"/>
  <c r="K175" i="1" s="1"/>
  <c r="M175" i="1" s="1"/>
  <c r="D942" i="1" l="1"/>
  <c r="E334" i="1"/>
  <c r="H333" i="1"/>
  <c r="G333" i="1"/>
  <c r="F176" i="1"/>
  <c r="J177" i="1" s="1"/>
  <c r="E335" i="1" l="1"/>
  <c r="H334" i="1"/>
  <c r="G334" i="1"/>
  <c r="D943" i="1"/>
  <c r="I176" i="1"/>
  <c r="K176" i="1" s="1"/>
  <c r="M176" i="1" s="1"/>
  <c r="D944" i="1" l="1"/>
  <c r="E336" i="1"/>
  <c r="H335" i="1"/>
  <c r="G335" i="1"/>
  <c r="F177" i="1"/>
  <c r="J178" i="1" s="1"/>
  <c r="E337" i="1" l="1"/>
  <c r="H336" i="1"/>
  <c r="G336" i="1"/>
  <c r="D945" i="1"/>
  <c r="I177" i="1"/>
  <c r="K177" i="1" s="1"/>
  <c r="M177" i="1" s="1"/>
  <c r="F178" i="1"/>
  <c r="J179" i="1" s="1"/>
  <c r="D946" i="1" l="1"/>
  <c r="E338" i="1"/>
  <c r="H337" i="1"/>
  <c r="G337" i="1"/>
  <c r="I178" i="1"/>
  <c r="K178" i="1" s="1"/>
  <c r="M178" i="1" s="1"/>
  <c r="F179" i="1"/>
  <c r="J180" i="1" s="1"/>
  <c r="E339" i="1" l="1"/>
  <c r="H338" i="1"/>
  <c r="G338" i="1"/>
  <c r="D947" i="1"/>
  <c r="I179" i="1"/>
  <c r="K179" i="1" s="1"/>
  <c r="M179" i="1" s="1"/>
  <c r="F180" i="1"/>
  <c r="J181" i="1" s="1"/>
  <c r="D948" i="1" l="1"/>
  <c r="E340" i="1"/>
  <c r="H339" i="1"/>
  <c r="G339" i="1"/>
  <c r="I180" i="1"/>
  <c r="K180" i="1" s="1"/>
  <c r="M180" i="1" s="1"/>
  <c r="F181" i="1"/>
  <c r="J182" i="1" s="1"/>
  <c r="E341" i="1" l="1"/>
  <c r="H340" i="1"/>
  <c r="G340" i="1"/>
  <c r="D949" i="1"/>
  <c r="I181" i="1"/>
  <c r="K181" i="1" s="1"/>
  <c r="M181" i="1" s="1"/>
  <c r="F182" i="1"/>
  <c r="J183" i="1" s="1"/>
  <c r="D950" i="1" l="1"/>
  <c r="E342" i="1"/>
  <c r="H341" i="1"/>
  <c r="G341" i="1"/>
  <c r="I182" i="1"/>
  <c r="K182" i="1" s="1"/>
  <c r="M182" i="1" s="1"/>
  <c r="F183" i="1"/>
  <c r="J184" i="1" s="1"/>
  <c r="E343" i="1" l="1"/>
  <c r="H342" i="1"/>
  <c r="G342" i="1"/>
  <c r="D951" i="1"/>
  <c r="I183" i="1"/>
  <c r="K183" i="1" s="1"/>
  <c r="M183" i="1" s="1"/>
  <c r="D952" i="1" l="1"/>
  <c r="E344" i="1"/>
  <c r="H343" i="1"/>
  <c r="G343" i="1"/>
  <c r="F184" i="1"/>
  <c r="J185" i="1" s="1"/>
  <c r="E345" i="1" l="1"/>
  <c r="H344" i="1"/>
  <c r="G344" i="1"/>
  <c r="D953" i="1"/>
  <c r="I184" i="1"/>
  <c r="K184" i="1" s="1"/>
  <c r="M184" i="1" s="1"/>
  <c r="F185" i="1"/>
  <c r="J186" i="1" s="1"/>
  <c r="D954" i="1" l="1"/>
  <c r="E346" i="1"/>
  <c r="H345" i="1"/>
  <c r="G345" i="1"/>
  <c r="I185" i="1"/>
  <c r="K185" i="1" s="1"/>
  <c r="M185" i="1" s="1"/>
  <c r="E347" i="1" l="1"/>
  <c r="H346" i="1"/>
  <c r="G346" i="1"/>
  <c r="D955" i="1"/>
  <c r="F186" i="1"/>
  <c r="J187" i="1" s="1"/>
  <c r="D956" i="1" l="1"/>
  <c r="F187" i="1"/>
  <c r="J188" i="1" s="1"/>
  <c r="E348" i="1"/>
  <c r="H347" i="1"/>
  <c r="G347" i="1"/>
  <c r="I186" i="1"/>
  <c r="K186" i="1" s="1"/>
  <c r="M186" i="1" s="1"/>
  <c r="I187" i="1"/>
  <c r="K187" i="1" s="1"/>
  <c r="M187" i="1" s="1"/>
  <c r="E349" i="1" l="1"/>
  <c r="H348" i="1"/>
  <c r="G348" i="1"/>
  <c r="D957" i="1"/>
  <c r="F188" i="1"/>
  <c r="J189" i="1" s="1"/>
  <c r="D958" i="1" l="1"/>
  <c r="E350" i="1"/>
  <c r="H349" i="1"/>
  <c r="G349" i="1"/>
  <c r="I188" i="1"/>
  <c r="K188" i="1" s="1"/>
  <c r="M188" i="1" s="1"/>
  <c r="F189" i="1"/>
  <c r="J190" i="1" s="1"/>
  <c r="E351" i="1" l="1"/>
  <c r="H350" i="1"/>
  <c r="G350" i="1"/>
  <c r="D959" i="1"/>
  <c r="I189" i="1"/>
  <c r="K189" i="1" s="1"/>
  <c r="M189" i="1" s="1"/>
  <c r="F190" i="1"/>
  <c r="J191" i="1" s="1"/>
  <c r="D960" i="1" l="1"/>
  <c r="E352" i="1"/>
  <c r="H351" i="1"/>
  <c r="G351" i="1"/>
  <c r="I190" i="1"/>
  <c r="K190" i="1" s="1"/>
  <c r="M190" i="1" s="1"/>
  <c r="F191" i="1"/>
  <c r="J192" i="1" s="1"/>
  <c r="E353" i="1" l="1"/>
  <c r="H352" i="1"/>
  <c r="G352" i="1"/>
  <c r="D961" i="1"/>
  <c r="I191" i="1"/>
  <c r="K191" i="1" s="1"/>
  <c r="M191" i="1" s="1"/>
  <c r="D962" i="1" l="1"/>
  <c r="E354" i="1"/>
  <c r="H353" i="1"/>
  <c r="G353" i="1"/>
  <c r="F192" i="1"/>
  <c r="J193" i="1" s="1"/>
  <c r="E355" i="1" l="1"/>
  <c r="H354" i="1"/>
  <c r="G354" i="1"/>
  <c r="D963" i="1"/>
  <c r="I192" i="1"/>
  <c r="K192" i="1" s="1"/>
  <c r="M192" i="1" s="1"/>
  <c r="D964" i="1" l="1"/>
  <c r="E356" i="1"/>
  <c r="H355" i="1"/>
  <c r="G355" i="1"/>
  <c r="F193" i="1"/>
  <c r="J194" i="1" s="1"/>
  <c r="E357" i="1" l="1"/>
  <c r="H356" i="1"/>
  <c r="G356" i="1"/>
  <c r="D965" i="1"/>
  <c r="I193" i="1"/>
  <c r="K193" i="1" s="1"/>
  <c r="M193" i="1" s="1"/>
  <c r="F194" i="1"/>
  <c r="J195" i="1" s="1"/>
  <c r="D966" i="1" l="1"/>
  <c r="E358" i="1"/>
  <c r="H357" i="1"/>
  <c r="G357" i="1"/>
  <c r="I194" i="1"/>
  <c r="K194" i="1" s="1"/>
  <c r="M194" i="1" s="1"/>
  <c r="F195" i="1"/>
  <c r="J196" i="1" s="1"/>
  <c r="E359" i="1" l="1"/>
  <c r="H358" i="1"/>
  <c r="G358" i="1"/>
  <c r="D967" i="1"/>
  <c r="I195" i="1"/>
  <c r="K195" i="1" s="1"/>
  <c r="M195" i="1" s="1"/>
  <c r="D968" i="1" l="1"/>
  <c r="E360" i="1"/>
  <c r="H359" i="1"/>
  <c r="G359" i="1"/>
  <c r="F196" i="1"/>
  <c r="J197" i="1" s="1"/>
  <c r="E361" i="1" l="1"/>
  <c r="H360" i="1"/>
  <c r="G360" i="1"/>
  <c r="D969" i="1"/>
  <c r="I196" i="1"/>
  <c r="K196" i="1" s="1"/>
  <c r="M196" i="1" s="1"/>
  <c r="F197" i="1"/>
  <c r="J198" i="1" s="1"/>
  <c r="D970" i="1" l="1"/>
  <c r="E362" i="1"/>
  <c r="H361" i="1"/>
  <c r="G361" i="1"/>
  <c r="I197" i="1"/>
  <c r="K197" i="1" s="1"/>
  <c r="M197" i="1" s="1"/>
  <c r="F198" i="1"/>
  <c r="J199" i="1" s="1"/>
  <c r="E363" i="1" l="1"/>
  <c r="H362" i="1"/>
  <c r="G362" i="1"/>
  <c r="D971" i="1"/>
  <c r="I198" i="1"/>
  <c r="K198" i="1" s="1"/>
  <c r="M198" i="1" s="1"/>
  <c r="F199" i="1"/>
  <c r="J200" i="1" s="1"/>
  <c r="D972" i="1" l="1"/>
  <c r="E364" i="1"/>
  <c r="H363" i="1"/>
  <c r="G363" i="1"/>
  <c r="I199" i="1"/>
  <c r="K199" i="1" s="1"/>
  <c r="M199" i="1" s="1"/>
  <c r="E365" i="1" l="1"/>
  <c r="H364" i="1"/>
  <c r="G364" i="1"/>
  <c r="D973" i="1"/>
  <c r="F200" i="1"/>
  <c r="J201" i="1" s="1"/>
  <c r="D974" i="1" l="1"/>
  <c r="E366" i="1"/>
  <c r="H365" i="1"/>
  <c r="G365" i="1"/>
  <c r="I200" i="1"/>
  <c r="K200" i="1" s="1"/>
  <c r="M200" i="1" s="1"/>
  <c r="F201" i="1"/>
  <c r="J202" i="1" s="1"/>
  <c r="E367" i="1" l="1"/>
  <c r="H366" i="1"/>
  <c r="G366" i="1"/>
  <c r="D975" i="1"/>
  <c r="I201" i="1"/>
  <c r="K201" i="1" s="1"/>
  <c r="M201" i="1" s="1"/>
  <c r="F202" i="1"/>
  <c r="J203" i="1" s="1"/>
  <c r="D976" i="1" l="1"/>
  <c r="E368" i="1"/>
  <c r="H367" i="1"/>
  <c r="G367" i="1"/>
  <c r="I202" i="1"/>
  <c r="K202" i="1" s="1"/>
  <c r="M202" i="1" s="1"/>
  <c r="F203" i="1"/>
  <c r="J204" i="1" s="1"/>
  <c r="E369" i="1" l="1"/>
  <c r="H368" i="1"/>
  <c r="G368" i="1"/>
  <c r="D977" i="1"/>
  <c r="I203" i="1"/>
  <c r="K203" i="1" s="1"/>
  <c r="M203" i="1" s="1"/>
  <c r="F204" i="1"/>
  <c r="J205" i="1" s="1"/>
  <c r="D978" i="1" l="1"/>
  <c r="E370" i="1"/>
  <c r="H369" i="1"/>
  <c r="G369" i="1"/>
  <c r="I204" i="1"/>
  <c r="K204" i="1" s="1"/>
  <c r="M204" i="1" s="1"/>
  <c r="F205" i="1"/>
  <c r="J206" i="1" s="1"/>
  <c r="E371" i="1" l="1"/>
  <c r="H370" i="1"/>
  <c r="G370" i="1"/>
  <c r="D979" i="1"/>
  <c r="I205" i="1"/>
  <c r="K205" i="1" s="1"/>
  <c r="M205" i="1" s="1"/>
  <c r="F206" i="1"/>
  <c r="J207" i="1" s="1"/>
  <c r="D980" i="1" l="1"/>
  <c r="E372" i="1"/>
  <c r="H371" i="1"/>
  <c r="G371" i="1"/>
  <c r="I206" i="1"/>
  <c r="K206" i="1" s="1"/>
  <c r="M206" i="1" s="1"/>
  <c r="F207" i="1"/>
  <c r="J208" i="1" s="1"/>
  <c r="E373" i="1" l="1"/>
  <c r="H372" i="1"/>
  <c r="G372" i="1"/>
  <c r="D981" i="1"/>
  <c r="I207" i="1"/>
  <c r="K207" i="1" s="1"/>
  <c r="M207" i="1" s="1"/>
  <c r="D982" i="1" l="1"/>
  <c r="E374" i="1"/>
  <c r="H373" i="1"/>
  <c r="G373" i="1"/>
  <c r="F208" i="1"/>
  <c r="J209" i="1" s="1"/>
  <c r="E375" i="1" l="1"/>
  <c r="H374" i="1"/>
  <c r="G374" i="1"/>
  <c r="D983" i="1"/>
  <c r="I208" i="1"/>
  <c r="K208" i="1" s="1"/>
  <c r="M208" i="1" s="1"/>
  <c r="F209" i="1"/>
  <c r="J210" i="1" s="1"/>
  <c r="D984" i="1" l="1"/>
  <c r="E376" i="1"/>
  <c r="H375" i="1"/>
  <c r="G375" i="1"/>
  <c r="I209" i="1"/>
  <c r="K209" i="1" s="1"/>
  <c r="M209" i="1" s="1"/>
  <c r="F210" i="1"/>
  <c r="J211" i="1" s="1"/>
  <c r="E377" i="1" l="1"/>
  <c r="H376" i="1"/>
  <c r="G376" i="1"/>
  <c r="D985" i="1"/>
  <c r="I210" i="1"/>
  <c r="K210" i="1" s="1"/>
  <c r="M210" i="1" s="1"/>
  <c r="F211" i="1"/>
  <c r="J212" i="1" s="1"/>
  <c r="D986" i="1" l="1"/>
  <c r="E378" i="1"/>
  <c r="H377" i="1"/>
  <c r="G377" i="1"/>
  <c r="I211" i="1"/>
  <c r="K211" i="1" s="1"/>
  <c r="M211" i="1" s="1"/>
  <c r="E379" i="1" l="1"/>
  <c r="H378" i="1"/>
  <c r="G378" i="1"/>
  <c r="D987" i="1"/>
  <c r="F212" i="1"/>
  <c r="J213" i="1" s="1"/>
  <c r="D988" i="1" l="1"/>
  <c r="E380" i="1"/>
  <c r="H379" i="1"/>
  <c r="G379" i="1"/>
  <c r="I212" i="1"/>
  <c r="K212" i="1" s="1"/>
  <c r="M212" i="1" s="1"/>
  <c r="E381" i="1" l="1"/>
  <c r="H380" i="1"/>
  <c r="G380" i="1"/>
  <c r="D989" i="1"/>
  <c r="F213" i="1"/>
  <c r="J214" i="1" s="1"/>
  <c r="D990" i="1" l="1"/>
  <c r="E382" i="1"/>
  <c r="H381" i="1"/>
  <c r="G381" i="1"/>
  <c r="I213" i="1"/>
  <c r="K213" i="1" s="1"/>
  <c r="M213" i="1" s="1"/>
  <c r="E383" i="1" l="1"/>
  <c r="H382" i="1"/>
  <c r="G382" i="1"/>
  <c r="D991" i="1"/>
  <c r="F214" i="1"/>
  <c r="J215" i="1" s="1"/>
  <c r="D992" i="1" l="1"/>
  <c r="E384" i="1"/>
  <c r="H383" i="1"/>
  <c r="G383" i="1"/>
  <c r="I214" i="1"/>
  <c r="K214" i="1" s="1"/>
  <c r="M214" i="1" s="1"/>
  <c r="F215" i="1"/>
  <c r="J216" i="1" s="1"/>
  <c r="E385" i="1" l="1"/>
  <c r="H384" i="1"/>
  <c r="G384" i="1"/>
  <c r="D993" i="1"/>
  <c r="I215" i="1"/>
  <c r="K215" i="1" s="1"/>
  <c r="M215" i="1" s="1"/>
  <c r="D994" i="1" l="1"/>
  <c r="E386" i="1"/>
  <c r="H385" i="1"/>
  <c r="G385" i="1"/>
  <c r="F216" i="1"/>
  <c r="J217" i="1" s="1"/>
  <c r="E387" i="1" l="1"/>
  <c r="H386" i="1"/>
  <c r="G386" i="1"/>
  <c r="D995" i="1"/>
  <c r="I216" i="1"/>
  <c r="K216" i="1" s="1"/>
  <c r="M216" i="1" s="1"/>
  <c r="F217" i="1"/>
  <c r="J218" i="1" s="1"/>
  <c r="D996" i="1" l="1"/>
  <c r="E388" i="1"/>
  <c r="H387" i="1"/>
  <c r="G387" i="1"/>
  <c r="I217" i="1"/>
  <c r="K217" i="1" s="1"/>
  <c r="M217" i="1" s="1"/>
  <c r="F218" i="1"/>
  <c r="J219" i="1" s="1"/>
  <c r="E389" i="1" l="1"/>
  <c r="H388" i="1"/>
  <c r="G388" i="1"/>
  <c r="D997" i="1"/>
  <c r="I218" i="1"/>
  <c r="K218" i="1" s="1"/>
  <c r="M218" i="1" s="1"/>
  <c r="F219" i="1"/>
  <c r="J220" i="1" s="1"/>
  <c r="D998" i="1" l="1"/>
  <c r="E390" i="1"/>
  <c r="H389" i="1"/>
  <c r="G389" i="1"/>
  <c r="I219" i="1"/>
  <c r="K219" i="1" s="1"/>
  <c r="M219" i="1" s="1"/>
  <c r="E391" i="1" l="1"/>
  <c r="H390" i="1"/>
  <c r="G390" i="1"/>
  <c r="D999" i="1"/>
  <c r="F220" i="1"/>
  <c r="J221" i="1" s="1"/>
  <c r="D1000" i="1" l="1"/>
  <c r="E392" i="1"/>
  <c r="H391" i="1"/>
  <c r="G391" i="1"/>
  <c r="I220" i="1"/>
  <c r="K220" i="1" s="1"/>
  <c r="M220" i="1" s="1"/>
  <c r="F221" i="1"/>
  <c r="J222" i="1" s="1"/>
  <c r="E393" i="1" l="1"/>
  <c r="H392" i="1"/>
  <c r="G392" i="1"/>
  <c r="D1001" i="1"/>
  <c r="I221" i="1"/>
  <c r="K221" i="1" s="1"/>
  <c r="M221" i="1" s="1"/>
  <c r="D1002" i="1" l="1"/>
  <c r="E394" i="1"/>
  <c r="H393" i="1"/>
  <c r="G393" i="1"/>
  <c r="F222" i="1"/>
  <c r="J223" i="1" s="1"/>
  <c r="E395" i="1" l="1"/>
  <c r="H394" i="1"/>
  <c r="G394" i="1"/>
  <c r="D1003" i="1"/>
  <c r="I222" i="1"/>
  <c r="K222" i="1" s="1"/>
  <c r="M222" i="1" s="1"/>
  <c r="F223" i="1"/>
  <c r="D1004" i="1" l="1"/>
  <c r="E396" i="1"/>
  <c r="H395" i="1"/>
  <c r="G395" i="1"/>
  <c r="J224" i="1"/>
  <c r="I223" i="1"/>
  <c r="K223" i="1" s="1"/>
  <c r="M223" i="1" s="1"/>
  <c r="F224" i="1"/>
  <c r="J225" i="1" s="1"/>
  <c r="E397" i="1" l="1"/>
  <c r="H396" i="1"/>
  <c r="G396" i="1"/>
  <c r="D1005" i="1"/>
  <c r="I224" i="1"/>
  <c r="K224" i="1" s="1"/>
  <c r="M224" i="1" s="1"/>
  <c r="D1006" i="1" l="1"/>
  <c r="E398" i="1"/>
  <c r="H397" i="1"/>
  <c r="G397" i="1"/>
  <c r="F225" i="1"/>
  <c r="J226" i="1" s="1"/>
  <c r="E399" i="1" l="1"/>
  <c r="H398" i="1"/>
  <c r="G398" i="1"/>
  <c r="D1007" i="1"/>
  <c r="I225" i="1"/>
  <c r="K225" i="1" s="1"/>
  <c r="M225" i="1" s="1"/>
  <c r="F226" i="1"/>
  <c r="J227" i="1" s="1"/>
  <c r="D1008" i="1" l="1"/>
  <c r="E400" i="1"/>
  <c r="H399" i="1"/>
  <c r="G399" i="1"/>
  <c r="I226" i="1"/>
  <c r="K226" i="1" s="1"/>
  <c r="M226" i="1" s="1"/>
  <c r="F227" i="1"/>
  <c r="J228" i="1" s="1"/>
  <c r="E401" i="1" l="1"/>
  <c r="H400" i="1"/>
  <c r="G400" i="1"/>
  <c r="D1009" i="1"/>
  <c r="I227" i="1"/>
  <c r="K227" i="1" s="1"/>
  <c r="M227" i="1" s="1"/>
  <c r="F228" i="1"/>
  <c r="J229" i="1" s="1"/>
  <c r="D1010" i="1" l="1"/>
  <c r="E402" i="1"/>
  <c r="H401" i="1"/>
  <c r="G401" i="1"/>
  <c r="I228" i="1"/>
  <c r="K228" i="1" s="1"/>
  <c r="M228" i="1" s="1"/>
  <c r="F229" i="1"/>
  <c r="J230" i="1" s="1"/>
  <c r="E403" i="1" l="1"/>
  <c r="H402" i="1"/>
  <c r="G402" i="1"/>
  <c r="D1011" i="1"/>
  <c r="I229" i="1"/>
  <c r="K229" i="1" s="1"/>
  <c r="M229" i="1" s="1"/>
  <c r="F230" i="1"/>
  <c r="J231" i="1" s="1"/>
  <c r="D1012" i="1" l="1"/>
  <c r="E404" i="1"/>
  <c r="H403" i="1"/>
  <c r="G403" i="1"/>
  <c r="I230" i="1"/>
  <c r="K230" i="1" s="1"/>
  <c r="M230" i="1" s="1"/>
  <c r="F231" i="1"/>
  <c r="J232" i="1" s="1"/>
  <c r="E405" i="1" l="1"/>
  <c r="H404" i="1"/>
  <c r="G404" i="1"/>
  <c r="D1013" i="1"/>
  <c r="I231" i="1"/>
  <c r="K231" i="1" s="1"/>
  <c r="M231" i="1" s="1"/>
  <c r="D1014" i="1" l="1"/>
  <c r="E406" i="1"/>
  <c r="H405" i="1"/>
  <c r="G405" i="1"/>
  <c r="F232" i="1"/>
  <c r="J233" i="1" s="1"/>
  <c r="E407" i="1" l="1"/>
  <c r="H406" i="1"/>
  <c r="G406" i="1"/>
  <c r="D1015" i="1"/>
  <c r="I232" i="1"/>
  <c r="K232" i="1" s="1"/>
  <c r="M232" i="1" s="1"/>
  <c r="F233" i="1"/>
  <c r="J234" i="1" s="1"/>
  <c r="D1016" i="1" l="1"/>
  <c r="E408" i="1"/>
  <c r="H407" i="1"/>
  <c r="G407" i="1"/>
  <c r="I233" i="1"/>
  <c r="K233" i="1" s="1"/>
  <c r="M233" i="1" s="1"/>
  <c r="F234" i="1"/>
  <c r="J235" i="1" s="1"/>
  <c r="E409" i="1" l="1"/>
  <c r="H408" i="1"/>
  <c r="G408" i="1"/>
  <c r="D1017" i="1"/>
  <c r="I234" i="1"/>
  <c r="K234" i="1" s="1"/>
  <c r="M234" i="1" s="1"/>
  <c r="F235" i="1"/>
  <c r="J236" i="1" s="1"/>
  <c r="D1018" i="1" l="1"/>
  <c r="E410" i="1"/>
  <c r="H409" i="1"/>
  <c r="G409" i="1"/>
  <c r="I235" i="1"/>
  <c r="K235" i="1" s="1"/>
  <c r="M235" i="1" s="1"/>
  <c r="E411" i="1" l="1"/>
  <c r="H410" i="1"/>
  <c r="G410" i="1"/>
  <c r="D1019" i="1"/>
  <c r="F236" i="1"/>
  <c r="J237" i="1" s="1"/>
  <c r="D1020" i="1" l="1"/>
  <c r="E412" i="1"/>
  <c r="H411" i="1"/>
  <c r="G411" i="1"/>
  <c r="I236" i="1"/>
  <c r="K236" i="1" s="1"/>
  <c r="M236" i="1" s="1"/>
  <c r="F237" i="1"/>
  <c r="J238" i="1" s="1"/>
  <c r="E413" i="1" l="1"/>
  <c r="H412" i="1"/>
  <c r="G412" i="1"/>
  <c r="D1021" i="1"/>
  <c r="I237" i="1"/>
  <c r="K237" i="1" s="1"/>
  <c r="M237" i="1" s="1"/>
  <c r="F238" i="1"/>
  <c r="J239" i="1" s="1"/>
  <c r="D1022" i="1" l="1"/>
  <c r="E414" i="1"/>
  <c r="H413" i="1"/>
  <c r="G413" i="1"/>
  <c r="I238" i="1"/>
  <c r="K238" i="1" s="1"/>
  <c r="M238" i="1" s="1"/>
  <c r="F239" i="1"/>
  <c r="J240" i="1" s="1"/>
  <c r="E415" i="1" l="1"/>
  <c r="H414" i="1"/>
  <c r="G414" i="1"/>
  <c r="D1023" i="1"/>
  <c r="I239" i="1"/>
  <c r="K239" i="1" s="1"/>
  <c r="M239" i="1" s="1"/>
  <c r="D1024" i="1" l="1"/>
  <c r="E416" i="1"/>
  <c r="H415" i="1"/>
  <c r="G415" i="1"/>
  <c r="F240" i="1"/>
  <c r="J241" i="1" s="1"/>
  <c r="E417" i="1" l="1"/>
  <c r="H416" i="1"/>
  <c r="G416" i="1"/>
  <c r="D1025" i="1"/>
  <c r="I240" i="1"/>
  <c r="K240" i="1" s="1"/>
  <c r="M240" i="1" s="1"/>
  <c r="F241" i="1"/>
  <c r="J242" i="1" s="1"/>
  <c r="D1026" i="1" l="1"/>
  <c r="E418" i="1"/>
  <c r="H417" i="1"/>
  <c r="G417" i="1"/>
  <c r="I241" i="1"/>
  <c r="K241" i="1" s="1"/>
  <c r="M241" i="1" s="1"/>
  <c r="F242" i="1"/>
  <c r="J243" i="1" s="1"/>
  <c r="E419" i="1" l="1"/>
  <c r="H418" i="1"/>
  <c r="G418" i="1"/>
  <c r="D1027" i="1"/>
  <c r="I242" i="1"/>
  <c r="K242" i="1" s="1"/>
  <c r="M242" i="1" s="1"/>
  <c r="D1028" i="1" l="1"/>
  <c r="E420" i="1"/>
  <c r="H419" i="1"/>
  <c r="G419" i="1"/>
  <c r="F243" i="1"/>
  <c r="J244" i="1" s="1"/>
  <c r="E421" i="1" l="1"/>
  <c r="H420" i="1"/>
  <c r="G420" i="1"/>
  <c r="D1029" i="1"/>
  <c r="I243" i="1"/>
  <c r="K243" i="1" s="1"/>
  <c r="M243" i="1" s="1"/>
  <c r="F244" i="1"/>
  <c r="J245" i="1" s="1"/>
  <c r="D1030" i="1" l="1"/>
  <c r="E422" i="1"/>
  <c r="H421" i="1"/>
  <c r="G421" i="1"/>
  <c r="I244" i="1"/>
  <c r="K244" i="1" s="1"/>
  <c r="M244" i="1" s="1"/>
  <c r="F245" i="1"/>
  <c r="J246" i="1" s="1"/>
  <c r="E423" i="1" l="1"/>
  <c r="H422" i="1"/>
  <c r="G422" i="1"/>
  <c r="D1031" i="1"/>
  <c r="I245" i="1"/>
  <c r="K245" i="1" s="1"/>
  <c r="M245" i="1" s="1"/>
  <c r="F246" i="1"/>
  <c r="J247" i="1" s="1"/>
  <c r="D1032" i="1" l="1"/>
  <c r="E424" i="1"/>
  <c r="H423" i="1"/>
  <c r="G423" i="1"/>
  <c r="I246" i="1"/>
  <c r="K246" i="1" s="1"/>
  <c r="M246" i="1" s="1"/>
  <c r="F247" i="1"/>
  <c r="J248" i="1" s="1"/>
  <c r="E425" i="1" l="1"/>
  <c r="H424" i="1"/>
  <c r="G424" i="1"/>
  <c r="D1033" i="1"/>
  <c r="I247" i="1"/>
  <c r="K247" i="1" s="1"/>
  <c r="M247" i="1" s="1"/>
  <c r="D1034" i="1" l="1"/>
  <c r="E426" i="1"/>
  <c r="H425" i="1"/>
  <c r="G425" i="1"/>
  <c r="F248" i="1"/>
  <c r="J249" i="1" s="1"/>
  <c r="E427" i="1" l="1"/>
  <c r="H426" i="1"/>
  <c r="G426" i="1"/>
  <c r="D1035" i="1"/>
  <c r="I248" i="1"/>
  <c r="K248" i="1" s="1"/>
  <c r="M248" i="1" s="1"/>
  <c r="D1036" i="1" l="1"/>
  <c r="E428" i="1"/>
  <c r="H427" i="1"/>
  <c r="G427" i="1"/>
  <c r="F249" i="1"/>
  <c r="J250" i="1" s="1"/>
  <c r="E429" i="1" l="1"/>
  <c r="H428" i="1"/>
  <c r="G428" i="1"/>
  <c r="D1037" i="1"/>
  <c r="I249" i="1"/>
  <c r="K249" i="1" s="1"/>
  <c r="M249" i="1" s="1"/>
  <c r="F250" i="1"/>
  <c r="J251" i="1" s="1"/>
  <c r="D1038" i="1" l="1"/>
  <c r="E430" i="1"/>
  <c r="H429" i="1"/>
  <c r="G429" i="1"/>
  <c r="I250" i="1"/>
  <c r="K250" i="1" s="1"/>
  <c r="M250" i="1" s="1"/>
  <c r="F251" i="1"/>
  <c r="J252" i="1" s="1"/>
  <c r="E431" i="1" l="1"/>
  <c r="H430" i="1"/>
  <c r="G430" i="1"/>
  <c r="D1039" i="1"/>
  <c r="I251" i="1"/>
  <c r="K251" i="1" s="1"/>
  <c r="M251" i="1" s="1"/>
  <c r="D1040" i="1" l="1"/>
  <c r="E432" i="1"/>
  <c r="H431" i="1"/>
  <c r="G431" i="1"/>
  <c r="F252" i="1"/>
  <c r="J253" i="1" s="1"/>
  <c r="E433" i="1" l="1"/>
  <c r="H432" i="1"/>
  <c r="G432" i="1"/>
  <c r="D1041" i="1"/>
  <c r="I252" i="1"/>
  <c r="K252" i="1" s="1"/>
  <c r="M252" i="1" s="1"/>
  <c r="F253" i="1"/>
  <c r="J254" i="1" s="1"/>
  <c r="D1042" i="1" l="1"/>
  <c r="E434" i="1"/>
  <c r="H433" i="1"/>
  <c r="G433" i="1"/>
  <c r="I253" i="1"/>
  <c r="K253" i="1" s="1"/>
  <c r="M253" i="1" s="1"/>
  <c r="F254" i="1"/>
  <c r="J255" i="1" s="1"/>
  <c r="E435" i="1" l="1"/>
  <c r="H434" i="1"/>
  <c r="G434" i="1"/>
  <c r="D1043" i="1"/>
  <c r="I254" i="1"/>
  <c r="K254" i="1" s="1"/>
  <c r="M254" i="1" s="1"/>
  <c r="D1044" i="1" l="1"/>
  <c r="E436" i="1"/>
  <c r="H435" i="1"/>
  <c r="G435" i="1"/>
  <c r="F255" i="1"/>
  <c r="J256" i="1" s="1"/>
  <c r="E437" i="1" l="1"/>
  <c r="H436" i="1"/>
  <c r="G436" i="1"/>
  <c r="D1045" i="1"/>
  <c r="I255" i="1"/>
  <c r="K255" i="1" s="1"/>
  <c r="M255" i="1" s="1"/>
  <c r="F256" i="1"/>
  <c r="J257" i="1" s="1"/>
  <c r="D1046" i="1" l="1"/>
  <c r="E438" i="1"/>
  <c r="H437" i="1"/>
  <c r="G437" i="1"/>
  <c r="I256" i="1"/>
  <c r="K256" i="1" s="1"/>
  <c r="M256" i="1" s="1"/>
  <c r="E439" i="1" l="1"/>
  <c r="H438" i="1"/>
  <c r="G438" i="1"/>
  <c r="D1047" i="1"/>
  <c r="F257" i="1"/>
  <c r="J258" i="1" s="1"/>
  <c r="D1048" i="1" l="1"/>
  <c r="E440" i="1"/>
  <c r="H439" i="1"/>
  <c r="G439" i="1"/>
  <c r="I257" i="1"/>
  <c r="K257" i="1" s="1"/>
  <c r="M257" i="1" s="1"/>
  <c r="F258" i="1"/>
  <c r="J259" i="1" s="1"/>
  <c r="E441" i="1" l="1"/>
  <c r="H440" i="1"/>
  <c r="G440" i="1"/>
  <c r="D1049" i="1"/>
  <c r="I258" i="1"/>
  <c r="K258" i="1" s="1"/>
  <c r="M258" i="1" s="1"/>
  <c r="F259" i="1"/>
  <c r="J260" i="1" s="1"/>
  <c r="D1050" i="1" l="1"/>
  <c r="E442" i="1"/>
  <c r="H441" i="1"/>
  <c r="G441" i="1"/>
  <c r="I259" i="1"/>
  <c r="K259" i="1" s="1"/>
  <c r="M259" i="1" s="1"/>
  <c r="E443" i="1" l="1"/>
  <c r="H442" i="1"/>
  <c r="G442" i="1"/>
  <c r="D1051" i="1"/>
  <c r="F260" i="1"/>
  <c r="J261" i="1" s="1"/>
  <c r="D1052" i="1" l="1"/>
  <c r="E444" i="1"/>
  <c r="H443" i="1"/>
  <c r="G443" i="1"/>
  <c r="I260" i="1"/>
  <c r="K260" i="1" s="1"/>
  <c r="M260" i="1" s="1"/>
  <c r="F261" i="1"/>
  <c r="J262" i="1" s="1"/>
  <c r="E445" i="1" l="1"/>
  <c r="H444" i="1"/>
  <c r="G444" i="1"/>
  <c r="D1053" i="1"/>
  <c r="I261" i="1"/>
  <c r="K261" i="1" s="1"/>
  <c r="M261" i="1" s="1"/>
  <c r="F262" i="1"/>
  <c r="J263" i="1" s="1"/>
  <c r="D1054" i="1" l="1"/>
  <c r="E446" i="1"/>
  <c r="H445" i="1"/>
  <c r="G445" i="1"/>
  <c r="I262" i="1"/>
  <c r="K262" i="1" s="1"/>
  <c r="M262" i="1" s="1"/>
  <c r="F263" i="1"/>
  <c r="J264" i="1" s="1"/>
  <c r="E447" i="1" l="1"/>
  <c r="H446" i="1"/>
  <c r="G446" i="1"/>
  <c r="D1055" i="1"/>
  <c r="I263" i="1"/>
  <c r="K263" i="1" s="1"/>
  <c r="M263" i="1" s="1"/>
  <c r="D1056" i="1" l="1"/>
  <c r="E448" i="1"/>
  <c r="H447" i="1"/>
  <c r="G447" i="1"/>
  <c r="F264" i="1"/>
  <c r="J265" i="1" s="1"/>
  <c r="E449" i="1" l="1"/>
  <c r="H448" i="1"/>
  <c r="G448" i="1"/>
  <c r="D1057" i="1"/>
  <c r="I264" i="1"/>
  <c r="K264" i="1" s="1"/>
  <c r="M264" i="1" s="1"/>
  <c r="F265" i="1"/>
  <c r="J266" i="1" s="1"/>
  <c r="D1058" i="1" l="1"/>
  <c r="E450" i="1"/>
  <c r="H449" i="1"/>
  <c r="G449" i="1"/>
  <c r="I265" i="1"/>
  <c r="K265" i="1" s="1"/>
  <c r="M265" i="1" s="1"/>
  <c r="F266" i="1"/>
  <c r="J267" i="1" s="1"/>
  <c r="E451" i="1" l="1"/>
  <c r="H450" i="1"/>
  <c r="G450" i="1"/>
  <c r="D1059" i="1"/>
  <c r="I266" i="1"/>
  <c r="K266" i="1" s="1"/>
  <c r="M266" i="1" s="1"/>
  <c r="D1060" i="1" l="1"/>
  <c r="E452" i="1"/>
  <c r="H451" i="1"/>
  <c r="G451" i="1"/>
  <c r="F267" i="1"/>
  <c r="J268" i="1" s="1"/>
  <c r="E453" i="1" l="1"/>
  <c r="H452" i="1"/>
  <c r="G452" i="1"/>
  <c r="D1061" i="1"/>
  <c r="I267" i="1"/>
  <c r="K267" i="1" s="1"/>
  <c r="M267" i="1" s="1"/>
  <c r="F268" i="1"/>
  <c r="J269" i="1" s="1"/>
  <c r="D1062" i="1" l="1"/>
  <c r="E454" i="1"/>
  <c r="H453" i="1"/>
  <c r="G453" i="1"/>
  <c r="I268" i="1"/>
  <c r="K268" i="1" s="1"/>
  <c r="M268" i="1" s="1"/>
  <c r="E455" i="1" l="1"/>
  <c r="H454" i="1"/>
  <c r="G454" i="1"/>
  <c r="D1063" i="1"/>
  <c r="F269" i="1"/>
  <c r="J270" i="1" s="1"/>
  <c r="D1064" i="1" l="1"/>
  <c r="E456" i="1"/>
  <c r="H455" i="1"/>
  <c r="G455" i="1"/>
  <c r="I269" i="1"/>
  <c r="K269" i="1" s="1"/>
  <c r="M269" i="1" s="1"/>
  <c r="F270" i="1"/>
  <c r="J271" i="1" s="1"/>
  <c r="E457" i="1" l="1"/>
  <c r="H456" i="1"/>
  <c r="G456" i="1"/>
  <c r="D1065" i="1"/>
  <c r="I270" i="1"/>
  <c r="K270" i="1" s="1"/>
  <c r="M270" i="1" s="1"/>
  <c r="F271" i="1"/>
  <c r="J272" i="1" s="1"/>
  <c r="D1066" i="1" l="1"/>
  <c r="E458" i="1"/>
  <c r="H457" i="1"/>
  <c r="G457" i="1"/>
  <c r="I271" i="1"/>
  <c r="K271" i="1" s="1"/>
  <c r="M271" i="1" s="1"/>
  <c r="E459" i="1" l="1"/>
  <c r="H458" i="1"/>
  <c r="G458" i="1"/>
  <c r="D1067" i="1"/>
  <c r="F272" i="1"/>
  <c r="J273" i="1" s="1"/>
  <c r="D1068" i="1" l="1"/>
  <c r="E460" i="1"/>
  <c r="H459" i="1"/>
  <c r="G459" i="1"/>
  <c r="I272" i="1"/>
  <c r="K272" i="1" s="1"/>
  <c r="M272" i="1" s="1"/>
  <c r="F273" i="1"/>
  <c r="J274" i="1" s="1"/>
  <c r="E461" i="1" l="1"/>
  <c r="H460" i="1"/>
  <c r="G460" i="1"/>
  <c r="D1069" i="1"/>
  <c r="I273" i="1"/>
  <c r="K273" i="1" s="1"/>
  <c r="M273" i="1" s="1"/>
  <c r="F274" i="1"/>
  <c r="J275" i="1" s="1"/>
  <c r="D1070" i="1" l="1"/>
  <c r="E462" i="1"/>
  <c r="H461" i="1"/>
  <c r="G461" i="1"/>
  <c r="I274" i="1"/>
  <c r="K274" i="1" s="1"/>
  <c r="M274" i="1" s="1"/>
  <c r="F275" i="1"/>
  <c r="J276" i="1" s="1"/>
  <c r="E463" i="1" l="1"/>
  <c r="H462" i="1"/>
  <c r="G462" i="1"/>
  <c r="D1071" i="1"/>
  <c r="I275" i="1"/>
  <c r="K275" i="1" s="1"/>
  <c r="M275" i="1" s="1"/>
  <c r="D1072" i="1" l="1"/>
  <c r="E464" i="1"/>
  <c r="H463" i="1"/>
  <c r="G463" i="1"/>
  <c r="F276" i="1"/>
  <c r="J277" i="1" s="1"/>
  <c r="E465" i="1" l="1"/>
  <c r="H464" i="1"/>
  <c r="G464" i="1"/>
  <c r="D1073" i="1"/>
  <c r="I276" i="1"/>
  <c r="K276" i="1" s="1"/>
  <c r="M276" i="1" s="1"/>
  <c r="F277" i="1"/>
  <c r="J278" i="1" s="1"/>
  <c r="D1074" i="1" l="1"/>
  <c r="E466" i="1"/>
  <c r="H465" i="1"/>
  <c r="G465" i="1"/>
  <c r="I277" i="1"/>
  <c r="K277" i="1" s="1"/>
  <c r="M277" i="1" s="1"/>
  <c r="F278" i="1"/>
  <c r="J279" i="1" s="1"/>
  <c r="E467" i="1" l="1"/>
  <c r="H466" i="1"/>
  <c r="G466" i="1"/>
  <c r="D1075" i="1"/>
  <c r="I278" i="1"/>
  <c r="K278" i="1" s="1"/>
  <c r="M278" i="1" s="1"/>
  <c r="F279" i="1"/>
  <c r="J280" i="1" s="1"/>
  <c r="D1076" i="1" l="1"/>
  <c r="E468" i="1"/>
  <c r="H467" i="1"/>
  <c r="G467" i="1"/>
  <c r="I279" i="1"/>
  <c r="K279" i="1" s="1"/>
  <c r="M279" i="1" s="1"/>
  <c r="F280" i="1"/>
  <c r="J281" i="1" s="1"/>
  <c r="E469" i="1" l="1"/>
  <c r="H468" i="1"/>
  <c r="G468" i="1"/>
  <c r="D1077" i="1"/>
  <c r="I280" i="1"/>
  <c r="K280" i="1" s="1"/>
  <c r="M280" i="1" s="1"/>
  <c r="F281" i="1"/>
  <c r="J282" i="1" s="1"/>
  <c r="D1078" i="1" l="1"/>
  <c r="E470" i="1"/>
  <c r="H469" i="1"/>
  <c r="G469" i="1"/>
  <c r="I281" i="1"/>
  <c r="K281" i="1" s="1"/>
  <c r="M281" i="1" s="1"/>
  <c r="F282" i="1"/>
  <c r="J283" i="1" s="1"/>
  <c r="E471" i="1" l="1"/>
  <c r="H470" i="1"/>
  <c r="G470" i="1"/>
  <c r="D1079" i="1"/>
  <c r="I282" i="1"/>
  <c r="K282" i="1" s="1"/>
  <c r="M282" i="1" s="1"/>
  <c r="D1080" i="1" l="1"/>
  <c r="E472" i="1"/>
  <c r="H471" i="1"/>
  <c r="G471" i="1"/>
  <c r="F283" i="1"/>
  <c r="J284" i="1" s="1"/>
  <c r="E473" i="1" l="1"/>
  <c r="H472" i="1"/>
  <c r="G472" i="1"/>
  <c r="D1081" i="1"/>
  <c r="I283" i="1"/>
  <c r="K283" i="1" s="1"/>
  <c r="M283" i="1" s="1"/>
  <c r="F284" i="1"/>
  <c r="J285" i="1" s="1"/>
  <c r="D1082" i="1" l="1"/>
  <c r="E474" i="1"/>
  <c r="H473" i="1"/>
  <c r="G473" i="1"/>
  <c r="I284" i="1"/>
  <c r="K284" i="1" s="1"/>
  <c r="M284" i="1" s="1"/>
  <c r="F285" i="1"/>
  <c r="J286" i="1" s="1"/>
  <c r="E475" i="1" l="1"/>
  <c r="H474" i="1"/>
  <c r="G474" i="1"/>
  <c r="D1083" i="1"/>
  <c r="I285" i="1"/>
  <c r="K285" i="1" s="1"/>
  <c r="M285" i="1" s="1"/>
  <c r="D1084" i="1" l="1"/>
  <c r="E476" i="1"/>
  <c r="H475" i="1"/>
  <c r="G475" i="1"/>
  <c r="F286" i="1"/>
  <c r="J287" i="1" s="1"/>
  <c r="E477" i="1" l="1"/>
  <c r="H476" i="1"/>
  <c r="G476" i="1"/>
  <c r="D1085" i="1"/>
  <c r="I286" i="1"/>
  <c r="K286" i="1" s="1"/>
  <c r="M286" i="1" s="1"/>
  <c r="D1086" i="1" l="1"/>
  <c r="E478" i="1"/>
  <c r="H477" i="1"/>
  <c r="G477" i="1"/>
  <c r="F287" i="1"/>
  <c r="J288" i="1" s="1"/>
  <c r="E479" i="1" l="1"/>
  <c r="H478" i="1"/>
  <c r="G478" i="1"/>
  <c r="D1087" i="1"/>
  <c r="I287" i="1"/>
  <c r="K287" i="1" s="1"/>
  <c r="M287" i="1" s="1"/>
  <c r="D1088" i="1" l="1"/>
  <c r="E480" i="1"/>
  <c r="H479" i="1"/>
  <c r="G479" i="1"/>
  <c r="F288" i="1"/>
  <c r="J289" i="1" s="1"/>
  <c r="E481" i="1" l="1"/>
  <c r="H480" i="1"/>
  <c r="G480" i="1"/>
  <c r="D1089" i="1"/>
  <c r="I288" i="1"/>
  <c r="K288" i="1" s="1"/>
  <c r="M288" i="1" s="1"/>
  <c r="D1090" i="1" l="1"/>
  <c r="E482" i="1"/>
  <c r="H481" i="1"/>
  <c r="G481" i="1"/>
  <c r="F289" i="1"/>
  <c r="J290" i="1" s="1"/>
  <c r="E483" i="1" l="1"/>
  <c r="H482" i="1"/>
  <c r="G482" i="1"/>
  <c r="D1091" i="1"/>
  <c r="I289" i="1"/>
  <c r="K289" i="1" s="1"/>
  <c r="M289" i="1" s="1"/>
  <c r="F290" i="1"/>
  <c r="J291" i="1" s="1"/>
  <c r="D1092" i="1" l="1"/>
  <c r="E484" i="1"/>
  <c r="H483" i="1"/>
  <c r="G483" i="1"/>
  <c r="I290" i="1"/>
  <c r="K290" i="1" s="1"/>
  <c r="M290" i="1" s="1"/>
  <c r="F291" i="1"/>
  <c r="J292" i="1" s="1"/>
  <c r="E485" i="1" l="1"/>
  <c r="H484" i="1"/>
  <c r="G484" i="1"/>
  <c r="D1093" i="1"/>
  <c r="I291" i="1"/>
  <c r="K291" i="1" s="1"/>
  <c r="M291" i="1" s="1"/>
  <c r="D1094" i="1" l="1"/>
  <c r="E486" i="1"/>
  <c r="H485" i="1"/>
  <c r="G485" i="1"/>
  <c r="F292" i="1"/>
  <c r="J293" i="1" s="1"/>
  <c r="E487" i="1" l="1"/>
  <c r="H486" i="1"/>
  <c r="G486" i="1"/>
  <c r="D1095" i="1"/>
  <c r="I292" i="1"/>
  <c r="K292" i="1" s="1"/>
  <c r="M292" i="1" s="1"/>
  <c r="F293" i="1"/>
  <c r="J294" i="1" s="1"/>
  <c r="D1096" i="1" l="1"/>
  <c r="E488" i="1"/>
  <c r="H487" i="1"/>
  <c r="G487" i="1"/>
  <c r="I293" i="1"/>
  <c r="K293" i="1" s="1"/>
  <c r="M293" i="1" s="1"/>
  <c r="F294" i="1"/>
  <c r="J295" i="1" s="1"/>
  <c r="E489" i="1" l="1"/>
  <c r="H488" i="1"/>
  <c r="G488" i="1"/>
  <c r="D1097" i="1"/>
  <c r="I294" i="1"/>
  <c r="K294" i="1" s="1"/>
  <c r="M294" i="1" s="1"/>
  <c r="F295" i="1"/>
  <c r="J296" i="1" s="1"/>
  <c r="D1098" i="1" l="1"/>
  <c r="E490" i="1"/>
  <c r="H489" i="1"/>
  <c r="G489" i="1"/>
  <c r="I295" i="1"/>
  <c r="K295" i="1" s="1"/>
  <c r="M295" i="1" s="1"/>
  <c r="E491" i="1" l="1"/>
  <c r="H490" i="1"/>
  <c r="G490" i="1"/>
  <c r="D1099" i="1"/>
  <c r="F296" i="1"/>
  <c r="J297" i="1" s="1"/>
  <c r="D1100" i="1" l="1"/>
  <c r="E492" i="1"/>
  <c r="H491" i="1"/>
  <c r="G491" i="1"/>
  <c r="I296" i="1"/>
  <c r="K296" i="1" s="1"/>
  <c r="M296" i="1" s="1"/>
  <c r="F297" i="1"/>
  <c r="J298" i="1" s="1"/>
  <c r="E493" i="1" l="1"/>
  <c r="H492" i="1"/>
  <c r="G492" i="1"/>
  <c r="D1101" i="1"/>
  <c r="I297" i="1"/>
  <c r="K297" i="1" s="1"/>
  <c r="M297" i="1" s="1"/>
  <c r="F298" i="1"/>
  <c r="J299" i="1" s="1"/>
  <c r="D1102" i="1" l="1"/>
  <c r="E494" i="1"/>
  <c r="H493" i="1"/>
  <c r="G493" i="1"/>
  <c r="I298" i="1"/>
  <c r="K298" i="1" s="1"/>
  <c r="M298" i="1" s="1"/>
  <c r="F299" i="1"/>
  <c r="J300" i="1" s="1"/>
  <c r="E495" i="1" l="1"/>
  <c r="H494" i="1"/>
  <c r="G494" i="1"/>
  <c r="D1103" i="1"/>
  <c r="I299" i="1"/>
  <c r="K299" i="1" s="1"/>
  <c r="M299" i="1" s="1"/>
  <c r="D1104" i="1" l="1"/>
  <c r="E496" i="1"/>
  <c r="H495" i="1"/>
  <c r="G495" i="1"/>
  <c r="F300" i="1"/>
  <c r="J301" i="1" s="1"/>
  <c r="E497" i="1" l="1"/>
  <c r="H496" i="1"/>
  <c r="G496" i="1"/>
  <c r="D1105" i="1"/>
  <c r="I300" i="1"/>
  <c r="K300" i="1" s="1"/>
  <c r="M300" i="1" s="1"/>
  <c r="F301" i="1"/>
  <c r="J302" i="1" s="1"/>
  <c r="D1106" i="1" l="1"/>
  <c r="E498" i="1"/>
  <c r="H497" i="1"/>
  <c r="G497" i="1"/>
  <c r="I301" i="1"/>
  <c r="K301" i="1" s="1"/>
  <c r="M301" i="1" s="1"/>
  <c r="F302" i="1"/>
  <c r="J303" i="1" s="1"/>
  <c r="E499" i="1" l="1"/>
  <c r="H498" i="1"/>
  <c r="G498" i="1"/>
  <c r="D1107" i="1"/>
  <c r="I302" i="1"/>
  <c r="K302" i="1" s="1"/>
  <c r="M302" i="1" s="1"/>
  <c r="F303" i="1"/>
  <c r="J304" i="1" s="1"/>
  <c r="D1108" i="1" l="1"/>
  <c r="E500" i="1"/>
  <c r="H499" i="1"/>
  <c r="G499" i="1"/>
  <c r="I303" i="1"/>
  <c r="K303" i="1" s="1"/>
  <c r="M303" i="1" s="1"/>
  <c r="E501" i="1" l="1"/>
  <c r="H500" i="1"/>
  <c r="G500" i="1"/>
  <c r="D1109" i="1"/>
  <c r="F304" i="1"/>
  <c r="J305" i="1" s="1"/>
  <c r="D1110" i="1" l="1"/>
  <c r="E502" i="1"/>
  <c r="H501" i="1"/>
  <c r="G501" i="1"/>
  <c r="I304" i="1"/>
  <c r="K304" i="1" s="1"/>
  <c r="M304" i="1" s="1"/>
  <c r="E503" i="1" l="1"/>
  <c r="H502" i="1"/>
  <c r="G502" i="1"/>
  <c r="D1111" i="1"/>
  <c r="F305" i="1"/>
  <c r="J306" i="1" s="1"/>
  <c r="D1112" i="1" l="1"/>
  <c r="E504" i="1"/>
  <c r="H503" i="1"/>
  <c r="G503" i="1"/>
  <c r="I305" i="1"/>
  <c r="K305" i="1" s="1"/>
  <c r="M305" i="1" s="1"/>
  <c r="F306" i="1"/>
  <c r="J307" i="1" s="1"/>
  <c r="E505" i="1" l="1"/>
  <c r="H504" i="1"/>
  <c r="G504" i="1"/>
  <c r="D1113" i="1"/>
  <c r="I306" i="1"/>
  <c r="K306" i="1" s="1"/>
  <c r="M306" i="1" s="1"/>
  <c r="F307" i="1"/>
  <c r="J308" i="1" s="1"/>
  <c r="D1114" i="1" l="1"/>
  <c r="E506" i="1"/>
  <c r="H505" i="1"/>
  <c r="G505" i="1"/>
  <c r="I307" i="1"/>
  <c r="K307" i="1" s="1"/>
  <c r="M307" i="1" s="1"/>
  <c r="E507" i="1" l="1"/>
  <c r="H506" i="1"/>
  <c r="G506" i="1"/>
  <c r="D1115" i="1"/>
  <c r="F308" i="1"/>
  <c r="J309" i="1" s="1"/>
  <c r="D1116" i="1" l="1"/>
  <c r="E508" i="1"/>
  <c r="H507" i="1"/>
  <c r="G507" i="1"/>
  <c r="I308" i="1"/>
  <c r="K308" i="1" s="1"/>
  <c r="M308" i="1" s="1"/>
  <c r="F309" i="1"/>
  <c r="J310" i="1" s="1"/>
  <c r="E509" i="1" l="1"/>
  <c r="H508" i="1"/>
  <c r="G508" i="1"/>
  <c r="D1117" i="1"/>
  <c r="I309" i="1"/>
  <c r="K309" i="1" s="1"/>
  <c r="M309" i="1" s="1"/>
  <c r="F310" i="1"/>
  <c r="J311" i="1" s="1"/>
  <c r="D1118" i="1" l="1"/>
  <c r="E510" i="1"/>
  <c r="H509" i="1"/>
  <c r="G509" i="1"/>
  <c r="I310" i="1"/>
  <c r="K310" i="1" s="1"/>
  <c r="M310" i="1" s="1"/>
  <c r="F311" i="1"/>
  <c r="J312" i="1" s="1"/>
  <c r="E511" i="1" l="1"/>
  <c r="H510" i="1"/>
  <c r="G510" i="1"/>
  <c r="D1119" i="1"/>
  <c r="I311" i="1"/>
  <c r="K311" i="1" s="1"/>
  <c r="M311" i="1" s="1"/>
  <c r="D1120" i="1" l="1"/>
  <c r="E512" i="1"/>
  <c r="H511" i="1"/>
  <c r="G511" i="1"/>
  <c r="F312" i="1"/>
  <c r="J313" i="1" s="1"/>
  <c r="E513" i="1" l="1"/>
  <c r="H512" i="1"/>
  <c r="G512" i="1"/>
  <c r="D1121" i="1"/>
  <c r="I312" i="1"/>
  <c r="K312" i="1" s="1"/>
  <c r="M312" i="1" s="1"/>
  <c r="F313" i="1"/>
  <c r="J314" i="1" s="1"/>
  <c r="D1122" i="1" l="1"/>
  <c r="E514" i="1"/>
  <c r="H513" i="1"/>
  <c r="G513" i="1"/>
  <c r="I313" i="1"/>
  <c r="K313" i="1" s="1"/>
  <c r="M313" i="1" s="1"/>
  <c r="F314" i="1"/>
  <c r="J315" i="1" s="1"/>
  <c r="E515" i="1" l="1"/>
  <c r="H514" i="1"/>
  <c r="G514" i="1"/>
  <c r="D1123" i="1"/>
  <c r="I314" i="1"/>
  <c r="K314" i="1" s="1"/>
  <c r="M314" i="1" s="1"/>
  <c r="F315" i="1"/>
  <c r="J316" i="1" s="1"/>
  <c r="D1124" i="1" l="1"/>
  <c r="E516" i="1"/>
  <c r="H515" i="1"/>
  <c r="G515" i="1"/>
  <c r="I315" i="1"/>
  <c r="K315" i="1" s="1"/>
  <c r="M315" i="1" s="1"/>
  <c r="E517" i="1" l="1"/>
  <c r="H516" i="1"/>
  <c r="G516" i="1"/>
  <c r="D1125" i="1"/>
  <c r="F316" i="1"/>
  <c r="J317" i="1" s="1"/>
  <c r="D1126" i="1" l="1"/>
  <c r="E518" i="1"/>
  <c r="H517" i="1"/>
  <c r="G517" i="1"/>
  <c r="I316" i="1"/>
  <c r="K316" i="1" s="1"/>
  <c r="M316" i="1" s="1"/>
  <c r="F317" i="1"/>
  <c r="J318" i="1" s="1"/>
  <c r="E519" i="1" l="1"/>
  <c r="H518" i="1"/>
  <c r="G518" i="1"/>
  <c r="D1127" i="1"/>
  <c r="I317" i="1"/>
  <c r="K317" i="1" s="1"/>
  <c r="M317" i="1" s="1"/>
  <c r="F318" i="1"/>
  <c r="J319" i="1" s="1"/>
  <c r="D1128" i="1" l="1"/>
  <c r="E520" i="1"/>
  <c r="H519" i="1"/>
  <c r="G519" i="1"/>
  <c r="I318" i="1"/>
  <c r="K318" i="1" s="1"/>
  <c r="M318" i="1" s="1"/>
  <c r="F319" i="1"/>
  <c r="J320" i="1" s="1"/>
  <c r="E521" i="1" l="1"/>
  <c r="H520" i="1"/>
  <c r="G520" i="1"/>
  <c r="D1129" i="1"/>
  <c r="I319" i="1"/>
  <c r="K319" i="1" s="1"/>
  <c r="M319" i="1" s="1"/>
  <c r="F320" i="1"/>
  <c r="J321" i="1" s="1"/>
  <c r="D1130" i="1" l="1"/>
  <c r="E522" i="1"/>
  <c r="H521" i="1"/>
  <c r="G521" i="1"/>
  <c r="I320" i="1"/>
  <c r="K320" i="1" s="1"/>
  <c r="M320" i="1" s="1"/>
  <c r="E523" i="1" l="1"/>
  <c r="H522" i="1"/>
  <c r="G522" i="1"/>
  <c r="D1131" i="1"/>
  <c r="F321" i="1"/>
  <c r="J322" i="1" s="1"/>
  <c r="D1132" i="1" l="1"/>
  <c r="E524" i="1"/>
  <c r="H523" i="1"/>
  <c r="G523" i="1"/>
  <c r="I321" i="1"/>
  <c r="K321" i="1" s="1"/>
  <c r="M321" i="1" s="1"/>
  <c r="F322" i="1"/>
  <c r="J323" i="1" s="1"/>
  <c r="E525" i="1" l="1"/>
  <c r="H524" i="1"/>
  <c r="G524" i="1"/>
  <c r="D1133" i="1"/>
  <c r="I322" i="1"/>
  <c r="K322" i="1" s="1"/>
  <c r="M322" i="1" s="1"/>
  <c r="F323" i="1"/>
  <c r="J324" i="1" s="1"/>
  <c r="D1134" i="1" l="1"/>
  <c r="E526" i="1"/>
  <c r="H525" i="1"/>
  <c r="G525" i="1"/>
  <c r="I323" i="1"/>
  <c r="K323" i="1" s="1"/>
  <c r="M323" i="1" s="1"/>
  <c r="F324" i="1"/>
  <c r="J325" i="1" s="1"/>
  <c r="E527" i="1" l="1"/>
  <c r="H526" i="1"/>
  <c r="G526" i="1"/>
  <c r="D1135" i="1"/>
  <c r="I324" i="1"/>
  <c r="K324" i="1" s="1"/>
  <c r="M324" i="1" s="1"/>
  <c r="F325" i="1"/>
  <c r="J326" i="1" s="1"/>
  <c r="D1136" i="1" l="1"/>
  <c r="E528" i="1"/>
  <c r="H527" i="1"/>
  <c r="G527" i="1"/>
  <c r="I325" i="1"/>
  <c r="K325" i="1" s="1"/>
  <c r="M325" i="1" s="1"/>
  <c r="F326" i="1"/>
  <c r="J327" i="1" s="1"/>
  <c r="E529" i="1" l="1"/>
  <c r="H528" i="1"/>
  <c r="G528" i="1"/>
  <c r="D1137" i="1"/>
  <c r="I326" i="1"/>
  <c r="K326" i="1" s="1"/>
  <c r="M326" i="1" s="1"/>
  <c r="F327" i="1"/>
  <c r="J328" i="1" s="1"/>
  <c r="D1138" i="1" l="1"/>
  <c r="E530" i="1"/>
  <c r="H529" i="1"/>
  <c r="G529" i="1"/>
  <c r="I327" i="1"/>
  <c r="K327" i="1" s="1"/>
  <c r="M327" i="1" s="1"/>
  <c r="E531" i="1" l="1"/>
  <c r="H530" i="1"/>
  <c r="G530" i="1"/>
  <c r="D1139" i="1"/>
  <c r="F328" i="1"/>
  <c r="J329" i="1" s="1"/>
  <c r="D1140" i="1" l="1"/>
  <c r="E532" i="1"/>
  <c r="H531" i="1"/>
  <c r="G531" i="1"/>
  <c r="I328" i="1"/>
  <c r="K328" i="1" s="1"/>
  <c r="M328" i="1" s="1"/>
  <c r="E533" i="1" l="1"/>
  <c r="H532" i="1"/>
  <c r="G532" i="1"/>
  <c r="D1141" i="1"/>
  <c r="F329" i="1"/>
  <c r="J330" i="1" s="1"/>
  <c r="D1142" i="1" l="1"/>
  <c r="E534" i="1"/>
  <c r="H533" i="1"/>
  <c r="G533" i="1"/>
  <c r="I329" i="1"/>
  <c r="K329" i="1" s="1"/>
  <c r="M329" i="1" s="1"/>
  <c r="F330" i="1"/>
  <c r="J331" i="1" s="1"/>
  <c r="E535" i="1" l="1"/>
  <c r="H534" i="1"/>
  <c r="G534" i="1"/>
  <c r="D1143" i="1"/>
  <c r="I330" i="1"/>
  <c r="K330" i="1" s="1"/>
  <c r="M330" i="1" s="1"/>
  <c r="F331" i="1"/>
  <c r="J332" i="1" s="1"/>
  <c r="D1144" i="1" l="1"/>
  <c r="E536" i="1"/>
  <c r="H535" i="1"/>
  <c r="G535" i="1"/>
  <c r="I331" i="1"/>
  <c r="K331" i="1" s="1"/>
  <c r="M331" i="1" s="1"/>
  <c r="E537" i="1" l="1"/>
  <c r="H536" i="1"/>
  <c r="G536" i="1"/>
  <c r="D1145" i="1"/>
  <c r="F332" i="1"/>
  <c r="J333" i="1" s="1"/>
  <c r="D1146" i="1" l="1"/>
  <c r="E538" i="1"/>
  <c r="H537" i="1"/>
  <c r="G537" i="1"/>
  <c r="I332" i="1"/>
  <c r="K332" i="1" s="1"/>
  <c r="M332" i="1" s="1"/>
  <c r="F333" i="1"/>
  <c r="J334" i="1" s="1"/>
  <c r="E539" i="1" l="1"/>
  <c r="H538" i="1"/>
  <c r="G538" i="1"/>
  <c r="D1147" i="1"/>
  <c r="I333" i="1"/>
  <c r="K333" i="1" s="1"/>
  <c r="M333" i="1" s="1"/>
  <c r="F334" i="1"/>
  <c r="J335" i="1" s="1"/>
  <c r="D1148" i="1" l="1"/>
  <c r="E540" i="1"/>
  <c r="H539" i="1"/>
  <c r="G539" i="1"/>
  <c r="I334" i="1"/>
  <c r="K334" i="1" s="1"/>
  <c r="M334" i="1" s="1"/>
  <c r="F335" i="1"/>
  <c r="J336" i="1" s="1"/>
  <c r="E541" i="1" l="1"/>
  <c r="H540" i="1"/>
  <c r="G540" i="1"/>
  <c r="D1149" i="1"/>
  <c r="I335" i="1"/>
  <c r="K335" i="1" s="1"/>
  <c r="M335" i="1" s="1"/>
  <c r="D1150" i="1" l="1"/>
  <c r="E542" i="1"/>
  <c r="H541" i="1"/>
  <c r="G541" i="1"/>
  <c r="F336" i="1"/>
  <c r="J337" i="1" s="1"/>
  <c r="E543" i="1" l="1"/>
  <c r="H542" i="1"/>
  <c r="G542" i="1"/>
  <c r="D1151" i="1"/>
  <c r="I336" i="1"/>
  <c r="K336" i="1" s="1"/>
  <c r="M336" i="1" s="1"/>
  <c r="F337" i="1"/>
  <c r="J338" i="1" s="1"/>
  <c r="D1152" i="1" l="1"/>
  <c r="E544" i="1"/>
  <c r="H543" i="1"/>
  <c r="G543" i="1"/>
  <c r="I337" i="1"/>
  <c r="K337" i="1" s="1"/>
  <c r="M337" i="1" s="1"/>
  <c r="F338" i="1"/>
  <c r="J339" i="1" s="1"/>
  <c r="E545" i="1" l="1"/>
  <c r="H544" i="1"/>
  <c r="G544" i="1"/>
  <c r="D1153" i="1"/>
  <c r="I338" i="1"/>
  <c r="K338" i="1" s="1"/>
  <c r="M338" i="1" s="1"/>
  <c r="D1154" i="1" l="1"/>
  <c r="E546" i="1"/>
  <c r="H545" i="1"/>
  <c r="G545" i="1"/>
  <c r="F339" i="1"/>
  <c r="J340" i="1" s="1"/>
  <c r="E547" i="1" l="1"/>
  <c r="H546" i="1"/>
  <c r="G546" i="1"/>
  <c r="D1155" i="1"/>
  <c r="I339" i="1"/>
  <c r="K339" i="1" s="1"/>
  <c r="M339" i="1" s="1"/>
  <c r="D1156" i="1" l="1"/>
  <c r="E548" i="1"/>
  <c r="H547" i="1"/>
  <c r="G547" i="1"/>
  <c r="F340" i="1"/>
  <c r="J341" i="1" s="1"/>
  <c r="E549" i="1" l="1"/>
  <c r="H548" i="1"/>
  <c r="G548" i="1"/>
  <c r="D1157" i="1"/>
  <c r="I340" i="1"/>
  <c r="K340" i="1" s="1"/>
  <c r="M340" i="1" s="1"/>
  <c r="D1158" i="1" l="1"/>
  <c r="E550" i="1"/>
  <c r="H549" i="1"/>
  <c r="G549" i="1"/>
  <c r="F341" i="1"/>
  <c r="J342" i="1" s="1"/>
  <c r="E551" i="1" l="1"/>
  <c r="H550" i="1"/>
  <c r="G550" i="1"/>
  <c r="D1159" i="1"/>
  <c r="I341" i="1"/>
  <c r="K341" i="1" s="1"/>
  <c r="M341" i="1" s="1"/>
  <c r="F342" i="1"/>
  <c r="J343" i="1" s="1"/>
  <c r="D1160" i="1" l="1"/>
  <c r="E552" i="1"/>
  <c r="H551" i="1"/>
  <c r="G551" i="1"/>
  <c r="I342" i="1"/>
  <c r="K342" i="1" s="1"/>
  <c r="M342" i="1" s="1"/>
  <c r="F343" i="1"/>
  <c r="J344" i="1" s="1"/>
  <c r="E553" i="1" l="1"/>
  <c r="H552" i="1"/>
  <c r="G552" i="1"/>
  <c r="D1161" i="1"/>
  <c r="I343" i="1"/>
  <c r="K343" i="1" s="1"/>
  <c r="M343" i="1" s="1"/>
  <c r="D1162" i="1" l="1"/>
  <c r="E554" i="1"/>
  <c r="H553" i="1"/>
  <c r="G553" i="1"/>
  <c r="F344" i="1"/>
  <c r="J345" i="1" s="1"/>
  <c r="E555" i="1" l="1"/>
  <c r="H554" i="1"/>
  <c r="G554" i="1"/>
  <c r="D1163" i="1"/>
  <c r="I344" i="1"/>
  <c r="K344" i="1" s="1"/>
  <c r="M344" i="1" s="1"/>
  <c r="F345" i="1"/>
  <c r="J346" i="1" s="1"/>
  <c r="D1164" i="1" l="1"/>
  <c r="E556" i="1"/>
  <c r="H555" i="1"/>
  <c r="G555" i="1"/>
  <c r="I345" i="1"/>
  <c r="K345" i="1" s="1"/>
  <c r="M345" i="1" s="1"/>
  <c r="E557" i="1" l="1"/>
  <c r="H556" i="1"/>
  <c r="G556" i="1"/>
  <c r="D1165" i="1"/>
  <c r="F346" i="1"/>
  <c r="J347" i="1" s="1"/>
  <c r="D1166" i="1" l="1"/>
  <c r="E558" i="1"/>
  <c r="H557" i="1"/>
  <c r="G557" i="1"/>
  <c r="I346" i="1"/>
  <c r="K346" i="1" s="1"/>
  <c r="M346" i="1" s="1"/>
  <c r="F347" i="1"/>
  <c r="J348" i="1" s="1"/>
  <c r="E559" i="1" l="1"/>
  <c r="H558" i="1"/>
  <c r="G558" i="1"/>
  <c r="D1167" i="1"/>
  <c r="I347" i="1"/>
  <c r="K347" i="1" s="1"/>
  <c r="M347" i="1" s="1"/>
  <c r="F348" i="1"/>
  <c r="J349" i="1" s="1"/>
  <c r="D1168" i="1" l="1"/>
  <c r="E560" i="1"/>
  <c r="H559" i="1"/>
  <c r="G559" i="1"/>
  <c r="I348" i="1"/>
  <c r="K348" i="1" s="1"/>
  <c r="M348" i="1" s="1"/>
  <c r="F349" i="1"/>
  <c r="J350" i="1" s="1"/>
  <c r="E561" i="1" l="1"/>
  <c r="H560" i="1"/>
  <c r="G560" i="1"/>
  <c r="D1169" i="1"/>
  <c r="I349" i="1"/>
  <c r="K349" i="1" s="1"/>
  <c r="M349" i="1" s="1"/>
  <c r="F350" i="1"/>
  <c r="J351" i="1" s="1"/>
  <c r="D1170" i="1" l="1"/>
  <c r="E562" i="1"/>
  <c r="H561" i="1"/>
  <c r="G561" i="1"/>
  <c r="I350" i="1"/>
  <c r="K350" i="1" s="1"/>
  <c r="M350" i="1" s="1"/>
  <c r="F351" i="1"/>
  <c r="J352" i="1" s="1"/>
  <c r="E563" i="1" l="1"/>
  <c r="H562" i="1"/>
  <c r="G562" i="1"/>
  <c r="D1171" i="1"/>
  <c r="I351" i="1"/>
  <c r="K351" i="1" s="1"/>
  <c r="M351" i="1" s="1"/>
  <c r="F352" i="1"/>
  <c r="J353" i="1" s="1"/>
  <c r="D1172" i="1" l="1"/>
  <c r="E564" i="1"/>
  <c r="H563" i="1"/>
  <c r="G563" i="1"/>
  <c r="I352" i="1"/>
  <c r="K352" i="1" s="1"/>
  <c r="M352" i="1" s="1"/>
  <c r="E565" i="1" l="1"/>
  <c r="H564" i="1"/>
  <c r="G564" i="1"/>
  <c r="D1173" i="1"/>
  <c r="F353" i="1"/>
  <c r="J354" i="1" s="1"/>
  <c r="D1174" i="1" l="1"/>
  <c r="E566" i="1"/>
  <c r="H565" i="1"/>
  <c r="G565" i="1"/>
  <c r="I353" i="1"/>
  <c r="K353" i="1" s="1"/>
  <c r="M353" i="1" s="1"/>
  <c r="F354" i="1"/>
  <c r="J355" i="1" s="1"/>
  <c r="E567" i="1" l="1"/>
  <c r="H566" i="1"/>
  <c r="G566" i="1"/>
  <c r="D1175" i="1"/>
  <c r="I354" i="1"/>
  <c r="K354" i="1" s="1"/>
  <c r="M354" i="1" s="1"/>
  <c r="F355" i="1"/>
  <c r="J356" i="1" s="1"/>
  <c r="D1176" i="1" l="1"/>
  <c r="E568" i="1"/>
  <c r="H567" i="1"/>
  <c r="G567" i="1"/>
  <c r="I355" i="1"/>
  <c r="K355" i="1" s="1"/>
  <c r="M355" i="1" s="1"/>
  <c r="E569" i="1" l="1"/>
  <c r="H568" i="1"/>
  <c r="G568" i="1"/>
  <c r="D1177" i="1"/>
  <c r="F356" i="1"/>
  <c r="J357" i="1" s="1"/>
  <c r="D1178" i="1" l="1"/>
  <c r="E570" i="1"/>
  <c r="H569" i="1"/>
  <c r="G569" i="1"/>
  <c r="I356" i="1"/>
  <c r="K356" i="1" s="1"/>
  <c r="M356" i="1" s="1"/>
  <c r="E571" i="1" l="1"/>
  <c r="H570" i="1"/>
  <c r="G570" i="1"/>
  <c r="D1179" i="1"/>
  <c r="F357" i="1"/>
  <c r="J358" i="1" s="1"/>
  <c r="D1180" i="1" l="1"/>
  <c r="E572" i="1"/>
  <c r="H571" i="1"/>
  <c r="G571" i="1"/>
  <c r="I357" i="1"/>
  <c r="K357" i="1" s="1"/>
  <c r="M357" i="1" s="1"/>
  <c r="F358" i="1"/>
  <c r="J359" i="1" s="1"/>
  <c r="E573" i="1" l="1"/>
  <c r="H572" i="1"/>
  <c r="G572" i="1"/>
  <c r="D1181" i="1"/>
  <c r="I358" i="1"/>
  <c r="K358" i="1" s="1"/>
  <c r="M358" i="1" s="1"/>
  <c r="F359" i="1"/>
  <c r="J360" i="1" s="1"/>
  <c r="D1182" i="1" l="1"/>
  <c r="E574" i="1"/>
  <c r="H573" i="1"/>
  <c r="G573" i="1"/>
  <c r="I359" i="1"/>
  <c r="K359" i="1" s="1"/>
  <c r="M359" i="1" s="1"/>
  <c r="E575" i="1" l="1"/>
  <c r="H574" i="1"/>
  <c r="G574" i="1"/>
  <c r="D1183" i="1"/>
  <c r="F360" i="1"/>
  <c r="J361" i="1" s="1"/>
  <c r="D1184" i="1" l="1"/>
  <c r="E576" i="1"/>
  <c r="H575" i="1"/>
  <c r="G575" i="1"/>
  <c r="I360" i="1"/>
  <c r="K360" i="1" s="1"/>
  <c r="M360" i="1" s="1"/>
  <c r="F361" i="1"/>
  <c r="J362" i="1" s="1"/>
  <c r="E577" i="1" l="1"/>
  <c r="H576" i="1"/>
  <c r="G576" i="1"/>
  <c r="D1185" i="1"/>
  <c r="I361" i="1"/>
  <c r="K361" i="1" s="1"/>
  <c r="M361" i="1" s="1"/>
  <c r="D1186" i="1" l="1"/>
  <c r="E578" i="1"/>
  <c r="H577" i="1"/>
  <c r="G577" i="1"/>
  <c r="F362" i="1"/>
  <c r="J363" i="1" s="1"/>
  <c r="E579" i="1" l="1"/>
  <c r="H578" i="1"/>
  <c r="G578" i="1"/>
  <c r="D1187" i="1"/>
  <c r="I362" i="1"/>
  <c r="K362" i="1" s="1"/>
  <c r="M362" i="1" s="1"/>
  <c r="D1188" i="1" l="1"/>
  <c r="E580" i="1"/>
  <c r="H579" i="1"/>
  <c r="G579" i="1"/>
  <c r="F363" i="1"/>
  <c r="J364" i="1" s="1"/>
  <c r="E581" i="1" l="1"/>
  <c r="H580" i="1"/>
  <c r="G580" i="1"/>
  <c r="D1189" i="1"/>
  <c r="I363" i="1"/>
  <c r="K363" i="1" s="1"/>
  <c r="M363" i="1" s="1"/>
  <c r="D1190" i="1" l="1"/>
  <c r="E582" i="1"/>
  <c r="H581" i="1"/>
  <c r="G581" i="1"/>
  <c r="F364" i="1"/>
  <c r="J365" i="1" s="1"/>
  <c r="E583" i="1" l="1"/>
  <c r="H582" i="1"/>
  <c r="G582" i="1"/>
  <c r="D1191" i="1"/>
  <c r="I364" i="1"/>
  <c r="K364" i="1" s="1"/>
  <c r="M364" i="1" s="1"/>
  <c r="F365" i="1"/>
  <c r="J366" i="1" s="1"/>
  <c r="D1192" i="1" l="1"/>
  <c r="E584" i="1"/>
  <c r="H583" i="1"/>
  <c r="G583" i="1"/>
  <c r="I365" i="1"/>
  <c r="K365" i="1" s="1"/>
  <c r="M365" i="1" s="1"/>
  <c r="F366" i="1"/>
  <c r="J367" i="1" s="1"/>
  <c r="E585" i="1" l="1"/>
  <c r="H584" i="1"/>
  <c r="G584" i="1"/>
  <c r="D1193" i="1"/>
  <c r="I366" i="1"/>
  <c r="K366" i="1" s="1"/>
  <c r="M366" i="1" s="1"/>
  <c r="F367" i="1"/>
  <c r="J368" i="1" s="1"/>
  <c r="D1194" i="1" l="1"/>
  <c r="E586" i="1"/>
  <c r="H585" i="1"/>
  <c r="G585" i="1"/>
  <c r="I367" i="1"/>
  <c r="K367" i="1" s="1"/>
  <c r="M367" i="1" s="1"/>
  <c r="E587" i="1" l="1"/>
  <c r="H586" i="1"/>
  <c r="G586" i="1"/>
  <c r="D1195" i="1"/>
  <c r="F368" i="1"/>
  <c r="J369" i="1" s="1"/>
  <c r="D1196" i="1" l="1"/>
  <c r="E588" i="1"/>
  <c r="H587" i="1"/>
  <c r="G587" i="1"/>
  <c r="I368" i="1"/>
  <c r="K368" i="1" s="1"/>
  <c r="M368" i="1" s="1"/>
  <c r="F369" i="1"/>
  <c r="J370" i="1" s="1"/>
  <c r="E589" i="1" l="1"/>
  <c r="H588" i="1"/>
  <c r="G588" i="1"/>
  <c r="D1197" i="1"/>
  <c r="I369" i="1"/>
  <c r="K369" i="1" s="1"/>
  <c r="M369" i="1" s="1"/>
  <c r="D1198" i="1" l="1"/>
  <c r="E590" i="1"/>
  <c r="H589" i="1"/>
  <c r="G589" i="1"/>
  <c r="F370" i="1"/>
  <c r="J371" i="1" s="1"/>
  <c r="E591" i="1" l="1"/>
  <c r="H590" i="1"/>
  <c r="G590" i="1"/>
  <c r="D1199" i="1"/>
  <c r="I370" i="1"/>
  <c r="K370" i="1" s="1"/>
  <c r="M370" i="1" s="1"/>
  <c r="F371" i="1"/>
  <c r="J372" i="1" s="1"/>
  <c r="D1200" i="1" l="1"/>
  <c r="E592" i="1"/>
  <c r="H591" i="1"/>
  <c r="G591" i="1"/>
  <c r="I371" i="1"/>
  <c r="K371" i="1" s="1"/>
  <c r="M371" i="1" s="1"/>
  <c r="E593" i="1" l="1"/>
  <c r="H592" i="1"/>
  <c r="G592" i="1"/>
  <c r="D1201" i="1"/>
  <c r="F372" i="1"/>
  <c r="J373" i="1" s="1"/>
  <c r="D1202" i="1" l="1"/>
  <c r="E594" i="1"/>
  <c r="H593" i="1"/>
  <c r="G593" i="1"/>
  <c r="I372" i="1"/>
  <c r="K372" i="1" s="1"/>
  <c r="M372" i="1" s="1"/>
  <c r="E595" i="1" l="1"/>
  <c r="H594" i="1"/>
  <c r="G594" i="1"/>
  <c r="D1203" i="1"/>
  <c r="F373" i="1"/>
  <c r="D1204" i="1" l="1"/>
  <c r="E596" i="1"/>
  <c r="H595" i="1"/>
  <c r="G595" i="1"/>
  <c r="I373" i="1"/>
  <c r="K373" i="1" s="1"/>
  <c r="M373" i="1" s="1"/>
  <c r="J374" i="1"/>
  <c r="E597" i="1" l="1"/>
  <c r="H596" i="1"/>
  <c r="G596" i="1"/>
  <c r="D1205" i="1"/>
  <c r="F374" i="1"/>
  <c r="J375" i="1" s="1"/>
  <c r="F375" i="1"/>
  <c r="J376" i="1" s="1"/>
  <c r="I374" i="1" l="1"/>
  <c r="K374" i="1" s="1"/>
  <c r="M374" i="1" s="1"/>
  <c r="D1206" i="1"/>
  <c r="E598" i="1"/>
  <c r="H597" i="1"/>
  <c r="G597" i="1"/>
  <c r="I375" i="1"/>
  <c r="K375" i="1" s="1"/>
  <c r="M375" i="1" s="1"/>
  <c r="E599" i="1" l="1"/>
  <c r="H598" i="1"/>
  <c r="G598" i="1"/>
  <c r="D1207" i="1"/>
  <c r="F376" i="1"/>
  <c r="J377" i="1" s="1"/>
  <c r="D1208" i="1" l="1"/>
  <c r="E600" i="1"/>
  <c r="H599" i="1"/>
  <c r="G599" i="1"/>
  <c r="I376" i="1"/>
  <c r="K376" i="1" s="1"/>
  <c r="M376" i="1" s="1"/>
  <c r="F377" i="1"/>
  <c r="J378" i="1" s="1"/>
  <c r="E601" i="1" l="1"/>
  <c r="H600" i="1"/>
  <c r="G600" i="1"/>
  <c r="D1209" i="1"/>
  <c r="I377" i="1"/>
  <c r="K377" i="1" s="1"/>
  <c r="M377" i="1" s="1"/>
  <c r="F378" i="1"/>
  <c r="J379" i="1" s="1"/>
  <c r="D1210" i="1" l="1"/>
  <c r="E602" i="1"/>
  <c r="H601" i="1"/>
  <c r="G601" i="1"/>
  <c r="I378" i="1"/>
  <c r="K378" i="1" s="1"/>
  <c r="M378" i="1" s="1"/>
  <c r="F379" i="1"/>
  <c r="J380" i="1" s="1"/>
  <c r="E603" i="1" l="1"/>
  <c r="H602" i="1"/>
  <c r="G602" i="1"/>
  <c r="D1211" i="1"/>
  <c r="I379" i="1"/>
  <c r="K379" i="1" s="1"/>
  <c r="M379" i="1" s="1"/>
  <c r="D1212" i="1" l="1"/>
  <c r="E604" i="1"/>
  <c r="H603" i="1"/>
  <c r="G603" i="1"/>
  <c r="F380" i="1"/>
  <c r="J381" i="1" s="1"/>
  <c r="E605" i="1" l="1"/>
  <c r="H604" i="1"/>
  <c r="G604" i="1"/>
  <c r="D1213" i="1"/>
  <c r="I380" i="1"/>
  <c r="K380" i="1" s="1"/>
  <c r="M380" i="1" s="1"/>
  <c r="F381" i="1"/>
  <c r="J382" i="1" s="1"/>
  <c r="D1214" i="1" l="1"/>
  <c r="E606" i="1"/>
  <c r="H605" i="1"/>
  <c r="G605" i="1"/>
  <c r="I381" i="1"/>
  <c r="K381" i="1" s="1"/>
  <c r="M381" i="1" s="1"/>
  <c r="F382" i="1"/>
  <c r="J383" i="1" s="1"/>
  <c r="E607" i="1" l="1"/>
  <c r="H606" i="1"/>
  <c r="G606" i="1"/>
  <c r="D1215" i="1"/>
  <c r="I382" i="1"/>
  <c r="K382" i="1" s="1"/>
  <c r="M382" i="1" s="1"/>
  <c r="F383" i="1"/>
  <c r="J384" i="1" s="1"/>
  <c r="D1216" i="1" l="1"/>
  <c r="E608" i="1"/>
  <c r="H607" i="1"/>
  <c r="G607" i="1"/>
  <c r="I383" i="1"/>
  <c r="K383" i="1" s="1"/>
  <c r="M383" i="1" s="1"/>
  <c r="F384" i="1"/>
  <c r="J385" i="1" s="1"/>
  <c r="E609" i="1" l="1"/>
  <c r="H608" i="1"/>
  <c r="G608" i="1"/>
  <c r="D1217" i="1"/>
  <c r="I384" i="1"/>
  <c r="K384" i="1" s="1"/>
  <c r="M384" i="1" s="1"/>
  <c r="D1218" i="1" l="1"/>
  <c r="E610" i="1"/>
  <c r="H609" i="1"/>
  <c r="G609" i="1"/>
  <c r="F385" i="1"/>
  <c r="J386" i="1" s="1"/>
  <c r="E611" i="1" l="1"/>
  <c r="H610" i="1"/>
  <c r="G610" i="1"/>
  <c r="D1219" i="1"/>
  <c r="F386" i="1"/>
  <c r="J387" i="1" s="1"/>
  <c r="I385" i="1"/>
  <c r="K385" i="1" s="1"/>
  <c r="M385" i="1" s="1"/>
  <c r="I386" i="1"/>
  <c r="K386" i="1" s="1"/>
  <c r="M386" i="1" s="1"/>
  <c r="F387" i="1"/>
  <c r="J388" i="1" s="1"/>
  <c r="D1220" i="1" l="1"/>
  <c r="E612" i="1"/>
  <c r="H611" i="1"/>
  <c r="G611" i="1"/>
  <c r="I387" i="1"/>
  <c r="K387" i="1" s="1"/>
  <c r="M387" i="1" s="1"/>
  <c r="E613" i="1" l="1"/>
  <c r="H612" i="1"/>
  <c r="G612" i="1"/>
  <c r="D1221" i="1"/>
  <c r="F388" i="1"/>
  <c r="J389" i="1" s="1"/>
  <c r="D1222" i="1" l="1"/>
  <c r="E614" i="1"/>
  <c r="H613" i="1"/>
  <c r="G613" i="1"/>
  <c r="I388" i="1"/>
  <c r="K388" i="1" s="1"/>
  <c r="M388" i="1" s="1"/>
  <c r="F389" i="1"/>
  <c r="J390" i="1" s="1"/>
  <c r="E615" i="1" l="1"/>
  <c r="H614" i="1"/>
  <c r="G614" i="1"/>
  <c r="D1223" i="1"/>
  <c r="I389" i="1"/>
  <c r="K389" i="1" s="1"/>
  <c r="M389" i="1" s="1"/>
  <c r="F390" i="1"/>
  <c r="J391" i="1" s="1"/>
  <c r="D1224" i="1" l="1"/>
  <c r="E616" i="1"/>
  <c r="H615" i="1"/>
  <c r="G615" i="1"/>
  <c r="I390" i="1"/>
  <c r="K390" i="1" s="1"/>
  <c r="M390" i="1" s="1"/>
  <c r="E617" i="1" l="1"/>
  <c r="H616" i="1"/>
  <c r="G616" i="1"/>
  <c r="D1225" i="1"/>
  <c r="F391" i="1"/>
  <c r="J392" i="1" s="1"/>
  <c r="D1226" i="1" l="1"/>
  <c r="E618" i="1"/>
  <c r="H617" i="1"/>
  <c r="G617" i="1"/>
  <c r="I391" i="1"/>
  <c r="K391" i="1" s="1"/>
  <c r="M391" i="1" s="1"/>
  <c r="E619" i="1" l="1"/>
  <c r="H618" i="1"/>
  <c r="G618" i="1"/>
  <c r="D1227" i="1"/>
  <c r="F392" i="1"/>
  <c r="J393" i="1" s="1"/>
  <c r="D1228" i="1" l="1"/>
  <c r="E620" i="1"/>
  <c r="H619" i="1"/>
  <c r="G619" i="1"/>
  <c r="I392" i="1"/>
  <c r="K392" i="1" s="1"/>
  <c r="M392" i="1" s="1"/>
  <c r="F393" i="1"/>
  <c r="J394" i="1" s="1"/>
  <c r="E621" i="1" l="1"/>
  <c r="H620" i="1"/>
  <c r="G620" i="1"/>
  <c r="D1229" i="1"/>
  <c r="I393" i="1"/>
  <c r="K393" i="1" s="1"/>
  <c r="M393" i="1" s="1"/>
  <c r="D1230" i="1" l="1"/>
  <c r="E622" i="1"/>
  <c r="H621" i="1"/>
  <c r="G621" i="1"/>
  <c r="F394" i="1"/>
  <c r="J395" i="1" s="1"/>
  <c r="E623" i="1" l="1"/>
  <c r="H622" i="1"/>
  <c r="G622" i="1"/>
  <c r="D1231" i="1"/>
  <c r="I394" i="1"/>
  <c r="K394" i="1" s="1"/>
  <c r="M394" i="1" s="1"/>
  <c r="F395" i="1"/>
  <c r="J396" i="1" s="1"/>
  <c r="D1232" i="1" l="1"/>
  <c r="E624" i="1"/>
  <c r="H623" i="1"/>
  <c r="G623" i="1"/>
  <c r="I395" i="1"/>
  <c r="K395" i="1" s="1"/>
  <c r="M395" i="1" s="1"/>
  <c r="E625" i="1" l="1"/>
  <c r="H624" i="1"/>
  <c r="G624" i="1"/>
  <c r="D1233" i="1"/>
  <c r="F396" i="1"/>
  <c r="J397" i="1" s="1"/>
  <c r="D1234" i="1" l="1"/>
  <c r="E626" i="1"/>
  <c r="H625" i="1"/>
  <c r="G625" i="1"/>
  <c r="I396" i="1"/>
  <c r="K396" i="1" s="1"/>
  <c r="M396" i="1" s="1"/>
  <c r="E627" i="1" l="1"/>
  <c r="H626" i="1"/>
  <c r="G626" i="1"/>
  <c r="D1235" i="1"/>
  <c r="F397" i="1"/>
  <c r="J398" i="1" s="1"/>
  <c r="D1236" i="1" l="1"/>
  <c r="E628" i="1"/>
  <c r="H627" i="1"/>
  <c r="G627" i="1"/>
  <c r="I397" i="1"/>
  <c r="K397" i="1" s="1"/>
  <c r="M397" i="1" s="1"/>
  <c r="E629" i="1" l="1"/>
  <c r="H628" i="1"/>
  <c r="G628" i="1"/>
  <c r="D1237" i="1"/>
  <c r="F398" i="1"/>
  <c r="J399" i="1" s="1"/>
  <c r="D1238" i="1" l="1"/>
  <c r="E630" i="1"/>
  <c r="H629" i="1"/>
  <c r="G629" i="1"/>
  <c r="I398" i="1"/>
  <c r="K398" i="1" s="1"/>
  <c r="M398" i="1" s="1"/>
  <c r="F399" i="1"/>
  <c r="J400" i="1" s="1"/>
  <c r="E631" i="1" l="1"/>
  <c r="H630" i="1"/>
  <c r="G630" i="1"/>
  <c r="D1239" i="1"/>
  <c r="I399" i="1"/>
  <c r="K399" i="1" s="1"/>
  <c r="M399" i="1" s="1"/>
  <c r="F400" i="1"/>
  <c r="J401" i="1" s="1"/>
  <c r="D1240" i="1" l="1"/>
  <c r="E632" i="1"/>
  <c r="H631" i="1"/>
  <c r="G631" i="1"/>
  <c r="I400" i="1"/>
  <c r="K400" i="1" s="1"/>
  <c r="M400" i="1" s="1"/>
  <c r="E633" i="1" l="1"/>
  <c r="H632" i="1"/>
  <c r="G632" i="1"/>
  <c r="D1241" i="1"/>
  <c r="F401" i="1"/>
  <c r="J402" i="1" s="1"/>
  <c r="D1242" i="1" l="1"/>
  <c r="E634" i="1"/>
  <c r="H633" i="1"/>
  <c r="G633" i="1"/>
  <c r="I401" i="1"/>
  <c r="K401" i="1" s="1"/>
  <c r="M401" i="1" s="1"/>
  <c r="E635" i="1" l="1"/>
  <c r="H634" i="1"/>
  <c r="G634" i="1"/>
  <c r="D1243" i="1"/>
  <c r="F402" i="1"/>
  <c r="J403" i="1" s="1"/>
  <c r="D1244" i="1" l="1"/>
  <c r="E636" i="1"/>
  <c r="H635" i="1"/>
  <c r="G635" i="1"/>
  <c r="I402" i="1"/>
  <c r="K402" i="1" s="1"/>
  <c r="M402" i="1" s="1"/>
  <c r="F403" i="1"/>
  <c r="J404" i="1" s="1"/>
  <c r="E637" i="1" l="1"/>
  <c r="H636" i="1"/>
  <c r="G636" i="1"/>
  <c r="D1245" i="1"/>
  <c r="I403" i="1"/>
  <c r="K403" i="1" s="1"/>
  <c r="M403" i="1" s="1"/>
  <c r="D1246" i="1" l="1"/>
  <c r="E638" i="1"/>
  <c r="H637" i="1"/>
  <c r="G637" i="1"/>
  <c r="F404" i="1"/>
  <c r="J405" i="1" s="1"/>
  <c r="E639" i="1" l="1"/>
  <c r="H638" i="1"/>
  <c r="G638" i="1"/>
  <c r="D1247" i="1"/>
  <c r="I404" i="1"/>
  <c r="K404" i="1" s="1"/>
  <c r="M404" i="1" s="1"/>
  <c r="D1248" i="1" l="1"/>
  <c r="E640" i="1"/>
  <c r="H639" i="1"/>
  <c r="G639" i="1"/>
  <c r="F405" i="1"/>
  <c r="J406" i="1" s="1"/>
  <c r="E641" i="1" l="1"/>
  <c r="H640" i="1"/>
  <c r="G640" i="1"/>
  <c r="D1249" i="1"/>
  <c r="I405" i="1"/>
  <c r="K405" i="1" s="1"/>
  <c r="M405" i="1" s="1"/>
  <c r="D1250" i="1" l="1"/>
  <c r="E642" i="1"/>
  <c r="H641" i="1"/>
  <c r="G641" i="1"/>
  <c r="F406" i="1"/>
  <c r="J407" i="1" s="1"/>
  <c r="E643" i="1" l="1"/>
  <c r="H642" i="1"/>
  <c r="G642" i="1"/>
  <c r="D1251" i="1"/>
  <c r="I406" i="1"/>
  <c r="K406" i="1" s="1"/>
  <c r="M406" i="1" s="1"/>
  <c r="F407" i="1"/>
  <c r="J408" i="1" s="1"/>
  <c r="D1252" i="1" l="1"/>
  <c r="E644" i="1"/>
  <c r="H643" i="1"/>
  <c r="G643" i="1"/>
  <c r="I407" i="1"/>
  <c r="K407" i="1" s="1"/>
  <c r="M407" i="1" s="1"/>
  <c r="E645" i="1" l="1"/>
  <c r="H644" i="1"/>
  <c r="G644" i="1"/>
  <c r="D1253" i="1"/>
  <c r="F408" i="1"/>
  <c r="J409" i="1" s="1"/>
  <c r="D1254" i="1" l="1"/>
  <c r="E646" i="1"/>
  <c r="H645" i="1"/>
  <c r="G645" i="1"/>
  <c r="I408" i="1"/>
  <c r="K408" i="1" s="1"/>
  <c r="M408" i="1" s="1"/>
  <c r="E647" i="1" l="1"/>
  <c r="H646" i="1"/>
  <c r="G646" i="1"/>
  <c r="D1255" i="1"/>
  <c r="F409" i="1"/>
  <c r="J410" i="1" s="1"/>
  <c r="D1256" i="1" l="1"/>
  <c r="E648" i="1"/>
  <c r="H647" i="1"/>
  <c r="G647" i="1"/>
  <c r="I409" i="1"/>
  <c r="K409" i="1" s="1"/>
  <c r="M409" i="1" s="1"/>
  <c r="E649" i="1" l="1"/>
  <c r="H648" i="1"/>
  <c r="G648" i="1"/>
  <c r="D1257" i="1"/>
  <c r="F410" i="1"/>
  <c r="J411" i="1" s="1"/>
  <c r="D1258" i="1" l="1"/>
  <c r="E650" i="1"/>
  <c r="H649" i="1"/>
  <c r="G649" i="1"/>
  <c r="I410" i="1"/>
  <c r="K410" i="1" s="1"/>
  <c r="M410" i="1" s="1"/>
  <c r="E651" i="1" l="1"/>
  <c r="H650" i="1"/>
  <c r="G650" i="1"/>
  <c r="D1259" i="1"/>
  <c r="F411" i="1"/>
  <c r="J412" i="1" s="1"/>
  <c r="D1260" i="1" l="1"/>
  <c r="E652" i="1"/>
  <c r="H651" i="1"/>
  <c r="G651" i="1"/>
  <c r="I411" i="1"/>
  <c r="K411" i="1" s="1"/>
  <c r="M411" i="1" s="1"/>
  <c r="E653" i="1" l="1"/>
  <c r="H652" i="1"/>
  <c r="G652" i="1"/>
  <c r="D1261" i="1"/>
  <c r="F412" i="1"/>
  <c r="J413" i="1" s="1"/>
  <c r="D1262" i="1" l="1"/>
  <c r="E654" i="1"/>
  <c r="H653" i="1"/>
  <c r="G653" i="1"/>
  <c r="I412" i="1"/>
  <c r="K412" i="1" s="1"/>
  <c r="M412" i="1" s="1"/>
  <c r="F413" i="1"/>
  <c r="J414" i="1" s="1"/>
  <c r="E655" i="1" l="1"/>
  <c r="H654" i="1"/>
  <c r="G654" i="1"/>
  <c r="D1263" i="1"/>
  <c r="I413" i="1"/>
  <c r="K413" i="1" s="1"/>
  <c r="M413" i="1" s="1"/>
  <c r="F414" i="1"/>
  <c r="J415" i="1" s="1"/>
  <c r="D1264" i="1" l="1"/>
  <c r="E656" i="1"/>
  <c r="H655" i="1"/>
  <c r="G655" i="1"/>
  <c r="I414" i="1"/>
  <c r="K414" i="1" s="1"/>
  <c r="M414" i="1" s="1"/>
  <c r="E657" i="1" l="1"/>
  <c r="H656" i="1"/>
  <c r="G656" i="1"/>
  <c r="D1265" i="1"/>
  <c r="F415" i="1"/>
  <c r="J416" i="1" s="1"/>
  <c r="D1266" i="1" l="1"/>
  <c r="E658" i="1"/>
  <c r="H657" i="1"/>
  <c r="G657" i="1"/>
  <c r="I415" i="1"/>
  <c r="K415" i="1" s="1"/>
  <c r="M415" i="1" s="1"/>
  <c r="E659" i="1" l="1"/>
  <c r="H658" i="1"/>
  <c r="G658" i="1"/>
  <c r="D1267" i="1"/>
  <c r="F416" i="1"/>
  <c r="J417" i="1" s="1"/>
  <c r="D1268" i="1" l="1"/>
  <c r="E660" i="1"/>
  <c r="H659" i="1"/>
  <c r="G659" i="1"/>
  <c r="I416" i="1"/>
  <c r="K416" i="1" s="1"/>
  <c r="M416" i="1" s="1"/>
  <c r="F417" i="1"/>
  <c r="J418" i="1" s="1"/>
  <c r="E661" i="1" l="1"/>
  <c r="H660" i="1"/>
  <c r="G660" i="1"/>
  <c r="D1269" i="1"/>
  <c r="I417" i="1"/>
  <c r="K417" i="1" s="1"/>
  <c r="M417" i="1" s="1"/>
  <c r="D1270" i="1" l="1"/>
  <c r="E662" i="1"/>
  <c r="H661" i="1"/>
  <c r="G661" i="1"/>
  <c r="F418" i="1"/>
  <c r="J419" i="1" s="1"/>
  <c r="E663" i="1" l="1"/>
  <c r="H662" i="1"/>
  <c r="G662" i="1"/>
  <c r="D1271" i="1"/>
  <c r="I418" i="1"/>
  <c r="K418" i="1" s="1"/>
  <c r="M418" i="1" s="1"/>
  <c r="F419" i="1"/>
  <c r="J420" i="1" s="1"/>
  <c r="D1272" i="1" l="1"/>
  <c r="E664" i="1"/>
  <c r="H663" i="1"/>
  <c r="G663" i="1"/>
  <c r="I419" i="1"/>
  <c r="K419" i="1" s="1"/>
  <c r="M419" i="1" s="1"/>
  <c r="E665" i="1" l="1"/>
  <c r="H664" i="1"/>
  <c r="G664" i="1"/>
  <c r="D1273" i="1"/>
  <c r="F420" i="1"/>
  <c r="J421" i="1" s="1"/>
  <c r="D1274" i="1" l="1"/>
  <c r="E666" i="1"/>
  <c r="H665" i="1"/>
  <c r="G665" i="1"/>
  <c r="I420" i="1"/>
  <c r="K420" i="1" s="1"/>
  <c r="M420" i="1" s="1"/>
  <c r="F421" i="1"/>
  <c r="J422" i="1" s="1"/>
  <c r="E667" i="1" l="1"/>
  <c r="H666" i="1"/>
  <c r="G666" i="1"/>
  <c r="D1275" i="1"/>
  <c r="I421" i="1"/>
  <c r="K421" i="1" s="1"/>
  <c r="M421" i="1" s="1"/>
  <c r="F422" i="1"/>
  <c r="J423" i="1" s="1"/>
  <c r="D1276" i="1" l="1"/>
  <c r="E668" i="1"/>
  <c r="H667" i="1"/>
  <c r="G667" i="1"/>
  <c r="I422" i="1"/>
  <c r="K422" i="1" s="1"/>
  <c r="M422" i="1" s="1"/>
  <c r="F423" i="1"/>
  <c r="J424" i="1" s="1"/>
  <c r="E669" i="1" l="1"/>
  <c r="H668" i="1"/>
  <c r="G668" i="1"/>
  <c r="D1277" i="1"/>
  <c r="I423" i="1"/>
  <c r="K423" i="1" s="1"/>
  <c r="M423" i="1" s="1"/>
  <c r="D1278" i="1" l="1"/>
  <c r="E670" i="1"/>
  <c r="H669" i="1"/>
  <c r="G669" i="1"/>
  <c r="F424" i="1"/>
  <c r="J425" i="1" s="1"/>
  <c r="E671" i="1" l="1"/>
  <c r="H670" i="1"/>
  <c r="G670" i="1"/>
  <c r="D1279" i="1"/>
  <c r="I424" i="1"/>
  <c r="K424" i="1" s="1"/>
  <c r="M424" i="1" s="1"/>
  <c r="F425" i="1"/>
  <c r="J426" i="1" s="1"/>
  <c r="D1280" i="1" l="1"/>
  <c r="E672" i="1"/>
  <c r="H671" i="1"/>
  <c r="G671" i="1"/>
  <c r="I425" i="1"/>
  <c r="K425" i="1" s="1"/>
  <c r="M425" i="1" s="1"/>
  <c r="E673" i="1" l="1"/>
  <c r="H672" i="1"/>
  <c r="G672" i="1"/>
  <c r="D1281" i="1"/>
  <c r="F426" i="1"/>
  <c r="J427" i="1" s="1"/>
  <c r="D1282" i="1" l="1"/>
  <c r="E674" i="1"/>
  <c r="H673" i="1"/>
  <c r="G673" i="1"/>
  <c r="I426" i="1"/>
  <c r="K426" i="1" s="1"/>
  <c r="M426" i="1" s="1"/>
  <c r="F427" i="1"/>
  <c r="J428" i="1" s="1"/>
  <c r="E675" i="1" l="1"/>
  <c r="H674" i="1"/>
  <c r="G674" i="1"/>
  <c r="D1283" i="1"/>
  <c r="I427" i="1"/>
  <c r="K427" i="1" s="1"/>
  <c r="M427" i="1" s="1"/>
  <c r="D1284" i="1" l="1"/>
  <c r="E676" i="1"/>
  <c r="H675" i="1"/>
  <c r="G675" i="1"/>
  <c r="F428" i="1"/>
  <c r="J429" i="1" s="1"/>
  <c r="E677" i="1" l="1"/>
  <c r="H676" i="1"/>
  <c r="G676" i="1"/>
  <c r="D1285" i="1"/>
  <c r="I428" i="1"/>
  <c r="K428" i="1" s="1"/>
  <c r="M428" i="1" s="1"/>
  <c r="F429" i="1"/>
  <c r="J430" i="1" s="1"/>
  <c r="D1286" i="1" l="1"/>
  <c r="E678" i="1"/>
  <c r="H677" i="1"/>
  <c r="G677" i="1"/>
  <c r="I429" i="1"/>
  <c r="K429" i="1" s="1"/>
  <c r="M429" i="1" s="1"/>
  <c r="F430" i="1"/>
  <c r="J431" i="1" s="1"/>
  <c r="E679" i="1" l="1"/>
  <c r="H678" i="1"/>
  <c r="G678" i="1"/>
  <c r="D1287" i="1"/>
  <c r="I430" i="1"/>
  <c r="K430" i="1" s="1"/>
  <c r="M430" i="1" s="1"/>
  <c r="D1288" i="1" l="1"/>
  <c r="E680" i="1"/>
  <c r="H679" i="1"/>
  <c r="G679" i="1"/>
  <c r="F431" i="1"/>
  <c r="J432" i="1" s="1"/>
  <c r="E681" i="1" l="1"/>
  <c r="H680" i="1"/>
  <c r="G680" i="1"/>
  <c r="D1289" i="1"/>
  <c r="I431" i="1"/>
  <c r="K431" i="1" s="1"/>
  <c r="M431" i="1" s="1"/>
  <c r="F432" i="1"/>
  <c r="J433" i="1" s="1"/>
  <c r="D1290" i="1" l="1"/>
  <c r="E682" i="1"/>
  <c r="H681" i="1"/>
  <c r="G681" i="1"/>
  <c r="I432" i="1"/>
  <c r="K432" i="1" s="1"/>
  <c r="M432" i="1" s="1"/>
  <c r="F433" i="1"/>
  <c r="J434" i="1" s="1"/>
  <c r="E683" i="1" l="1"/>
  <c r="H682" i="1"/>
  <c r="G682" i="1"/>
  <c r="D1291" i="1"/>
  <c r="I433" i="1"/>
  <c r="K433" i="1" s="1"/>
  <c r="M433" i="1" s="1"/>
  <c r="D1292" i="1" l="1"/>
  <c r="E684" i="1"/>
  <c r="H683" i="1"/>
  <c r="G683" i="1"/>
  <c r="F434" i="1"/>
  <c r="J435" i="1" s="1"/>
  <c r="E685" i="1" l="1"/>
  <c r="H684" i="1"/>
  <c r="G684" i="1"/>
  <c r="D1293" i="1"/>
  <c r="I434" i="1"/>
  <c r="K434" i="1" s="1"/>
  <c r="M434" i="1" s="1"/>
  <c r="D1294" i="1" l="1"/>
  <c r="E686" i="1"/>
  <c r="H685" i="1"/>
  <c r="G685" i="1"/>
  <c r="F435" i="1"/>
  <c r="J436" i="1" s="1"/>
  <c r="E687" i="1" l="1"/>
  <c r="H686" i="1"/>
  <c r="G686" i="1"/>
  <c r="D1295" i="1"/>
  <c r="I435" i="1"/>
  <c r="K435" i="1" s="1"/>
  <c r="M435" i="1" s="1"/>
  <c r="D1296" i="1" l="1"/>
  <c r="E688" i="1"/>
  <c r="H687" i="1"/>
  <c r="G687" i="1"/>
  <c r="F436" i="1"/>
  <c r="J437" i="1" s="1"/>
  <c r="E689" i="1" l="1"/>
  <c r="H688" i="1"/>
  <c r="G688" i="1"/>
  <c r="D1297" i="1"/>
  <c r="I436" i="1"/>
  <c r="K436" i="1" s="1"/>
  <c r="M436" i="1" s="1"/>
  <c r="D1298" i="1" l="1"/>
  <c r="E690" i="1"/>
  <c r="H689" i="1"/>
  <c r="G689" i="1"/>
  <c r="F437" i="1"/>
  <c r="J438" i="1" s="1"/>
  <c r="E691" i="1" l="1"/>
  <c r="H690" i="1"/>
  <c r="G690" i="1"/>
  <c r="D1299" i="1"/>
  <c r="I437" i="1"/>
  <c r="K437" i="1" s="1"/>
  <c r="M437" i="1" s="1"/>
  <c r="F438" i="1"/>
  <c r="J439" i="1" s="1"/>
  <c r="D1300" i="1" l="1"/>
  <c r="E692" i="1"/>
  <c r="H691" i="1"/>
  <c r="G691" i="1"/>
  <c r="I438" i="1"/>
  <c r="K438" i="1" s="1"/>
  <c r="M438" i="1" s="1"/>
  <c r="F439" i="1"/>
  <c r="J440" i="1" s="1"/>
  <c r="E693" i="1" l="1"/>
  <c r="H692" i="1"/>
  <c r="G692" i="1"/>
  <c r="D1301" i="1"/>
  <c r="I439" i="1"/>
  <c r="K439" i="1" s="1"/>
  <c r="M439" i="1" s="1"/>
  <c r="D1302" i="1" l="1"/>
  <c r="E694" i="1"/>
  <c r="H693" i="1"/>
  <c r="G693" i="1"/>
  <c r="F440" i="1"/>
  <c r="J441" i="1" s="1"/>
  <c r="E695" i="1" l="1"/>
  <c r="H694" i="1"/>
  <c r="G694" i="1"/>
  <c r="D1303" i="1"/>
  <c r="I440" i="1"/>
  <c r="K440" i="1" s="1"/>
  <c r="M440" i="1" s="1"/>
  <c r="F441" i="1"/>
  <c r="J442" i="1" s="1"/>
  <c r="D1304" i="1" l="1"/>
  <c r="E696" i="1"/>
  <c r="H695" i="1"/>
  <c r="G695" i="1"/>
  <c r="I441" i="1"/>
  <c r="K441" i="1" s="1"/>
  <c r="M441" i="1" s="1"/>
  <c r="F442" i="1"/>
  <c r="J443" i="1" s="1"/>
  <c r="E697" i="1" l="1"/>
  <c r="H696" i="1"/>
  <c r="G696" i="1"/>
  <c r="D1305" i="1"/>
  <c r="I442" i="1"/>
  <c r="K442" i="1" s="1"/>
  <c r="M442" i="1" s="1"/>
  <c r="F443" i="1"/>
  <c r="J444" i="1" s="1"/>
  <c r="D1306" i="1" l="1"/>
  <c r="E698" i="1"/>
  <c r="H697" i="1"/>
  <c r="G697" i="1"/>
  <c r="I443" i="1"/>
  <c r="K443" i="1" s="1"/>
  <c r="M443" i="1" s="1"/>
  <c r="F444" i="1"/>
  <c r="J445" i="1" s="1"/>
  <c r="E699" i="1" l="1"/>
  <c r="H698" i="1"/>
  <c r="G698" i="1"/>
  <c r="D1307" i="1"/>
  <c r="I444" i="1"/>
  <c r="K444" i="1" s="1"/>
  <c r="M444" i="1" s="1"/>
  <c r="D1308" i="1" l="1"/>
  <c r="E700" i="1"/>
  <c r="H699" i="1"/>
  <c r="G699" i="1"/>
  <c r="F445" i="1"/>
  <c r="J446" i="1" s="1"/>
  <c r="E701" i="1" l="1"/>
  <c r="H700" i="1"/>
  <c r="G700" i="1"/>
  <c r="D1309" i="1"/>
  <c r="I445" i="1"/>
  <c r="K445" i="1" s="1"/>
  <c r="M445" i="1" s="1"/>
  <c r="F446" i="1"/>
  <c r="J447" i="1" s="1"/>
  <c r="D1310" i="1" l="1"/>
  <c r="E702" i="1"/>
  <c r="H701" i="1"/>
  <c r="G701" i="1"/>
  <c r="I446" i="1"/>
  <c r="K446" i="1" s="1"/>
  <c r="M446" i="1" s="1"/>
  <c r="F447" i="1"/>
  <c r="J448" i="1" s="1"/>
  <c r="E703" i="1" l="1"/>
  <c r="H702" i="1"/>
  <c r="G702" i="1"/>
  <c r="D1311" i="1"/>
  <c r="I447" i="1"/>
  <c r="K447" i="1" s="1"/>
  <c r="M447" i="1" s="1"/>
  <c r="D1312" i="1" l="1"/>
  <c r="E704" i="1"/>
  <c r="H703" i="1"/>
  <c r="G703" i="1"/>
  <c r="F448" i="1"/>
  <c r="J449" i="1" s="1"/>
  <c r="E705" i="1" l="1"/>
  <c r="H704" i="1"/>
  <c r="G704" i="1"/>
  <c r="D1313" i="1"/>
  <c r="I448" i="1"/>
  <c r="K448" i="1" s="1"/>
  <c r="M448" i="1" s="1"/>
  <c r="D1314" i="1" l="1"/>
  <c r="E706" i="1"/>
  <c r="H705" i="1"/>
  <c r="G705" i="1"/>
  <c r="F449" i="1"/>
  <c r="J450" i="1" s="1"/>
  <c r="E707" i="1" l="1"/>
  <c r="H706" i="1"/>
  <c r="G706" i="1"/>
  <c r="D1315" i="1"/>
  <c r="I449" i="1"/>
  <c r="K449" i="1" s="1"/>
  <c r="M449" i="1" s="1"/>
  <c r="D1316" i="1" l="1"/>
  <c r="E708" i="1"/>
  <c r="H707" i="1"/>
  <c r="G707" i="1"/>
  <c r="F450" i="1"/>
  <c r="J451" i="1" s="1"/>
  <c r="E709" i="1" l="1"/>
  <c r="H708" i="1"/>
  <c r="G708" i="1"/>
  <c r="D1317" i="1"/>
  <c r="I450" i="1"/>
  <c r="K450" i="1" s="1"/>
  <c r="M450" i="1" s="1"/>
  <c r="F451" i="1"/>
  <c r="J452" i="1" s="1"/>
  <c r="D1318" i="1" l="1"/>
  <c r="E710" i="1"/>
  <c r="H709" i="1"/>
  <c r="G709" i="1"/>
  <c r="I451" i="1"/>
  <c r="K451" i="1" s="1"/>
  <c r="M451" i="1" s="1"/>
  <c r="E711" i="1" l="1"/>
  <c r="H710" i="1"/>
  <c r="G710" i="1"/>
  <c r="D1319" i="1"/>
  <c r="F452" i="1"/>
  <c r="J453" i="1" s="1"/>
  <c r="D1320" i="1" l="1"/>
  <c r="E712" i="1"/>
  <c r="H711" i="1"/>
  <c r="G711" i="1"/>
  <c r="I452" i="1"/>
  <c r="K452" i="1" s="1"/>
  <c r="M452" i="1" s="1"/>
  <c r="F453" i="1"/>
  <c r="J454" i="1" s="1"/>
  <c r="E713" i="1" l="1"/>
  <c r="H712" i="1"/>
  <c r="G712" i="1"/>
  <c r="D1321" i="1"/>
  <c r="I453" i="1"/>
  <c r="K453" i="1" s="1"/>
  <c r="M453" i="1" s="1"/>
  <c r="D1322" i="1" l="1"/>
  <c r="E714" i="1"/>
  <c r="H713" i="1"/>
  <c r="G713" i="1"/>
  <c r="F454" i="1"/>
  <c r="J455" i="1" s="1"/>
  <c r="E715" i="1" l="1"/>
  <c r="H714" i="1"/>
  <c r="G714" i="1"/>
  <c r="D1323" i="1"/>
  <c r="I454" i="1"/>
  <c r="K454" i="1" s="1"/>
  <c r="M454" i="1" s="1"/>
  <c r="F455" i="1"/>
  <c r="J456" i="1" s="1"/>
  <c r="D1324" i="1" l="1"/>
  <c r="E716" i="1"/>
  <c r="H715" i="1"/>
  <c r="G715" i="1"/>
  <c r="I455" i="1"/>
  <c r="K455" i="1" s="1"/>
  <c r="M455" i="1" s="1"/>
  <c r="F456" i="1"/>
  <c r="J457" i="1" s="1"/>
  <c r="E717" i="1" l="1"/>
  <c r="H716" i="1"/>
  <c r="G716" i="1"/>
  <c r="D1325" i="1"/>
  <c r="I456" i="1"/>
  <c r="K456" i="1" s="1"/>
  <c r="M456" i="1" s="1"/>
  <c r="D1326" i="1" l="1"/>
  <c r="E718" i="1"/>
  <c r="H717" i="1"/>
  <c r="G717" i="1"/>
  <c r="F457" i="1"/>
  <c r="J458" i="1" s="1"/>
  <c r="E719" i="1" l="1"/>
  <c r="H718" i="1"/>
  <c r="G718" i="1"/>
  <c r="D1327" i="1"/>
  <c r="I457" i="1"/>
  <c r="K457" i="1" s="1"/>
  <c r="M457" i="1" s="1"/>
  <c r="D1328" i="1" l="1"/>
  <c r="E720" i="1"/>
  <c r="H719" i="1"/>
  <c r="G719" i="1"/>
  <c r="F458" i="1"/>
  <c r="J459" i="1" s="1"/>
  <c r="E721" i="1" l="1"/>
  <c r="H720" i="1"/>
  <c r="G720" i="1"/>
  <c r="D1329" i="1"/>
  <c r="I458" i="1"/>
  <c r="K458" i="1" s="1"/>
  <c r="M458" i="1" s="1"/>
  <c r="F459" i="1"/>
  <c r="J460" i="1" s="1"/>
  <c r="D1330" i="1" l="1"/>
  <c r="E722" i="1"/>
  <c r="H721" i="1"/>
  <c r="G721" i="1"/>
  <c r="I459" i="1"/>
  <c r="K459" i="1" s="1"/>
  <c r="M459" i="1" s="1"/>
  <c r="F460" i="1"/>
  <c r="J461" i="1" s="1"/>
  <c r="E723" i="1" l="1"/>
  <c r="H722" i="1"/>
  <c r="G722" i="1"/>
  <c r="D1331" i="1"/>
  <c r="I460" i="1"/>
  <c r="K460" i="1" s="1"/>
  <c r="M460" i="1" s="1"/>
  <c r="F461" i="1"/>
  <c r="J462" i="1" s="1"/>
  <c r="D1332" i="1" l="1"/>
  <c r="E724" i="1"/>
  <c r="H723" i="1"/>
  <c r="G723" i="1"/>
  <c r="I461" i="1"/>
  <c r="K461" i="1" s="1"/>
  <c r="M461" i="1" s="1"/>
  <c r="E725" i="1" l="1"/>
  <c r="H724" i="1"/>
  <c r="G724" i="1"/>
  <c r="D1333" i="1"/>
  <c r="F462" i="1"/>
  <c r="J463" i="1" s="1"/>
  <c r="D1334" i="1" l="1"/>
  <c r="E726" i="1"/>
  <c r="H725" i="1"/>
  <c r="G725" i="1"/>
  <c r="I462" i="1"/>
  <c r="K462" i="1" s="1"/>
  <c r="M462" i="1" s="1"/>
  <c r="F463" i="1"/>
  <c r="J464" i="1" s="1"/>
  <c r="E727" i="1" l="1"/>
  <c r="H726" i="1"/>
  <c r="G726" i="1"/>
  <c r="D1335" i="1"/>
  <c r="I463" i="1"/>
  <c r="K463" i="1" s="1"/>
  <c r="M463" i="1" s="1"/>
  <c r="D1336" i="1" l="1"/>
  <c r="E728" i="1"/>
  <c r="H727" i="1"/>
  <c r="G727" i="1"/>
  <c r="F464" i="1"/>
  <c r="J465" i="1" s="1"/>
  <c r="E729" i="1" l="1"/>
  <c r="H728" i="1"/>
  <c r="G728" i="1"/>
  <c r="D1337" i="1"/>
  <c r="I464" i="1"/>
  <c r="K464" i="1" s="1"/>
  <c r="M464" i="1" s="1"/>
  <c r="F465" i="1"/>
  <c r="J466" i="1" s="1"/>
  <c r="D1338" i="1" l="1"/>
  <c r="E730" i="1"/>
  <c r="H729" i="1"/>
  <c r="G729" i="1"/>
  <c r="I465" i="1"/>
  <c r="K465" i="1" s="1"/>
  <c r="M465" i="1" s="1"/>
  <c r="E731" i="1" l="1"/>
  <c r="H730" i="1"/>
  <c r="G730" i="1"/>
  <c r="D1339" i="1"/>
  <c r="F466" i="1"/>
  <c r="J467" i="1" s="1"/>
  <c r="D1340" i="1" l="1"/>
  <c r="E732" i="1"/>
  <c r="H731" i="1"/>
  <c r="G731" i="1"/>
  <c r="I466" i="1"/>
  <c r="K466" i="1" s="1"/>
  <c r="M466" i="1" s="1"/>
  <c r="F467" i="1"/>
  <c r="J468" i="1" s="1"/>
  <c r="E733" i="1" l="1"/>
  <c r="H732" i="1"/>
  <c r="G732" i="1"/>
  <c r="D1341" i="1"/>
  <c r="I467" i="1"/>
  <c r="K467" i="1" s="1"/>
  <c r="M467" i="1" s="1"/>
  <c r="F468" i="1"/>
  <c r="J469" i="1" s="1"/>
  <c r="D1342" i="1" l="1"/>
  <c r="E734" i="1"/>
  <c r="H733" i="1"/>
  <c r="G733" i="1"/>
  <c r="I468" i="1"/>
  <c r="K468" i="1" s="1"/>
  <c r="M468" i="1" s="1"/>
  <c r="F469" i="1"/>
  <c r="J470" i="1" s="1"/>
  <c r="E735" i="1" l="1"/>
  <c r="H734" i="1"/>
  <c r="G734" i="1"/>
  <c r="D1343" i="1"/>
  <c r="I469" i="1"/>
  <c r="K469" i="1" s="1"/>
  <c r="M469" i="1" s="1"/>
  <c r="D1344" i="1" l="1"/>
  <c r="E736" i="1"/>
  <c r="H735" i="1"/>
  <c r="G735" i="1"/>
  <c r="F470" i="1"/>
  <c r="J471" i="1" s="1"/>
  <c r="E737" i="1" l="1"/>
  <c r="H736" i="1"/>
  <c r="G736" i="1"/>
  <c r="D1345" i="1"/>
  <c r="I470" i="1"/>
  <c r="K470" i="1" s="1"/>
  <c r="M470" i="1" s="1"/>
  <c r="F471" i="1"/>
  <c r="J472" i="1" s="1"/>
  <c r="D1346" i="1" l="1"/>
  <c r="E738" i="1"/>
  <c r="H737" i="1"/>
  <c r="G737" i="1"/>
  <c r="I471" i="1"/>
  <c r="K471" i="1" s="1"/>
  <c r="M471" i="1" s="1"/>
  <c r="F472" i="1"/>
  <c r="J473" i="1" s="1"/>
  <c r="E739" i="1" l="1"/>
  <c r="H738" i="1"/>
  <c r="G738" i="1"/>
  <c r="D1347" i="1"/>
  <c r="I472" i="1"/>
  <c r="K472" i="1" s="1"/>
  <c r="M472" i="1" s="1"/>
  <c r="D1348" i="1" l="1"/>
  <c r="E740" i="1"/>
  <c r="H739" i="1"/>
  <c r="G739" i="1"/>
  <c r="F473" i="1"/>
  <c r="J474" i="1" s="1"/>
  <c r="E741" i="1" l="1"/>
  <c r="H740" i="1"/>
  <c r="G740" i="1"/>
  <c r="D1349" i="1"/>
  <c r="I473" i="1"/>
  <c r="K473" i="1" s="1"/>
  <c r="M473" i="1" s="1"/>
  <c r="D1350" i="1" l="1"/>
  <c r="E742" i="1"/>
  <c r="H741" i="1"/>
  <c r="G741" i="1"/>
  <c r="F474" i="1"/>
  <c r="J475" i="1" s="1"/>
  <c r="E743" i="1" l="1"/>
  <c r="H742" i="1"/>
  <c r="G742" i="1"/>
  <c r="D1351" i="1"/>
  <c r="I474" i="1"/>
  <c r="K474" i="1" s="1"/>
  <c r="M474" i="1" s="1"/>
  <c r="F475" i="1"/>
  <c r="J476" i="1" s="1"/>
  <c r="D1352" i="1" l="1"/>
  <c r="E744" i="1"/>
  <c r="H743" i="1"/>
  <c r="G743" i="1"/>
  <c r="I475" i="1"/>
  <c r="K475" i="1" s="1"/>
  <c r="M475" i="1" s="1"/>
  <c r="F476" i="1"/>
  <c r="J477" i="1" s="1"/>
  <c r="E745" i="1" l="1"/>
  <c r="H744" i="1"/>
  <c r="G744" i="1"/>
  <c r="D1353" i="1"/>
  <c r="I476" i="1"/>
  <c r="K476" i="1" s="1"/>
  <c r="M476" i="1" s="1"/>
  <c r="D1354" i="1" l="1"/>
  <c r="E746" i="1"/>
  <c r="H745" i="1"/>
  <c r="G745" i="1"/>
  <c r="F477" i="1"/>
  <c r="J478" i="1" s="1"/>
  <c r="E747" i="1" l="1"/>
  <c r="H746" i="1"/>
  <c r="G746" i="1"/>
  <c r="D1355" i="1"/>
  <c r="I477" i="1"/>
  <c r="K477" i="1" s="1"/>
  <c r="M477" i="1" s="1"/>
  <c r="F478" i="1"/>
  <c r="J479" i="1" s="1"/>
  <c r="D1356" i="1" l="1"/>
  <c r="E748" i="1"/>
  <c r="H747" i="1"/>
  <c r="G747" i="1"/>
  <c r="I478" i="1"/>
  <c r="K478" i="1" s="1"/>
  <c r="M478" i="1" s="1"/>
  <c r="E749" i="1" l="1"/>
  <c r="H748" i="1"/>
  <c r="G748" i="1"/>
  <c r="D1357" i="1"/>
  <c r="F479" i="1"/>
  <c r="J480" i="1" s="1"/>
  <c r="D1358" i="1" l="1"/>
  <c r="E750" i="1"/>
  <c r="H749" i="1"/>
  <c r="G749" i="1"/>
  <c r="I479" i="1"/>
  <c r="K479" i="1" s="1"/>
  <c r="M479" i="1" s="1"/>
  <c r="F480" i="1"/>
  <c r="J481" i="1" s="1"/>
  <c r="E751" i="1" l="1"/>
  <c r="H750" i="1"/>
  <c r="G750" i="1"/>
  <c r="D1359" i="1"/>
  <c r="I480" i="1"/>
  <c r="K480" i="1" s="1"/>
  <c r="M480" i="1" s="1"/>
  <c r="F481" i="1"/>
  <c r="J482" i="1" s="1"/>
  <c r="D1360" i="1" l="1"/>
  <c r="E752" i="1"/>
  <c r="H751" i="1"/>
  <c r="G751" i="1"/>
  <c r="I481" i="1"/>
  <c r="K481" i="1" s="1"/>
  <c r="M481" i="1" s="1"/>
  <c r="E753" i="1" l="1"/>
  <c r="H752" i="1"/>
  <c r="G752" i="1"/>
  <c r="D1361" i="1"/>
  <c r="F482" i="1"/>
  <c r="J483" i="1" s="1"/>
  <c r="D1362" i="1" l="1"/>
  <c r="E754" i="1"/>
  <c r="H753" i="1"/>
  <c r="G753" i="1"/>
  <c r="I482" i="1"/>
  <c r="K482" i="1" s="1"/>
  <c r="M482" i="1" s="1"/>
  <c r="F483" i="1"/>
  <c r="J484" i="1" s="1"/>
  <c r="E755" i="1" l="1"/>
  <c r="H754" i="1"/>
  <c r="G754" i="1"/>
  <c r="D1363" i="1"/>
  <c r="I483" i="1"/>
  <c r="K483" i="1" s="1"/>
  <c r="M483" i="1" s="1"/>
  <c r="D1364" i="1" l="1"/>
  <c r="E756" i="1"/>
  <c r="H755" i="1"/>
  <c r="G755" i="1"/>
  <c r="F484" i="1"/>
  <c r="J485" i="1" s="1"/>
  <c r="E757" i="1" l="1"/>
  <c r="H756" i="1"/>
  <c r="G756" i="1"/>
  <c r="D1365" i="1"/>
  <c r="I484" i="1"/>
  <c r="K484" i="1" s="1"/>
  <c r="M484" i="1" s="1"/>
  <c r="F485" i="1"/>
  <c r="J486" i="1" s="1"/>
  <c r="D1366" i="1" l="1"/>
  <c r="E758" i="1"/>
  <c r="H757" i="1"/>
  <c r="G757" i="1"/>
  <c r="I485" i="1"/>
  <c r="K485" i="1" s="1"/>
  <c r="M485" i="1" s="1"/>
  <c r="E759" i="1" l="1"/>
  <c r="H758" i="1"/>
  <c r="G758" i="1"/>
  <c r="D1367" i="1"/>
  <c r="F486" i="1"/>
  <c r="J487" i="1" s="1"/>
  <c r="D1368" i="1" l="1"/>
  <c r="E760" i="1"/>
  <c r="H759" i="1"/>
  <c r="G759" i="1"/>
  <c r="I486" i="1"/>
  <c r="K486" i="1" s="1"/>
  <c r="M486" i="1" s="1"/>
  <c r="F487" i="1"/>
  <c r="J488" i="1" s="1"/>
  <c r="E761" i="1" l="1"/>
  <c r="H760" i="1"/>
  <c r="G760" i="1"/>
  <c r="D1369" i="1"/>
  <c r="I487" i="1"/>
  <c r="K487" i="1" s="1"/>
  <c r="M487" i="1" s="1"/>
  <c r="D1370" i="1" l="1"/>
  <c r="E762" i="1"/>
  <c r="H761" i="1"/>
  <c r="G761" i="1"/>
  <c r="F488" i="1"/>
  <c r="J489" i="1" s="1"/>
  <c r="E763" i="1" l="1"/>
  <c r="H762" i="1"/>
  <c r="G762" i="1"/>
  <c r="D1371" i="1"/>
  <c r="I488" i="1"/>
  <c r="K488" i="1" s="1"/>
  <c r="M488" i="1" s="1"/>
  <c r="D1372" i="1" l="1"/>
  <c r="E764" i="1"/>
  <c r="H763" i="1"/>
  <c r="G763" i="1"/>
  <c r="F489" i="1"/>
  <c r="J490" i="1" s="1"/>
  <c r="E765" i="1" l="1"/>
  <c r="H764" i="1"/>
  <c r="G764" i="1"/>
  <c r="D1373" i="1"/>
  <c r="I489" i="1"/>
  <c r="K489" i="1" s="1"/>
  <c r="M489" i="1" s="1"/>
  <c r="F490" i="1"/>
  <c r="J491" i="1" s="1"/>
  <c r="D1374" i="1" l="1"/>
  <c r="E766" i="1"/>
  <c r="H765" i="1"/>
  <c r="G765" i="1"/>
  <c r="I490" i="1"/>
  <c r="K490" i="1" s="1"/>
  <c r="M490" i="1" s="1"/>
  <c r="F491" i="1"/>
  <c r="J492" i="1" s="1"/>
  <c r="E767" i="1" l="1"/>
  <c r="H766" i="1"/>
  <c r="G766" i="1"/>
  <c r="D1375" i="1"/>
  <c r="I491" i="1"/>
  <c r="K491" i="1" s="1"/>
  <c r="M491" i="1" s="1"/>
  <c r="D1376" i="1" l="1"/>
  <c r="E768" i="1"/>
  <c r="H767" i="1"/>
  <c r="G767" i="1"/>
  <c r="F492" i="1"/>
  <c r="J493" i="1" s="1"/>
  <c r="E769" i="1" l="1"/>
  <c r="H768" i="1"/>
  <c r="G768" i="1"/>
  <c r="D1377" i="1"/>
  <c r="I492" i="1"/>
  <c r="K492" i="1" s="1"/>
  <c r="M492" i="1" s="1"/>
  <c r="D1378" i="1" l="1"/>
  <c r="E770" i="1"/>
  <c r="H769" i="1"/>
  <c r="G769" i="1"/>
  <c r="F493" i="1"/>
  <c r="J494" i="1" s="1"/>
  <c r="E771" i="1" l="1"/>
  <c r="H770" i="1"/>
  <c r="G770" i="1"/>
  <c r="D1379" i="1"/>
  <c r="I493" i="1"/>
  <c r="K493" i="1" s="1"/>
  <c r="M493" i="1" s="1"/>
  <c r="D1380" i="1" l="1"/>
  <c r="E772" i="1"/>
  <c r="H771" i="1"/>
  <c r="G771" i="1"/>
  <c r="F494" i="1"/>
  <c r="J495" i="1" s="1"/>
  <c r="E773" i="1" l="1"/>
  <c r="H772" i="1"/>
  <c r="G772" i="1"/>
  <c r="D1381" i="1"/>
  <c r="I494" i="1"/>
  <c r="K494" i="1" s="1"/>
  <c r="M494" i="1" s="1"/>
  <c r="F495" i="1"/>
  <c r="J496" i="1" s="1"/>
  <c r="D1382" i="1" l="1"/>
  <c r="E774" i="1"/>
  <c r="H773" i="1"/>
  <c r="G773" i="1"/>
  <c r="I495" i="1"/>
  <c r="K495" i="1" s="1"/>
  <c r="M495" i="1" s="1"/>
  <c r="E775" i="1" l="1"/>
  <c r="H774" i="1"/>
  <c r="G774" i="1"/>
  <c r="D1383" i="1"/>
  <c r="F496" i="1"/>
  <c r="J497" i="1" s="1"/>
  <c r="D1384" i="1" l="1"/>
  <c r="E776" i="1"/>
  <c r="H775" i="1"/>
  <c r="G775" i="1"/>
  <c r="I496" i="1"/>
  <c r="K496" i="1" s="1"/>
  <c r="M496" i="1" s="1"/>
  <c r="E777" i="1" l="1"/>
  <c r="H776" i="1"/>
  <c r="G776" i="1"/>
  <c r="D1385" i="1"/>
  <c r="F497" i="1"/>
  <c r="J498" i="1" s="1"/>
  <c r="D1386" i="1" l="1"/>
  <c r="E778" i="1"/>
  <c r="H777" i="1"/>
  <c r="G777" i="1"/>
  <c r="I497" i="1"/>
  <c r="K497" i="1" s="1"/>
  <c r="M497" i="1" s="1"/>
  <c r="E779" i="1" l="1"/>
  <c r="H778" i="1"/>
  <c r="G778" i="1"/>
  <c r="D1387" i="1"/>
  <c r="F498" i="1"/>
  <c r="J499" i="1" s="1"/>
  <c r="D1388" i="1" l="1"/>
  <c r="E780" i="1"/>
  <c r="H779" i="1"/>
  <c r="G779" i="1"/>
  <c r="I498" i="1"/>
  <c r="K498" i="1" s="1"/>
  <c r="M498" i="1" s="1"/>
  <c r="F499" i="1"/>
  <c r="J500" i="1" s="1"/>
  <c r="E781" i="1" l="1"/>
  <c r="H780" i="1"/>
  <c r="G780" i="1"/>
  <c r="D1389" i="1"/>
  <c r="I499" i="1"/>
  <c r="K499" i="1" s="1"/>
  <c r="M499" i="1" s="1"/>
  <c r="D1390" i="1" l="1"/>
  <c r="E782" i="1"/>
  <c r="H781" i="1"/>
  <c r="G781" i="1"/>
  <c r="F500" i="1"/>
  <c r="J501" i="1" s="1"/>
  <c r="E783" i="1" l="1"/>
  <c r="H782" i="1"/>
  <c r="G782" i="1"/>
  <c r="D1391" i="1"/>
  <c r="I500" i="1"/>
  <c r="K500" i="1" s="1"/>
  <c r="M500" i="1" s="1"/>
  <c r="D1392" i="1" l="1"/>
  <c r="E784" i="1"/>
  <c r="H783" i="1"/>
  <c r="G783" i="1"/>
  <c r="F501" i="1"/>
  <c r="J502" i="1" s="1"/>
  <c r="E785" i="1" l="1"/>
  <c r="H784" i="1"/>
  <c r="G784" i="1"/>
  <c r="D1393" i="1"/>
  <c r="I501" i="1"/>
  <c r="K501" i="1" s="1"/>
  <c r="M501" i="1" s="1"/>
  <c r="F502" i="1"/>
  <c r="J503" i="1" s="1"/>
  <c r="D1394" i="1" l="1"/>
  <c r="E786" i="1"/>
  <c r="H785" i="1"/>
  <c r="G785" i="1"/>
  <c r="I502" i="1"/>
  <c r="K502" i="1" s="1"/>
  <c r="M502" i="1" s="1"/>
  <c r="F503" i="1"/>
  <c r="J504" i="1" s="1"/>
  <c r="E787" i="1" l="1"/>
  <c r="H786" i="1"/>
  <c r="G786" i="1"/>
  <c r="D1395" i="1"/>
  <c r="I503" i="1"/>
  <c r="K503" i="1" s="1"/>
  <c r="M503" i="1" s="1"/>
  <c r="D1396" i="1" l="1"/>
  <c r="E788" i="1"/>
  <c r="H787" i="1"/>
  <c r="G787" i="1"/>
  <c r="F504" i="1"/>
  <c r="J505" i="1" s="1"/>
  <c r="E789" i="1" l="1"/>
  <c r="H788" i="1"/>
  <c r="G788" i="1"/>
  <c r="D1397" i="1"/>
  <c r="I504" i="1"/>
  <c r="K504" i="1" s="1"/>
  <c r="M504" i="1" s="1"/>
  <c r="F505" i="1"/>
  <c r="J506" i="1" s="1"/>
  <c r="D1398" i="1" l="1"/>
  <c r="E790" i="1"/>
  <c r="H789" i="1"/>
  <c r="G789" i="1"/>
  <c r="I505" i="1"/>
  <c r="K505" i="1" s="1"/>
  <c r="M505" i="1" s="1"/>
  <c r="E791" i="1" l="1"/>
  <c r="H790" i="1"/>
  <c r="G790" i="1"/>
  <c r="D1399" i="1"/>
  <c r="F506" i="1"/>
  <c r="J507" i="1" s="1"/>
  <c r="D1400" i="1" l="1"/>
  <c r="E792" i="1"/>
  <c r="H791" i="1"/>
  <c r="G791" i="1"/>
  <c r="I506" i="1"/>
  <c r="K506" i="1" s="1"/>
  <c r="M506" i="1" s="1"/>
  <c r="F507" i="1"/>
  <c r="J508" i="1" s="1"/>
  <c r="E793" i="1" l="1"/>
  <c r="H792" i="1"/>
  <c r="G792" i="1"/>
  <c r="D1401" i="1"/>
  <c r="I507" i="1"/>
  <c r="K507" i="1" s="1"/>
  <c r="M507" i="1" s="1"/>
  <c r="F508" i="1"/>
  <c r="J509" i="1" s="1"/>
  <c r="D1402" i="1" l="1"/>
  <c r="E794" i="1"/>
  <c r="H793" i="1"/>
  <c r="G793" i="1"/>
  <c r="I508" i="1"/>
  <c r="K508" i="1" s="1"/>
  <c r="M508" i="1" s="1"/>
  <c r="F509" i="1"/>
  <c r="J510" i="1" s="1"/>
  <c r="E795" i="1" l="1"/>
  <c r="H794" i="1"/>
  <c r="G794" i="1"/>
  <c r="D1403" i="1"/>
  <c r="I509" i="1"/>
  <c r="K509" i="1" s="1"/>
  <c r="M509" i="1" s="1"/>
  <c r="D1404" i="1" l="1"/>
  <c r="E796" i="1"/>
  <c r="H795" i="1"/>
  <c r="G795" i="1"/>
  <c r="F510" i="1"/>
  <c r="J511" i="1" s="1"/>
  <c r="E797" i="1" l="1"/>
  <c r="H796" i="1"/>
  <c r="G796" i="1"/>
  <c r="D1405" i="1"/>
  <c r="I510" i="1"/>
  <c r="K510" i="1" s="1"/>
  <c r="M510" i="1" s="1"/>
  <c r="F511" i="1"/>
  <c r="J512" i="1" s="1"/>
  <c r="D1406" i="1" l="1"/>
  <c r="E798" i="1"/>
  <c r="H797" i="1"/>
  <c r="G797" i="1"/>
  <c r="I511" i="1"/>
  <c r="K511" i="1" s="1"/>
  <c r="M511" i="1" s="1"/>
  <c r="E799" i="1" l="1"/>
  <c r="H798" i="1"/>
  <c r="G798" i="1"/>
  <c r="D1407" i="1"/>
  <c r="F512" i="1"/>
  <c r="J513" i="1" s="1"/>
  <c r="D1408" i="1" l="1"/>
  <c r="E800" i="1"/>
  <c r="H799" i="1"/>
  <c r="G799" i="1"/>
  <c r="I512" i="1"/>
  <c r="K512" i="1" s="1"/>
  <c r="M512" i="1" s="1"/>
  <c r="F513" i="1"/>
  <c r="J514" i="1" s="1"/>
  <c r="E801" i="1" l="1"/>
  <c r="H800" i="1"/>
  <c r="G800" i="1"/>
  <c r="D1409" i="1"/>
  <c r="I513" i="1"/>
  <c r="K513" i="1" s="1"/>
  <c r="M513" i="1" s="1"/>
  <c r="F514" i="1"/>
  <c r="J515" i="1" s="1"/>
  <c r="D1410" i="1" l="1"/>
  <c r="E802" i="1"/>
  <c r="H801" i="1"/>
  <c r="G801" i="1"/>
  <c r="I514" i="1"/>
  <c r="K514" i="1" s="1"/>
  <c r="M514" i="1" s="1"/>
  <c r="F515" i="1"/>
  <c r="J516" i="1" s="1"/>
  <c r="E803" i="1" l="1"/>
  <c r="H802" i="1"/>
  <c r="G802" i="1"/>
  <c r="D1411" i="1"/>
  <c r="I515" i="1"/>
  <c r="K515" i="1" s="1"/>
  <c r="M515" i="1" s="1"/>
  <c r="D1412" i="1" l="1"/>
  <c r="E804" i="1"/>
  <c r="H803" i="1"/>
  <c r="G803" i="1"/>
  <c r="F516" i="1"/>
  <c r="J517" i="1" s="1"/>
  <c r="E805" i="1" l="1"/>
  <c r="H804" i="1"/>
  <c r="G804" i="1"/>
  <c r="D1413" i="1"/>
  <c r="I516" i="1"/>
  <c r="K516" i="1" s="1"/>
  <c r="M516" i="1" s="1"/>
  <c r="F517" i="1"/>
  <c r="J518" i="1" s="1"/>
  <c r="D1414" i="1" l="1"/>
  <c r="E806" i="1"/>
  <c r="H805" i="1"/>
  <c r="G805" i="1"/>
  <c r="I517" i="1"/>
  <c r="K517" i="1" s="1"/>
  <c r="M517" i="1" s="1"/>
  <c r="F518" i="1"/>
  <c r="J519" i="1" s="1"/>
  <c r="E807" i="1" l="1"/>
  <c r="H806" i="1"/>
  <c r="G806" i="1"/>
  <c r="D1415" i="1"/>
  <c r="I518" i="1"/>
  <c r="K518" i="1" s="1"/>
  <c r="M518" i="1" s="1"/>
  <c r="D1416" i="1" l="1"/>
  <c r="E808" i="1"/>
  <c r="H807" i="1"/>
  <c r="G807" i="1"/>
  <c r="F519" i="1"/>
  <c r="J520" i="1" s="1"/>
  <c r="E809" i="1" l="1"/>
  <c r="H808" i="1"/>
  <c r="G808" i="1"/>
  <c r="D1417" i="1"/>
  <c r="I519" i="1"/>
  <c r="K519" i="1" s="1"/>
  <c r="M519" i="1" s="1"/>
  <c r="D1418" i="1" l="1"/>
  <c r="E810" i="1"/>
  <c r="H809" i="1"/>
  <c r="G809" i="1"/>
  <c r="F520" i="1"/>
  <c r="J521" i="1" s="1"/>
  <c r="E811" i="1" l="1"/>
  <c r="H810" i="1"/>
  <c r="G810" i="1"/>
  <c r="D1419" i="1"/>
  <c r="I520" i="1"/>
  <c r="K520" i="1" s="1"/>
  <c r="M520" i="1" s="1"/>
  <c r="D1420" i="1" l="1"/>
  <c r="E812" i="1"/>
  <c r="H811" i="1"/>
  <c r="G811" i="1"/>
  <c r="F521" i="1"/>
  <c r="J522" i="1" s="1"/>
  <c r="E813" i="1" l="1"/>
  <c r="H812" i="1"/>
  <c r="G812" i="1"/>
  <c r="D1421" i="1"/>
  <c r="I521" i="1"/>
  <c r="K521" i="1" s="1"/>
  <c r="M521" i="1" s="1"/>
  <c r="F522" i="1"/>
  <c r="J523" i="1" s="1"/>
  <c r="D1422" i="1" l="1"/>
  <c r="E814" i="1"/>
  <c r="H813" i="1"/>
  <c r="G813" i="1"/>
  <c r="I522" i="1"/>
  <c r="K522" i="1" s="1"/>
  <c r="M522" i="1" s="1"/>
  <c r="F523" i="1"/>
  <c r="J524" i="1" s="1"/>
  <c r="E815" i="1" l="1"/>
  <c r="H814" i="1"/>
  <c r="G814" i="1"/>
  <c r="D1423" i="1"/>
  <c r="I523" i="1"/>
  <c r="K523" i="1" s="1"/>
  <c r="M523" i="1" s="1"/>
  <c r="F524" i="1"/>
  <c r="J525" i="1" s="1"/>
  <c r="D1424" i="1" l="1"/>
  <c r="E816" i="1"/>
  <c r="H815" i="1"/>
  <c r="G815" i="1"/>
  <c r="I524" i="1"/>
  <c r="K524" i="1" s="1"/>
  <c r="M524" i="1" s="1"/>
  <c r="F525" i="1"/>
  <c r="J526" i="1" s="1"/>
  <c r="E817" i="1" l="1"/>
  <c r="H816" i="1"/>
  <c r="G816" i="1"/>
  <c r="D1425" i="1"/>
  <c r="I525" i="1"/>
  <c r="K525" i="1" s="1"/>
  <c r="M525" i="1" s="1"/>
  <c r="F526" i="1"/>
  <c r="J527" i="1" s="1"/>
  <c r="D1426" i="1" l="1"/>
  <c r="E818" i="1"/>
  <c r="H817" i="1"/>
  <c r="G817" i="1"/>
  <c r="I526" i="1"/>
  <c r="K526" i="1" s="1"/>
  <c r="M526" i="1" s="1"/>
  <c r="E819" i="1" l="1"/>
  <c r="H818" i="1"/>
  <c r="G818" i="1"/>
  <c r="D1427" i="1"/>
  <c r="F527" i="1"/>
  <c r="J528" i="1" s="1"/>
  <c r="D1428" i="1" l="1"/>
  <c r="E820" i="1"/>
  <c r="H819" i="1"/>
  <c r="G819" i="1"/>
  <c r="I527" i="1"/>
  <c r="K527" i="1" s="1"/>
  <c r="M527" i="1" s="1"/>
  <c r="F528" i="1"/>
  <c r="J529" i="1" s="1"/>
  <c r="E821" i="1" l="1"/>
  <c r="H820" i="1"/>
  <c r="G820" i="1"/>
  <c r="D1429" i="1"/>
  <c r="I528" i="1"/>
  <c r="K528" i="1" s="1"/>
  <c r="M528" i="1" s="1"/>
  <c r="F529" i="1"/>
  <c r="J530" i="1" s="1"/>
  <c r="D1430" i="1" l="1"/>
  <c r="E822" i="1"/>
  <c r="H821" i="1"/>
  <c r="G821" i="1"/>
  <c r="I529" i="1"/>
  <c r="K529" i="1" s="1"/>
  <c r="M529" i="1" s="1"/>
  <c r="E823" i="1" l="1"/>
  <c r="H822" i="1"/>
  <c r="G822" i="1"/>
  <c r="D1431" i="1"/>
  <c r="F530" i="1"/>
  <c r="J531" i="1" s="1"/>
  <c r="D1432" i="1" l="1"/>
  <c r="E824" i="1"/>
  <c r="H823" i="1"/>
  <c r="G823" i="1"/>
  <c r="I530" i="1"/>
  <c r="K530" i="1" s="1"/>
  <c r="M530" i="1" s="1"/>
  <c r="E825" i="1" l="1"/>
  <c r="H824" i="1"/>
  <c r="G824" i="1"/>
  <c r="D1433" i="1"/>
  <c r="F531" i="1"/>
  <c r="J532" i="1" s="1"/>
  <c r="D1434" i="1" l="1"/>
  <c r="E826" i="1"/>
  <c r="H825" i="1"/>
  <c r="G825" i="1"/>
  <c r="I531" i="1"/>
  <c r="K531" i="1" s="1"/>
  <c r="M531" i="1" s="1"/>
  <c r="F532" i="1"/>
  <c r="J533" i="1" s="1"/>
  <c r="E827" i="1" l="1"/>
  <c r="H826" i="1"/>
  <c r="G826" i="1"/>
  <c r="D1435" i="1"/>
  <c r="I532" i="1"/>
  <c r="K532" i="1" s="1"/>
  <c r="M532" i="1" s="1"/>
  <c r="F533" i="1"/>
  <c r="J534" i="1" s="1"/>
  <c r="D1436" i="1" l="1"/>
  <c r="E828" i="1"/>
  <c r="H827" i="1"/>
  <c r="G827" i="1"/>
  <c r="I533" i="1"/>
  <c r="K533" i="1" s="1"/>
  <c r="M533" i="1" s="1"/>
  <c r="E829" i="1" l="1"/>
  <c r="H828" i="1"/>
  <c r="G828" i="1"/>
  <c r="D1437" i="1"/>
  <c r="F534" i="1"/>
  <c r="J535" i="1" s="1"/>
  <c r="D1438" i="1" l="1"/>
  <c r="E830" i="1"/>
  <c r="H829" i="1"/>
  <c r="G829" i="1"/>
  <c r="I534" i="1"/>
  <c r="K534" i="1" s="1"/>
  <c r="M534" i="1" s="1"/>
  <c r="F535" i="1"/>
  <c r="J536" i="1" s="1"/>
  <c r="E831" i="1" l="1"/>
  <c r="H830" i="1"/>
  <c r="G830" i="1"/>
  <c r="D1439" i="1"/>
  <c r="I535" i="1"/>
  <c r="K535" i="1" s="1"/>
  <c r="M535" i="1" s="1"/>
  <c r="D1440" i="1" l="1"/>
  <c r="E832" i="1"/>
  <c r="H831" i="1"/>
  <c r="G831" i="1"/>
  <c r="F536" i="1"/>
  <c r="J537" i="1" s="1"/>
  <c r="E833" i="1" l="1"/>
  <c r="H832" i="1"/>
  <c r="G832" i="1"/>
  <c r="D1441" i="1"/>
  <c r="I536" i="1"/>
  <c r="K536" i="1" s="1"/>
  <c r="M536" i="1" s="1"/>
  <c r="F537" i="1"/>
  <c r="J538" i="1" s="1"/>
  <c r="D1442" i="1" l="1"/>
  <c r="E834" i="1"/>
  <c r="H833" i="1"/>
  <c r="G833" i="1"/>
  <c r="I537" i="1"/>
  <c r="K537" i="1" s="1"/>
  <c r="M537" i="1" s="1"/>
  <c r="E835" i="1" l="1"/>
  <c r="H834" i="1"/>
  <c r="G834" i="1"/>
  <c r="D1443" i="1"/>
  <c r="F538" i="1"/>
  <c r="J539" i="1" s="1"/>
  <c r="D1444" i="1" l="1"/>
  <c r="E836" i="1"/>
  <c r="H835" i="1"/>
  <c r="G835" i="1"/>
  <c r="I538" i="1"/>
  <c r="K538" i="1" s="1"/>
  <c r="M538" i="1" s="1"/>
  <c r="F539" i="1"/>
  <c r="J540" i="1" s="1"/>
  <c r="E837" i="1" l="1"/>
  <c r="H836" i="1"/>
  <c r="G836" i="1"/>
  <c r="D1445" i="1"/>
  <c r="I539" i="1"/>
  <c r="K539" i="1" s="1"/>
  <c r="M539" i="1" s="1"/>
  <c r="D1446" i="1" l="1"/>
  <c r="E838" i="1"/>
  <c r="H837" i="1"/>
  <c r="G837" i="1"/>
  <c r="F540" i="1"/>
  <c r="J541" i="1" s="1"/>
  <c r="E839" i="1" l="1"/>
  <c r="H838" i="1"/>
  <c r="G838" i="1"/>
  <c r="D1447" i="1"/>
  <c r="I540" i="1"/>
  <c r="K540" i="1" s="1"/>
  <c r="M540" i="1" s="1"/>
  <c r="D1448" i="1" l="1"/>
  <c r="E840" i="1"/>
  <c r="H839" i="1"/>
  <c r="G839" i="1"/>
  <c r="F541" i="1"/>
  <c r="J542" i="1" s="1"/>
  <c r="E841" i="1" l="1"/>
  <c r="H840" i="1"/>
  <c r="G840" i="1"/>
  <c r="D1449" i="1"/>
  <c r="I541" i="1"/>
  <c r="K541" i="1" s="1"/>
  <c r="M541" i="1" s="1"/>
  <c r="D1450" i="1" l="1"/>
  <c r="E842" i="1"/>
  <c r="H841" i="1"/>
  <c r="G841" i="1"/>
  <c r="F542" i="1"/>
  <c r="J543" i="1" s="1"/>
  <c r="E843" i="1" l="1"/>
  <c r="H842" i="1"/>
  <c r="G842" i="1"/>
  <c r="D1451" i="1"/>
  <c r="I542" i="1"/>
  <c r="K542" i="1" s="1"/>
  <c r="M542" i="1" s="1"/>
  <c r="F543" i="1"/>
  <c r="J544" i="1" s="1"/>
  <c r="D1452" i="1" l="1"/>
  <c r="E844" i="1"/>
  <c r="H843" i="1"/>
  <c r="G843" i="1"/>
  <c r="I543" i="1"/>
  <c r="K543" i="1" s="1"/>
  <c r="M543" i="1" s="1"/>
  <c r="E845" i="1" l="1"/>
  <c r="H844" i="1"/>
  <c r="G844" i="1"/>
  <c r="D1453" i="1"/>
  <c r="F544" i="1"/>
  <c r="J545" i="1" s="1"/>
  <c r="D1454" i="1" l="1"/>
  <c r="E846" i="1"/>
  <c r="H845" i="1"/>
  <c r="G845" i="1"/>
  <c r="I544" i="1"/>
  <c r="K544" i="1" s="1"/>
  <c r="M544" i="1" s="1"/>
  <c r="E847" i="1" l="1"/>
  <c r="H846" i="1"/>
  <c r="G846" i="1"/>
  <c r="D1455" i="1"/>
  <c r="F545" i="1"/>
  <c r="J546" i="1" s="1"/>
  <c r="D1456" i="1" l="1"/>
  <c r="E848" i="1"/>
  <c r="H847" i="1"/>
  <c r="G847" i="1"/>
  <c r="I545" i="1"/>
  <c r="K545" i="1" s="1"/>
  <c r="M545" i="1" s="1"/>
  <c r="E849" i="1" l="1"/>
  <c r="H848" i="1"/>
  <c r="G848" i="1"/>
  <c r="D1457" i="1"/>
  <c r="F546" i="1"/>
  <c r="J547" i="1" s="1"/>
  <c r="D1458" i="1" l="1"/>
  <c r="E850" i="1"/>
  <c r="H849" i="1"/>
  <c r="G849" i="1"/>
  <c r="I546" i="1"/>
  <c r="K546" i="1" s="1"/>
  <c r="M546" i="1" s="1"/>
  <c r="F547" i="1"/>
  <c r="J548" i="1" s="1"/>
  <c r="E851" i="1" l="1"/>
  <c r="H850" i="1"/>
  <c r="G850" i="1"/>
  <c r="D1459" i="1"/>
  <c r="I547" i="1"/>
  <c r="K547" i="1" s="1"/>
  <c r="M547" i="1" s="1"/>
  <c r="F548" i="1"/>
  <c r="J549" i="1" s="1"/>
  <c r="D1460" i="1" l="1"/>
  <c r="E852" i="1"/>
  <c r="H851" i="1"/>
  <c r="G851" i="1"/>
  <c r="I548" i="1"/>
  <c r="K548" i="1" s="1"/>
  <c r="M548" i="1" s="1"/>
  <c r="F549" i="1"/>
  <c r="J550" i="1" s="1"/>
  <c r="E853" i="1" l="1"/>
  <c r="H852" i="1"/>
  <c r="G852" i="1"/>
  <c r="D1461" i="1"/>
  <c r="I549" i="1"/>
  <c r="K549" i="1" s="1"/>
  <c r="M549" i="1" s="1"/>
  <c r="D1462" i="1" l="1"/>
  <c r="E854" i="1"/>
  <c r="H853" i="1"/>
  <c r="G853" i="1"/>
  <c r="F550" i="1"/>
  <c r="J551" i="1" s="1"/>
  <c r="E855" i="1" l="1"/>
  <c r="H854" i="1"/>
  <c r="G854" i="1"/>
  <c r="D1463" i="1"/>
  <c r="I550" i="1"/>
  <c r="K550" i="1" s="1"/>
  <c r="M550" i="1" s="1"/>
  <c r="F551" i="1"/>
  <c r="J552" i="1" s="1"/>
  <c r="D1464" i="1" l="1"/>
  <c r="E856" i="1"/>
  <c r="H855" i="1"/>
  <c r="G855" i="1"/>
  <c r="I551" i="1"/>
  <c r="K551" i="1" s="1"/>
  <c r="M551" i="1" s="1"/>
  <c r="E857" i="1" l="1"/>
  <c r="H856" i="1"/>
  <c r="G856" i="1"/>
  <c r="D1465" i="1"/>
  <c r="F552" i="1"/>
  <c r="J553" i="1" s="1"/>
  <c r="D1466" i="1" l="1"/>
  <c r="E858" i="1"/>
  <c r="H857" i="1"/>
  <c r="G857" i="1"/>
  <c r="I552" i="1"/>
  <c r="K552" i="1" s="1"/>
  <c r="M552" i="1" s="1"/>
  <c r="F553" i="1"/>
  <c r="J554" i="1" s="1"/>
  <c r="E859" i="1" l="1"/>
  <c r="H858" i="1"/>
  <c r="G858" i="1"/>
  <c r="D1467" i="1"/>
  <c r="I553" i="1"/>
  <c r="K553" i="1" s="1"/>
  <c r="M553" i="1" s="1"/>
  <c r="D1468" i="1" l="1"/>
  <c r="E860" i="1"/>
  <c r="H859" i="1"/>
  <c r="G859" i="1"/>
  <c r="F554" i="1"/>
  <c r="J555" i="1" s="1"/>
  <c r="E861" i="1" l="1"/>
  <c r="H860" i="1"/>
  <c r="G860" i="1"/>
  <c r="D1469" i="1"/>
  <c r="I554" i="1"/>
  <c r="K554" i="1" s="1"/>
  <c r="M554" i="1" s="1"/>
  <c r="F555" i="1"/>
  <c r="J556" i="1" s="1"/>
  <c r="D1470" i="1" l="1"/>
  <c r="E862" i="1"/>
  <c r="H861" i="1"/>
  <c r="G861" i="1"/>
  <c r="I555" i="1"/>
  <c r="K555" i="1" s="1"/>
  <c r="M555" i="1" s="1"/>
  <c r="E863" i="1" l="1"/>
  <c r="H862" i="1"/>
  <c r="G862" i="1"/>
  <c r="D1471" i="1"/>
  <c r="F556" i="1"/>
  <c r="J557" i="1" s="1"/>
  <c r="D1472" i="1" l="1"/>
  <c r="E864" i="1"/>
  <c r="H863" i="1"/>
  <c r="G863" i="1"/>
  <c r="I556" i="1"/>
  <c r="K556" i="1" s="1"/>
  <c r="M556" i="1" s="1"/>
  <c r="F557" i="1"/>
  <c r="J558" i="1" s="1"/>
  <c r="E865" i="1" l="1"/>
  <c r="H864" i="1"/>
  <c r="G864" i="1"/>
  <c r="D1473" i="1"/>
  <c r="I557" i="1"/>
  <c r="K557" i="1" s="1"/>
  <c r="M557" i="1" s="1"/>
  <c r="D1474" i="1" l="1"/>
  <c r="E866" i="1"/>
  <c r="H865" i="1"/>
  <c r="G865" i="1"/>
  <c r="F558" i="1"/>
  <c r="J559" i="1" s="1"/>
  <c r="E867" i="1" l="1"/>
  <c r="H866" i="1"/>
  <c r="G866" i="1"/>
  <c r="D1475" i="1"/>
  <c r="I558" i="1"/>
  <c r="K558" i="1" s="1"/>
  <c r="M558" i="1" s="1"/>
  <c r="F559" i="1"/>
  <c r="J560" i="1" s="1"/>
  <c r="D1476" i="1" l="1"/>
  <c r="E868" i="1"/>
  <c r="H867" i="1"/>
  <c r="G867" i="1"/>
  <c r="I559" i="1"/>
  <c r="K559" i="1" s="1"/>
  <c r="M559" i="1" s="1"/>
  <c r="F560" i="1"/>
  <c r="J561" i="1" s="1"/>
  <c r="E869" i="1" l="1"/>
  <c r="H868" i="1"/>
  <c r="G868" i="1"/>
  <c r="D1477" i="1"/>
  <c r="I560" i="1"/>
  <c r="K560" i="1" s="1"/>
  <c r="M560" i="1" s="1"/>
  <c r="F561" i="1"/>
  <c r="J562" i="1" s="1"/>
  <c r="D1478" i="1" l="1"/>
  <c r="E870" i="1"/>
  <c r="H869" i="1"/>
  <c r="G869" i="1"/>
  <c r="I561" i="1"/>
  <c r="K561" i="1" s="1"/>
  <c r="M561" i="1" s="1"/>
  <c r="E871" i="1" l="1"/>
  <c r="H870" i="1"/>
  <c r="G870" i="1"/>
  <c r="D1479" i="1"/>
  <c r="F562" i="1"/>
  <c r="J563" i="1" s="1"/>
  <c r="D1480" i="1" l="1"/>
  <c r="E872" i="1"/>
  <c r="H871" i="1"/>
  <c r="G871" i="1"/>
  <c r="I562" i="1"/>
  <c r="K562" i="1" s="1"/>
  <c r="M562" i="1" s="1"/>
  <c r="F563" i="1"/>
  <c r="J564" i="1" s="1"/>
  <c r="E873" i="1" l="1"/>
  <c r="H872" i="1"/>
  <c r="G872" i="1"/>
  <c r="D1481" i="1"/>
  <c r="I563" i="1"/>
  <c r="K563" i="1" s="1"/>
  <c r="M563" i="1" s="1"/>
  <c r="D1482" i="1" l="1"/>
  <c r="E874" i="1"/>
  <c r="H873" i="1"/>
  <c r="G873" i="1"/>
  <c r="F564" i="1"/>
  <c r="J565" i="1" s="1"/>
  <c r="E875" i="1" l="1"/>
  <c r="H874" i="1"/>
  <c r="G874" i="1"/>
  <c r="D1483" i="1"/>
  <c r="I564" i="1"/>
  <c r="K564" i="1" s="1"/>
  <c r="M564" i="1" s="1"/>
  <c r="D1484" i="1" l="1"/>
  <c r="E876" i="1"/>
  <c r="H875" i="1"/>
  <c r="G875" i="1"/>
  <c r="F565" i="1"/>
  <c r="J566" i="1" s="1"/>
  <c r="E877" i="1" l="1"/>
  <c r="H876" i="1"/>
  <c r="G876" i="1"/>
  <c r="D1485" i="1"/>
  <c r="I565" i="1"/>
  <c r="K565" i="1" s="1"/>
  <c r="M565" i="1" s="1"/>
  <c r="D1486" i="1" l="1"/>
  <c r="E878" i="1"/>
  <c r="H877" i="1"/>
  <c r="G877" i="1"/>
  <c r="F566" i="1"/>
  <c r="J567" i="1" s="1"/>
  <c r="E879" i="1" l="1"/>
  <c r="H878" i="1"/>
  <c r="G878" i="1"/>
  <c r="D1487" i="1"/>
  <c r="I566" i="1"/>
  <c r="K566" i="1" s="1"/>
  <c r="M566" i="1" s="1"/>
  <c r="F567" i="1"/>
  <c r="J568" i="1" s="1"/>
  <c r="D1488" i="1" l="1"/>
  <c r="E880" i="1"/>
  <c r="H879" i="1"/>
  <c r="G879" i="1"/>
  <c r="I567" i="1"/>
  <c r="K567" i="1" s="1"/>
  <c r="M567" i="1" s="1"/>
  <c r="E881" i="1" l="1"/>
  <c r="H880" i="1"/>
  <c r="G880" i="1"/>
  <c r="D1489" i="1"/>
  <c r="F568" i="1"/>
  <c r="J569" i="1" s="1"/>
  <c r="D1490" i="1" l="1"/>
  <c r="E882" i="1"/>
  <c r="H881" i="1"/>
  <c r="G881" i="1"/>
  <c r="I568" i="1"/>
  <c r="K568" i="1" s="1"/>
  <c r="M568" i="1" s="1"/>
  <c r="E883" i="1" l="1"/>
  <c r="H882" i="1"/>
  <c r="G882" i="1"/>
  <c r="D1491" i="1"/>
  <c r="F569" i="1"/>
  <c r="J570" i="1" s="1"/>
  <c r="D1492" i="1" l="1"/>
  <c r="E884" i="1"/>
  <c r="H883" i="1"/>
  <c r="G883" i="1"/>
  <c r="I569" i="1"/>
  <c r="K569" i="1" s="1"/>
  <c r="M569" i="1" s="1"/>
  <c r="E885" i="1" l="1"/>
  <c r="H884" i="1"/>
  <c r="G884" i="1"/>
  <c r="D1493" i="1"/>
  <c r="F570" i="1"/>
  <c r="J571" i="1" s="1"/>
  <c r="D1494" i="1" l="1"/>
  <c r="E886" i="1"/>
  <c r="H885" i="1"/>
  <c r="G885" i="1"/>
  <c r="I570" i="1"/>
  <c r="K570" i="1" s="1"/>
  <c r="M570" i="1" s="1"/>
  <c r="F571" i="1"/>
  <c r="J572" i="1" s="1"/>
  <c r="E887" i="1" l="1"/>
  <c r="H886" i="1"/>
  <c r="G886" i="1"/>
  <c r="D1495" i="1"/>
  <c r="I571" i="1"/>
  <c r="K571" i="1" s="1"/>
  <c r="M571" i="1" s="1"/>
  <c r="F572" i="1"/>
  <c r="J573" i="1" s="1"/>
  <c r="D1496" i="1" l="1"/>
  <c r="E888" i="1"/>
  <c r="H887" i="1"/>
  <c r="G887" i="1"/>
  <c r="I572" i="1"/>
  <c r="K572" i="1" s="1"/>
  <c r="M572" i="1" s="1"/>
  <c r="F573" i="1"/>
  <c r="J574" i="1" s="1"/>
  <c r="E889" i="1" l="1"/>
  <c r="H888" i="1"/>
  <c r="G888" i="1"/>
  <c r="D1497" i="1"/>
  <c r="I573" i="1"/>
  <c r="K573" i="1" s="1"/>
  <c r="M573" i="1" s="1"/>
  <c r="D1498" i="1" l="1"/>
  <c r="E890" i="1"/>
  <c r="H889" i="1"/>
  <c r="G889" i="1"/>
  <c r="F574" i="1"/>
  <c r="J575" i="1" s="1"/>
  <c r="E891" i="1" l="1"/>
  <c r="H890" i="1"/>
  <c r="G890" i="1"/>
  <c r="D1499" i="1"/>
  <c r="I574" i="1"/>
  <c r="K574" i="1" s="1"/>
  <c r="M574" i="1" s="1"/>
  <c r="F575" i="1"/>
  <c r="J576" i="1" s="1"/>
  <c r="D1500" i="1" l="1"/>
  <c r="E892" i="1"/>
  <c r="H891" i="1"/>
  <c r="G891" i="1"/>
  <c r="I575" i="1"/>
  <c r="K575" i="1" s="1"/>
  <c r="M575" i="1" s="1"/>
  <c r="E893" i="1" l="1"/>
  <c r="H892" i="1"/>
  <c r="G892" i="1"/>
  <c r="D1501" i="1"/>
  <c r="F576" i="1"/>
  <c r="J577" i="1" s="1"/>
  <c r="D1502" i="1" l="1"/>
  <c r="E894" i="1"/>
  <c r="H893" i="1"/>
  <c r="G893" i="1"/>
  <c r="I576" i="1"/>
  <c r="K576" i="1" s="1"/>
  <c r="M576" i="1" s="1"/>
  <c r="F577" i="1"/>
  <c r="J578" i="1" s="1"/>
  <c r="E895" i="1" l="1"/>
  <c r="H894" i="1"/>
  <c r="G894" i="1"/>
  <c r="D1503" i="1"/>
  <c r="I577" i="1"/>
  <c r="K577" i="1" s="1"/>
  <c r="M577" i="1" s="1"/>
  <c r="D1504" i="1" l="1"/>
  <c r="E896" i="1"/>
  <c r="H895" i="1"/>
  <c r="G895" i="1"/>
  <c r="F578" i="1"/>
  <c r="J579" i="1" s="1"/>
  <c r="E897" i="1" l="1"/>
  <c r="H896" i="1"/>
  <c r="G896" i="1"/>
  <c r="D1505" i="1"/>
  <c r="I578" i="1"/>
  <c r="K578" i="1" s="1"/>
  <c r="M578" i="1" s="1"/>
  <c r="F579" i="1"/>
  <c r="J580" i="1" s="1"/>
  <c r="D1506" i="1" l="1"/>
  <c r="E898" i="1"/>
  <c r="H897" i="1"/>
  <c r="G897" i="1"/>
  <c r="I579" i="1"/>
  <c r="K579" i="1" s="1"/>
  <c r="M579" i="1" s="1"/>
  <c r="F580" i="1"/>
  <c r="J581" i="1" s="1"/>
  <c r="E899" i="1" l="1"/>
  <c r="H898" i="1"/>
  <c r="G898" i="1"/>
  <c r="D1507" i="1"/>
  <c r="I580" i="1"/>
  <c r="K580" i="1" s="1"/>
  <c r="M580" i="1" s="1"/>
  <c r="F581" i="1"/>
  <c r="J582" i="1" s="1"/>
  <c r="D1508" i="1" l="1"/>
  <c r="E900" i="1"/>
  <c r="H899" i="1"/>
  <c r="G899" i="1"/>
  <c r="I581" i="1"/>
  <c r="K581" i="1" s="1"/>
  <c r="M581" i="1" s="1"/>
  <c r="E901" i="1" l="1"/>
  <c r="H900" i="1"/>
  <c r="G900" i="1"/>
  <c r="D1509" i="1"/>
  <c r="F582" i="1"/>
  <c r="J583" i="1" s="1"/>
  <c r="D1510" i="1" l="1"/>
  <c r="E902" i="1"/>
  <c r="H901" i="1"/>
  <c r="G901" i="1"/>
  <c r="I582" i="1"/>
  <c r="K582" i="1" s="1"/>
  <c r="M582" i="1" s="1"/>
  <c r="E903" i="1" l="1"/>
  <c r="H902" i="1"/>
  <c r="G902" i="1"/>
  <c r="D1511" i="1"/>
  <c r="F583" i="1"/>
  <c r="J584" i="1" s="1"/>
  <c r="D1512" i="1" l="1"/>
  <c r="E904" i="1"/>
  <c r="H903" i="1"/>
  <c r="G903" i="1"/>
  <c r="I583" i="1"/>
  <c r="K583" i="1" s="1"/>
  <c r="M583" i="1" s="1"/>
  <c r="F584" i="1"/>
  <c r="J585" i="1" s="1"/>
  <c r="E905" i="1" l="1"/>
  <c r="H904" i="1"/>
  <c r="G904" i="1"/>
  <c r="D1513" i="1"/>
  <c r="I584" i="1"/>
  <c r="K584" i="1" s="1"/>
  <c r="M584" i="1" s="1"/>
  <c r="D1514" i="1" l="1"/>
  <c r="E906" i="1"/>
  <c r="H905" i="1"/>
  <c r="G905" i="1"/>
  <c r="F585" i="1"/>
  <c r="J586" i="1" s="1"/>
  <c r="E907" i="1" l="1"/>
  <c r="H906" i="1"/>
  <c r="G906" i="1"/>
  <c r="D1515" i="1"/>
  <c r="I585" i="1"/>
  <c r="K585" i="1" s="1"/>
  <c r="M585" i="1" s="1"/>
  <c r="D1516" i="1" l="1"/>
  <c r="E908" i="1"/>
  <c r="H907" i="1"/>
  <c r="G907" i="1"/>
  <c r="F586" i="1"/>
  <c r="J587" i="1" s="1"/>
  <c r="E909" i="1" l="1"/>
  <c r="H908" i="1"/>
  <c r="G908" i="1"/>
  <c r="D1517" i="1"/>
  <c r="I586" i="1"/>
  <c r="K586" i="1" s="1"/>
  <c r="M586" i="1" s="1"/>
  <c r="D1518" i="1" l="1"/>
  <c r="E910" i="1"/>
  <c r="H909" i="1"/>
  <c r="G909" i="1"/>
  <c r="F587" i="1"/>
  <c r="J588" i="1" s="1"/>
  <c r="E911" i="1" l="1"/>
  <c r="H910" i="1"/>
  <c r="G910" i="1"/>
  <c r="D1519" i="1"/>
  <c r="I587" i="1"/>
  <c r="K587" i="1" s="1"/>
  <c r="M587" i="1" s="1"/>
  <c r="F588" i="1"/>
  <c r="J589" i="1" s="1"/>
  <c r="D1520" i="1" l="1"/>
  <c r="E912" i="1"/>
  <c r="H911" i="1"/>
  <c r="G911" i="1"/>
  <c r="I588" i="1"/>
  <c r="K588" i="1" s="1"/>
  <c r="M588" i="1" s="1"/>
  <c r="E913" i="1" l="1"/>
  <c r="H912" i="1"/>
  <c r="G912" i="1"/>
  <c r="D1521" i="1"/>
  <c r="F589" i="1"/>
  <c r="J590" i="1" s="1"/>
  <c r="D1522" i="1" l="1"/>
  <c r="E914" i="1"/>
  <c r="H913" i="1"/>
  <c r="G913" i="1"/>
  <c r="I589" i="1"/>
  <c r="K589" i="1" s="1"/>
  <c r="M589" i="1" s="1"/>
  <c r="E915" i="1" l="1"/>
  <c r="H914" i="1"/>
  <c r="G914" i="1"/>
  <c r="D1523" i="1"/>
  <c r="F590" i="1"/>
  <c r="J591" i="1" s="1"/>
  <c r="D1524" i="1" l="1"/>
  <c r="E916" i="1"/>
  <c r="H915" i="1"/>
  <c r="G915" i="1"/>
  <c r="I590" i="1"/>
  <c r="K590" i="1" s="1"/>
  <c r="M590" i="1" s="1"/>
  <c r="F591" i="1"/>
  <c r="J592" i="1" s="1"/>
  <c r="E917" i="1" l="1"/>
  <c r="H916" i="1"/>
  <c r="G916" i="1"/>
  <c r="D1525" i="1"/>
  <c r="I591" i="1"/>
  <c r="K591" i="1" s="1"/>
  <c r="M591" i="1" s="1"/>
  <c r="D1526" i="1" l="1"/>
  <c r="E918" i="1"/>
  <c r="H917" i="1"/>
  <c r="G917" i="1"/>
  <c r="F592" i="1"/>
  <c r="J593" i="1" s="1"/>
  <c r="E919" i="1" l="1"/>
  <c r="H918" i="1"/>
  <c r="G918" i="1"/>
  <c r="D1527" i="1"/>
  <c r="I592" i="1"/>
  <c r="K592" i="1" s="1"/>
  <c r="M592" i="1" s="1"/>
  <c r="F593" i="1"/>
  <c r="J594" i="1" s="1"/>
  <c r="D1528" i="1" l="1"/>
  <c r="E920" i="1"/>
  <c r="H919" i="1"/>
  <c r="G919" i="1"/>
  <c r="I593" i="1"/>
  <c r="K593" i="1" s="1"/>
  <c r="M593" i="1" s="1"/>
  <c r="F594" i="1"/>
  <c r="J595" i="1" s="1"/>
  <c r="E921" i="1" l="1"/>
  <c r="H920" i="1"/>
  <c r="G920" i="1"/>
  <c r="D1529" i="1"/>
  <c r="I594" i="1"/>
  <c r="K594" i="1" s="1"/>
  <c r="M594" i="1" s="1"/>
  <c r="D1530" i="1" l="1"/>
  <c r="E922" i="1"/>
  <c r="H921" i="1"/>
  <c r="G921" i="1"/>
  <c r="F595" i="1"/>
  <c r="J596" i="1" s="1"/>
  <c r="E923" i="1" l="1"/>
  <c r="H922" i="1"/>
  <c r="G922" i="1"/>
  <c r="D1531" i="1"/>
  <c r="I595" i="1"/>
  <c r="K595" i="1" s="1"/>
  <c r="M595" i="1" s="1"/>
  <c r="F596" i="1"/>
  <c r="J597" i="1" s="1"/>
  <c r="D1532" i="1" l="1"/>
  <c r="E924" i="1"/>
  <c r="H923" i="1"/>
  <c r="G923" i="1"/>
  <c r="I596" i="1"/>
  <c r="K596" i="1" s="1"/>
  <c r="M596" i="1" s="1"/>
  <c r="E925" i="1" l="1"/>
  <c r="H924" i="1"/>
  <c r="G924" i="1"/>
  <c r="D1533" i="1"/>
  <c r="F597" i="1"/>
  <c r="J598" i="1" s="1"/>
  <c r="D1534" i="1" l="1"/>
  <c r="E926" i="1"/>
  <c r="H925" i="1"/>
  <c r="G925" i="1"/>
  <c r="I597" i="1"/>
  <c r="K597" i="1" s="1"/>
  <c r="M597" i="1" s="1"/>
  <c r="F598" i="1"/>
  <c r="J599" i="1" s="1"/>
  <c r="E927" i="1" l="1"/>
  <c r="H926" i="1"/>
  <c r="G926" i="1"/>
  <c r="D1535" i="1"/>
  <c r="I598" i="1"/>
  <c r="K598" i="1" s="1"/>
  <c r="M598" i="1" s="1"/>
  <c r="F599" i="1"/>
  <c r="J600" i="1" s="1"/>
  <c r="D1536" i="1" l="1"/>
  <c r="E928" i="1"/>
  <c r="H927" i="1"/>
  <c r="G927" i="1"/>
  <c r="I599" i="1"/>
  <c r="K599" i="1" s="1"/>
  <c r="M599" i="1" s="1"/>
  <c r="F600" i="1"/>
  <c r="J601" i="1" s="1"/>
  <c r="E929" i="1" l="1"/>
  <c r="H928" i="1"/>
  <c r="G928" i="1"/>
  <c r="D1537" i="1"/>
  <c r="I600" i="1"/>
  <c r="K600" i="1" s="1"/>
  <c r="M600" i="1" s="1"/>
  <c r="D1538" i="1" l="1"/>
  <c r="E930" i="1"/>
  <c r="H929" i="1"/>
  <c r="G929" i="1"/>
  <c r="F601" i="1"/>
  <c r="J602" i="1" s="1"/>
  <c r="E931" i="1" l="1"/>
  <c r="H930" i="1"/>
  <c r="G930" i="1"/>
  <c r="D1539" i="1"/>
  <c r="I601" i="1"/>
  <c r="K601" i="1" s="1"/>
  <c r="M601" i="1" s="1"/>
  <c r="D1540" i="1" l="1"/>
  <c r="E932" i="1"/>
  <c r="H931" i="1"/>
  <c r="G931" i="1"/>
  <c r="F602" i="1"/>
  <c r="J603" i="1" s="1"/>
  <c r="E933" i="1" l="1"/>
  <c r="H932" i="1"/>
  <c r="G932" i="1"/>
  <c r="D1541" i="1"/>
  <c r="I602" i="1"/>
  <c r="K602" i="1" s="1"/>
  <c r="M602" i="1" s="1"/>
  <c r="F603" i="1"/>
  <c r="J604" i="1" s="1"/>
  <c r="D1542" i="1" l="1"/>
  <c r="E934" i="1"/>
  <c r="H933" i="1"/>
  <c r="G933" i="1"/>
  <c r="I603" i="1"/>
  <c r="K603" i="1" s="1"/>
  <c r="M603" i="1" s="1"/>
  <c r="E935" i="1" l="1"/>
  <c r="H934" i="1"/>
  <c r="G934" i="1"/>
  <c r="D1543" i="1"/>
  <c r="F604" i="1"/>
  <c r="J605" i="1" s="1"/>
  <c r="D1544" i="1" l="1"/>
  <c r="E936" i="1"/>
  <c r="H935" i="1"/>
  <c r="G935" i="1"/>
  <c r="I604" i="1"/>
  <c r="K604" i="1" s="1"/>
  <c r="M604" i="1" s="1"/>
  <c r="F605" i="1"/>
  <c r="J606" i="1" s="1"/>
  <c r="E937" i="1" l="1"/>
  <c r="H936" i="1"/>
  <c r="G936" i="1"/>
  <c r="D1545" i="1"/>
  <c r="I605" i="1"/>
  <c r="K605" i="1" s="1"/>
  <c r="M605" i="1" s="1"/>
  <c r="D1546" i="1" l="1"/>
  <c r="E938" i="1"/>
  <c r="H937" i="1"/>
  <c r="G937" i="1"/>
  <c r="F606" i="1"/>
  <c r="J607" i="1" s="1"/>
  <c r="E939" i="1" l="1"/>
  <c r="H938" i="1"/>
  <c r="G938" i="1"/>
  <c r="D1547" i="1"/>
  <c r="I606" i="1"/>
  <c r="K606" i="1" s="1"/>
  <c r="M606" i="1" s="1"/>
  <c r="D1548" i="1" l="1"/>
  <c r="E940" i="1"/>
  <c r="H939" i="1"/>
  <c r="G939" i="1"/>
  <c r="F607" i="1"/>
  <c r="J608" i="1" s="1"/>
  <c r="E941" i="1" l="1"/>
  <c r="H940" i="1"/>
  <c r="G940" i="1"/>
  <c r="D1549" i="1"/>
  <c r="I607" i="1"/>
  <c r="K607" i="1" s="1"/>
  <c r="M607" i="1" s="1"/>
  <c r="F608" i="1"/>
  <c r="J609" i="1" s="1"/>
  <c r="D1550" i="1" l="1"/>
  <c r="E942" i="1"/>
  <c r="H941" i="1"/>
  <c r="G941" i="1"/>
  <c r="I608" i="1"/>
  <c r="K608" i="1" s="1"/>
  <c r="M608" i="1" s="1"/>
  <c r="E943" i="1" l="1"/>
  <c r="H942" i="1"/>
  <c r="G942" i="1"/>
  <c r="D1551" i="1"/>
  <c r="F609" i="1"/>
  <c r="J610" i="1" s="1"/>
  <c r="D1552" i="1" l="1"/>
  <c r="E944" i="1"/>
  <c r="H943" i="1"/>
  <c r="G943" i="1"/>
  <c r="I609" i="1"/>
  <c r="K609" i="1" s="1"/>
  <c r="M609" i="1" s="1"/>
  <c r="E945" i="1" l="1"/>
  <c r="H944" i="1"/>
  <c r="G944" i="1"/>
  <c r="D1553" i="1"/>
  <c r="F610" i="1"/>
  <c r="J611" i="1" s="1"/>
  <c r="D1554" i="1" l="1"/>
  <c r="E946" i="1"/>
  <c r="H945" i="1"/>
  <c r="G945" i="1"/>
  <c r="I610" i="1"/>
  <c r="K610" i="1" s="1"/>
  <c r="M610" i="1" s="1"/>
  <c r="E947" i="1" l="1"/>
  <c r="H946" i="1"/>
  <c r="G946" i="1"/>
  <c r="D1555" i="1"/>
  <c r="F611" i="1"/>
  <c r="J612" i="1" s="1"/>
  <c r="D1556" i="1" l="1"/>
  <c r="E948" i="1"/>
  <c r="H947" i="1"/>
  <c r="G947" i="1"/>
  <c r="I611" i="1"/>
  <c r="K611" i="1" s="1"/>
  <c r="M611" i="1" s="1"/>
  <c r="E949" i="1" l="1"/>
  <c r="H948" i="1"/>
  <c r="G948" i="1"/>
  <c r="D1557" i="1"/>
  <c r="F612" i="1"/>
  <c r="J613" i="1" s="1"/>
  <c r="D1558" i="1" l="1"/>
  <c r="E950" i="1"/>
  <c r="H949" i="1"/>
  <c r="G949" i="1"/>
  <c r="I612" i="1"/>
  <c r="K612" i="1" s="1"/>
  <c r="M612" i="1" s="1"/>
  <c r="F613" i="1"/>
  <c r="J614" i="1" s="1"/>
  <c r="E951" i="1" l="1"/>
  <c r="H950" i="1"/>
  <c r="G950" i="1"/>
  <c r="D1559" i="1"/>
  <c r="I613" i="1"/>
  <c r="K613" i="1" s="1"/>
  <c r="M613" i="1" s="1"/>
  <c r="D1560" i="1" l="1"/>
  <c r="E952" i="1"/>
  <c r="H951" i="1"/>
  <c r="G951" i="1"/>
  <c r="F614" i="1"/>
  <c r="J615" i="1" s="1"/>
  <c r="E953" i="1" l="1"/>
  <c r="H952" i="1"/>
  <c r="G952" i="1"/>
  <c r="D1561" i="1"/>
  <c r="I614" i="1"/>
  <c r="K614" i="1" s="1"/>
  <c r="M614" i="1" s="1"/>
  <c r="D1562" i="1" l="1"/>
  <c r="E954" i="1"/>
  <c r="H953" i="1"/>
  <c r="G953" i="1"/>
  <c r="F615" i="1"/>
  <c r="J616" i="1" s="1"/>
  <c r="E955" i="1" l="1"/>
  <c r="H954" i="1"/>
  <c r="G954" i="1"/>
  <c r="D1563" i="1"/>
  <c r="I615" i="1"/>
  <c r="K615" i="1" s="1"/>
  <c r="M615" i="1" s="1"/>
  <c r="F616" i="1"/>
  <c r="J617" i="1" s="1"/>
  <c r="D1564" i="1" l="1"/>
  <c r="E956" i="1"/>
  <c r="H955" i="1"/>
  <c r="G955" i="1"/>
  <c r="I616" i="1"/>
  <c r="K616" i="1" s="1"/>
  <c r="M616" i="1" s="1"/>
  <c r="F617" i="1"/>
  <c r="J618" i="1" s="1"/>
  <c r="E957" i="1" l="1"/>
  <c r="H956" i="1"/>
  <c r="G956" i="1"/>
  <c r="D1565" i="1"/>
  <c r="I617" i="1"/>
  <c r="K617" i="1" s="1"/>
  <c r="M617" i="1" s="1"/>
  <c r="D1566" i="1" l="1"/>
  <c r="E958" i="1"/>
  <c r="H957" i="1"/>
  <c r="G957" i="1"/>
  <c r="F618" i="1"/>
  <c r="J619" i="1" s="1"/>
  <c r="E959" i="1" l="1"/>
  <c r="H958" i="1"/>
  <c r="G958" i="1"/>
  <c r="D1567" i="1"/>
  <c r="I618" i="1"/>
  <c r="K618" i="1" s="1"/>
  <c r="M618" i="1" s="1"/>
  <c r="F619" i="1"/>
  <c r="J620" i="1" s="1"/>
  <c r="D1568" i="1" l="1"/>
  <c r="E960" i="1"/>
  <c r="H959" i="1"/>
  <c r="G959" i="1"/>
  <c r="I619" i="1"/>
  <c r="K619" i="1" s="1"/>
  <c r="M619" i="1" s="1"/>
  <c r="F620" i="1"/>
  <c r="J621" i="1" s="1"/>
  <c r="E961" i="1" l="1"/>
  <c r="H960" i="1"/>
  <c r="G960" i="1"/>
  <c r="D1569" i="1"/>
  <c r="I620" i="1"/>
  <c r="K620" i="1" s="1"/>
  <c r="M620" i="1" s="1"/>
  <c r="D1570" i="1" l="1"/>
  <c r="E962" i="1"/>
  <c r="H961" i="1"/>
  <c r="G961" i="1"/>
  <c r="F621" i="1"/>
  <c r="J622" i="1" s="1"/>
  <c r="E963" i="1" l="1"/>
  <c r="H962" i="1"/>
  <c r="G962" i="1"/>
  <c r="D1571" i="1"/>
  <c r="I621" i="1"/>
  <c r="K621" i="1" s="1"/>
  <c r="M621" i="1" s="1"/>
  <c r="D1572" i="1" l="1"/>
  <c r="E964" i="1"/>
  <c r="H963" i="1"/>
  <c r="G963" i="1"/>
  <c r="F622" i="1"/>
  <c r="J623" i="1" s="1"/>
  <c r="E965" i="1" l="1"/>
  <c r="H964" i="1"/>
  <c r="G964" i="1"/>
  <c r="D1573" i="1"/>
  <c r="I622" i="1"/>
  <c r="K622" i="1" s="1"/>
  <c r="M622" i="1" s="1"/>
  <c r="F623" i="1"/>
  <c r="J624" i="1" s="1"/>
  <c r="D1574" i="1" l="1"/>
  <c r="E966" i="1"/>
  <c r="H965" i="1"/>
  <c r="G965" i="1"/>
  <c r="I623" i="1"/>
  <c r="K623" i="1" s="1"/>
  <c r="M623" i="1" s="1"/>
  <c r="F624" i="1"/>
  <c r="J625" i="1" s="1"/>
  <c r="E967" i="1" l="1"/>
  <c r="H966" i="1"/>
  <c r="G966" i="1"/>
  <c r="D1575" i="1"/>
  <c r="I624" i="1"/>
  <c r="K624" i="1" s="1"/>
  <c r="M624" i="1" s="1"/>
  <c r="D1576" i="1" l="1"/>
  <c r="E968" i="1"/>
  <c r="H967" i="1"/>
  <c r="G967" i="1"/>
  <c r="F625" i="1"/>
  <c r="J626" i="1" s="1"/>
  <c r="E969" i="1" l="1"/>
  <c r="H968" i="1"/>
  <c r="G968" i="1"/>
  <c r="D1577" i="1"/>
  <c r="I625" i="1"/>
  <c r="K625" i="1" s="1"/>
  <c r="M625" i="1" s="1"/>
  <c r="D1578" i="1" l="1"/>
  <c r="E970" i="1"/>
  <c r="H969" i="1"/>
  <c r="G969" i="1"/>
  <c r="F626" i="1"/>
  <c r="J627" i="1" s="1"/>
  <c r="E971" i="1" l="1"/>
  <c r="H970" i="1"/>
  <c r="G970" i="1"/>
  <c r="D1579" i="1"/>
  <c r="I626" i="1"/>
  <c r="K626" i="1" s="1"/>
  <c r="M626" i="1" s="1"/>
  <c r="F627" i="1"/>
  <c r="J628" i="1" s="1"/>
  <c r="D1580" i="1" l="1"/>
  <c r="E972" i="1"/>
  <c r="H971" i="1"/>
  <c r="G971" i="1"/>
  <c r="I627" i="1"/>
  <c r="K627" i="1" s="1"/>
  <c r="M627" i="1" s="1"/>
  <c r="F628" i="1"/>
  <c r="J629" i="1" s="1"/>
  <c r="E973" i="1" l="1"/>
  <c r="H972" i="1"/>
  <c r="G972" i="1"/>
  <c r="D1581" i="1"/>
  <c r="I628" i="1"/>
  <c r="K628" i="1" s="1"/>
  <c r="M628" i="1" s="1"/>
  <c r="D1582" i="1" l="1"/>
  <c r="E974" i="1"/>
  <c r="H973" i="1"/>
  <c r="G973" i="1"/>
  <c r="F629" i="1"/>
  <c r="J630" i="1" s="1"/>
  <c r="E975" i="1" l="1"/>
  <c r="H974" i="1"/>
  <c r="G974" i="1"/>
  <c r="D1583" i="1"/>
  <c r="I629" i="1"/>
  <c r="K629" i="1" s="1"/>
  <c r="M629" i="1" s="1"/>
  <c r="D1584" i="1" l="1"/>
  <c r="E976" i="1"/>
  <c r="H975" i="1"/>
  <c r="G975" i="1"/>
  <c r="F630" i="1"/>
  <c r="J631" i="1" s="1"/>
  <c r="E977" i="1" l="1"/>
  <c r="H976" i="1"/>
  <c r="G976" i="1"/>
  <c r="D1585" i="1"/>
  <c r="I630" i="1"/>
  <c r="K630" i="1" s="1"/>
  <c r="M630" i="1" s="1"/>
  <c r="F631" i="1"/>
  <c r="J632" i="1" s="1"/>
  <c r="D1586" i="1" l="1"/>
  <c r="E978" i="1"/>
  <c r="H977" i="1"/>
  <c r="G977" i="1"/>
  <c r="I631" i="1"/>
  <c r="K631" i="1" s="1"/>
  <c r="M631" i="1" s="1"/>
  <c r="F632" i="1"/>
  <c r="J633" i="1" s="1"/>
  <c r="E979" i="1" l="1"/>
  <c r="H978" i="1"/>
  <c r="G978" i="1"/>
  <c r="D1587" i="1"/>
  <c r="I632" i="1"/>
  <c r="K632" i="1" s="1"/>
  <c r="M632" i="1" s="1"/>
  <c r="D1588" i="1" l="1"/>
  <c r="E980" i="1"/>
  <c r="H979" i="1"/>
  <c r="G979" i="1"/>
  <c r="F633" i="1"/>
  <c r="J634" i="1" s="1"/>
  <c r="E981" i="1" l="1"/>
  <c r="H980" i="1"/>
  <c r="G980" i="1"/>
  <c r="D1589" i="1"/>
  <c r="I633" i="1"/>
  <c r="K633" i="1" s="1"/>
  <c r="M633" i="1" s="1"/>
  <c r="F634" i="1"/>
  <c r="J635" i="1" s="1"/>
  <c r="D1590" i="1" l="1"/>
  <c r="E982" i="1"/>
  <c r="H981" i="1"/>
  <c r="G981" i="1"/>
  <c r="I634" i="1"/>
  <c r="K634" i="1" s="1"/>
  <c r="M634" i="1" s="1"/>
  <c r="F635" i="1"/>
  <c r="J636" i="1" s="1"/>
  <c r="E983" i="1" l="1"/>
  <c r="H982" i="1"/>
  <c r="G982" i="1"/>
  <c r="D1591" i="1"/>
  <c r="I635" i="1"/>
  <c r="K635" i="1" s="1"/>
  <c r="M635" i="1" s="1"/>
  <c r="F636" i="1"/>
  <c r="J637" i="1" s="1"/>
  <c r="D1592" i="1" l="1"/>
  <c r="E984" i="1"/>
  <c r="H983" i="1"/>
  <c r="G983" i="1"/>
  <c r="I636" i="1"/>
  <c r="K636" i="1" s="1"/>
  <c r="M636" i="1" s="1"/>
  <c r="F637" i="1"/>
  <c r="J638" i="1" s="1"/>
  <c r="E985" i="1" l="1"/>
  <c r="H984" i="1"/>
  <c r="G984" i="1"/>
  <c r="D1593" i="1"/>
  <c r="I637" i="1"/>
  <c r="K637" i="1" s="1"/>
  <c r="M637" i="1" s="1"/>
  <c r="D1594" i="1" l="1"/>
  <c r="E986" i="1"/>
  <c r="H985" i="1"/>
  <c r="G985" i="1"/>
  <c r="F638" i="1"/>
  <c r="J639" i="1" s="1"/>
  <c r="E987" i="1" l="1"/>
  <c r="H986" i="1"/>
  <c r="G986" i="1"/>
  <c r="D1595" i="1"/>
  <c r="I638" i="1"/>
  <c r="K638" i="1" s="1"/>
  <c r="M638" i="1" s="1"/>
  <c r="D1596" i="1" l="1"/>
  <c r="E988" i="1"/>
  <c r="H987" i="1"/>
  <c r="G987" i="1"/>
  <c r="F639" i="1"/>
  <c r="J640" i="1" s="1"/>
  <c r="E989" i="1" l="1"/>
  <c r="H988" i="1"/>
  <c r="G988" i="1"/>
  <c r="D1597" i="1"/>
  <c r="I639" i="1"/>
  <c r="K639" i="1" s="1"/>
  <c r="M639" i="1" s="1"/>
  <c r="F640" i="1"/>
  <c r="J641" i="1" s="1"/>
  <c r="D1598" i="1" l="1"/>
  <c r="E990" i="1"/>
  <c r="H989" i="1"/>
  <c r="G989" i="1"/>
  <c r="I640" i="1"/>
  <c r="K640" i="1" s="1"/>
  <c r="M640" i="1" s="1"/>
  <c r="F641" i="1"/>
  <c r="J642" i="1" s="1"/>
  <c r="E991" i="1" l="1"/>
  <c r="H990" i="1"/>
  <c r="G990" i="1"/>
  <c r="D1599" i="1"/>
  <c r="I641" i="1"/>
  <c r="K641" i="1" s="1"/>
  <c r="M641" i="1" s="1"/>
  <c r="F642" i="1"/>
  <c r="J643" i="1" s="1"/>
  <c r="D1600" i="1" l="1"/>
  <c r="E992" i="1"/>
  <c r="H991" i="1"/>
  <c r="G991" i="1"/>
  <c r="I642" i="1"/>
  <c r="K642" i="1" s="1"/>
  <c r="M642" i="1" s="1"/>
  <c r="F643" i="1"/>
  <c r="J644" i="1" s="1"/>
  <c r="E993" i="1" l="1"/>
  <c r="H992" i="1"/>
  <c r="G992" i="1"/>
  <c r="D1601" i="1"/>
  <c r="I643" i="1"/>
  <c r="K643" i="1" s="1"/>
  <c r="M643" i="1" s="1"/>
  <c r="F644" i="1"/>
  <c r="J645" i="1" s="1"/>
  <c r="D1602" i="1" l="1"/>
  <c r="E994" i="1"/>
  <c r="H993" i="1"/>
  <c r="G993" i="1"/>
  <c r="I644" i="1"/>
  <c r="K644" i="1" s="1"/>
  <c r="M644" i="1" s="1"/>
  <c r="F645" i="1"/>
  <c r="J646" i="1" s="1"/>
  <c r="E995" i="1" l="1"/>
  <c r="H994" i="1"/>
  <c r="G994" i="1"/>
  <c r="D1603" i="1"/>
  <c r="I645" i="1"/>
  <c r="K645" i="1" s="1"/>
  <c r="M645" i="1" s="1"/>
  <c r="F646" i="1"/>
  <c r="J647" i="1" s="1"/>
  <c r="D1604" i="1" l="1"/>
  <c r="E996" i="1"/>
  <c r="H995" i="1"/>
  <c r="G995" i="1"/>
  <c r="I646" i="1"/>
  <c r="K646" i="1" s="1"/>
  <c r="M646" i="1" s="1"/>
  <c r="E997" i="1" l="1"/>
  <c r="H996" i="1"/>
  <c r="G996" i="1"/>
  <c r="D1605" i="1"/>
  <c r="F647" i="1"/>
  <c r="J648" i="1" s="1"/>
  <c r="D1606" i="1" l="1"/>
  <c r="E998" i="1"/>
  <c r="H997" i="1"/>
  <c r="G997" i="1"/>
  <c r="I647" i="1"/>
  <c r="K647" i="1" s="1"/>
  <c r="M647" i="1" s="1"/>
  <c r="F648" i="1"/>
  <c r="J649" i="1" s="1"/>
  <c r="E999" i="1" l="1"/>
  <c r="H998" i="1"/>
  <c r="G998" i="1"/>
  <c r="D1607" i="1"/>
  <c r="I648" i="1"/>
  <c r="K648" i="1" s="1"/>
  <c r="M648" i="1" s="1"/>
  <c r="D1608" i="1" l="1"/>
  <c r="E1000" i="1"/>
  <c r="H999" i="1"/>
  <c r="G999" i="1"/>
  <c r="F649" i="1"/>
  <c r="J650" i="1" s="1"/>
  <c r="E1001" i="1" l="1"/>
  <c r="H1000" i="1"/>
  <c r="G1000" i="1"/>
  <c r="D1609" i="1"/>
  <c r="I649" i="1"/>
  <c r="K649" i="1" s="1"/>
  <c r="M649" i="1" s="1"/>
  <c r="F650" i="1"/>
  <c r="J651" i="1" s="1"/>
  <c r="D1610" i="1" l="1"/>
  <c r="E1002" i="1"/>
  <c r="H1001" i="1"/>
  <c r="G1001" i="1"/>
  <c r="I650" i="1"/>
  <c r="K650" i="1" s="1"/>
  <c r="M650" i="1" s="1"/>
  <c r="F651" i="1"/>
  <c r="J652" i="1" s="1"/>
  <c r="E1003" i="1" l="1"/>
  <c r="H1002" i="1"/>
  <c r="G1002" i="1"/>
  <c r="D1611" i="1"/>
  <c r="I651" i="1"/>
  <c r="K651" i="1" s="1"/>
  <c r="M651" i="1" s="1"/>
  <c r="F652" i="1"/>
  <c r="J653" i="1" s="1"/>
  <c r="D1612" i="1" l="1"/>
  <c r="E1004" i="1"/>
  <c r="H1003" i="1"/>
  <c r="G1003" i="1"/>
  <c r="I652" i="1"/>
  <c r="K652" i="1" s="1"/>
  <c r="M652" i="1" s="1"/>
  <c r="F653" i="1"/>
  <c r="J654" i="1" s="1"/>
  <c r="E1005" i="1" l="1"/>
  <c r="H1004" i="1"/>
  <c r="G1004" i="1"/>
  <c r="D1613" i="1"/>
  <c r="I653" i="1"/>
  <c r="K653" i="1" s="1"/>
  <c r="M653" i="1" s="1"/>
  <c r="F654" i="1"/>
  <c r="J655" i="1" s="1"/>
  <c r="D1614" i="1" l="1"/>
  <c r="E1006" i="1"/>
  <c r="H1005" i="1"/>
  <c r="G1005" i="1"/>
  <c r="I654" i="1"/>
  <c r="K654" i="1" s="1"/>
  <c r="M654" i="1" s="1"/>
  <c r="E1007" i="1" l="1"/>
  <c r="H1006" i="1"/>
  <c r="G1006" i="1"/>
  <c r="D1615" i="1"/>
  <c r="F655" i="1"/>
  <c r="J656" i="1" s="1"/>
  <c r="D1616" i="1" l="1"/>
  <c r="E1008" i="1"/>
  <c r="H1007" i="1"/>
  <c r="G1007" i="1"/>
  <c r="I655" i="1"/>
  <c r="K655" i="1" s="1"/>
  <c r="M655" i="1" s="1"/>
  <c r="F656" i="1"/>
  <c r="J657" i="1" s="1"/>
  <c r="E1009" i="1" l="1"/>
  <c r="H1008" i="1"/>
  <c r="G1008" i="1"/>
  <c r="D1617" i="1"/>
  <c r="I656" i="1"/>
  <c r="K656" i="1" s="1"/>
  <c r="M656" i="1" s="1"/>
  <c r="D1618" i="1" l="1"/>
  <c r="E1010" i="1"/>
  <c r="H1009" i="1"/>
  <c r="G1009" i="1"/>
  <c r="F657" i="1"/>
  <c r="J658" i="1" s="1"/>
  <c r="E1011" i="1" l="1"/>
  <c r="H1010" i="1"/>
  <c r="G1010" i="1"/>
  <c r="D1619" i="1"/>
  <c r="I657" i="1"/>
  <c r="K657" i="1" s="1"/>
  <c r="M657" i="1" s="1"/>
  <c r="F658" i="1"/>
  <c r="J659" i="1" s="1"/>
  <c r="D1620" i="1" l="1"/>
  <c r="E1012" i="1"/>
  <c r="H1011" i="1"/>
  <c r="G1011" i="1"/>
  <c r="I658" i="1"/>
  <c r="K658" i="1" s="1"/>
  <c r="M658" i="1" s="1"/>
  <c r="F659" i="1"/>
  <c r="J660" i="1" s="1"/>
  <c r="E1013" i="1" l="1"/>
  <c r="H1012" i="1"/>
  <c r="G1012" i="1"/>
  <c r="D1621" i="1"/>
  <c r="I659" i="1"/>
  <c r="K659" i="1" s="1"/>
  <c r="M659" i="1" s="1"/>
  <c r="F660" i="1"/>
  <c r="J661" i="1" s="1"/>
  <c r="D1622" i="1" l="1"/>
  <c r="E1014" i="1"/>
  <c r="H1013" i="1"/>
  <c r="G1013" i="1"/>
  <c r="I660" i="1"/>
  <c r="K660" i="1" s="1"/>
  <c r="M660" i="1" s="1"/>
  <c r="E1015" i="1" l="1"/>
  <c r="H1014" i="1"/>
  <c r="G1014" i="1"/>
  <c r="D1623" i="1"/>
  <c r="F661" i="1"/>
  <c r="J662" i="1" s="1"/>
  <c r="D1624" i="1" l="1"/>
  <c r="E1016" i="1"/>
  <c r="H1015" i="1"/>
  <c r="G1015" i="1"/>
  <c r="I661" i="1"/>
  <c r="K661" i="1" s="1"/>
  <c r="M661" i="1" s="1"/>
  <c r="F662" i="1"/>
  <c r="J663" i="1" s="1"/>
  <c r="E1017" i="1" l="1"/>
  <c r="H1016" i="1"/>
  <c r="G1016" i="1"/>
  <c r="D1625" i="1"/>
  <c r="I662" i="1"/>
  <c r="K662" i="1" s="1"/>
  <c r="M662" i="1" s="1"/>
  <c r="D1626" i="1" l="1"/>
  <c r="E1018" i="1"/>
  <c r="H1017" i="1"/>
  <c r="G1017" i="1"/>
  <c r="F663" i="1"/>
  <c r="J664" i="1" s="1"/>
  <c r="E1019" i="1" l="1"/>
  <c r="H1018" i="1"/>
  <c r="G1018" i="1"/>
  <c r="D1627" i="1"/>
  <c r="I663" i="1"/>
  <c r="K663" i="1" s="1"/>
  <c r="M663" i="1" s="1"/>
  <c r="F664" i="1"/>
  <c r="J665" i="1" s="1"/>
  <c r="D1628" i="1" l="1"/>
  <c r="E1020" i="1"/>
  <c r="H1019" i="1"/>
  <c r="G1019" i="1"/>
  <c r="I664" i="1"/>
  <c r="K664" i="1" s="1"/>
  <c r="M664" i="1" s="1"/>
  <c r="F665" i="1"/>
  <c r="J666" i="1" s="1"/>
  <c r="E1021" i="1" l="1"/>
  <c r="H1020" i="1"/>
  <c r="G1020" i="1"/>
  <c r="D1629" i="1"/>
  <c r="I665" i="1"/>
  <c r="K665" i="1" s="1"/>
  <c r="M665" i="1" s="1"/>
  <c r="F666" i="1"/>
  <c r="J667" i="1" s="1"/>
  <c r="D1630" i="1" l="1"/>
  <c r="E1022" i="1"/>
  <c r="H1021" i="1"/>
  <c r="G1021" i="1"/>
  <c r="I666" i="1"/>
  <c r="K666" i="1" s="1"/>
  <c r="M666" i="1" s="1"/>
  <c r="E1023" i="1" l="1"/>
  <c r="H1022" i="1"/>
  <c r="G1022" i="1"/>
  <c r="D1631" i="1"/>
  <c r="F667" i="1"/>
  <c r="J668" i="1" s="1"/>
  <c r="D1632" i="1" l="1"/>
  <c r="E1024" i="1"/>
  <c r="H1023" i="1"/>
  <c r="G1023" i="1"/>
  <c r="I667" i="1"/>
  <c r="K667" i="1" s="1"/>
  <c r="M667" i="1" s="1"/>
  <c r="E1025" i="1" l="1"/>
  <c r="H1024" i="1"/>
  <c r="G1024" i="1"/>
  <c r="D1633" i="1"/>
  <c r="F668" i="1"/>
  <c r="J669" i="1" s="1"/>
  <c r="D1634" i="1" l="1"/>
  <c r="E1026" i="1"/>
  <c r="H1025" i="1"/>
  <c r="G1025" i="1"/>
  <c r="I668" i="1"/>
  <c r="K668" i="1" s="1"/>
  <c r="M668" i="1" s="1"/>
  <c r="E1027" i="1" l="1"/>
  <c r="H1026" i="1"/>
  <c r="G1026" i="1"/>
  <c r="D1635" i="1"/>
  <c r="F669" i="1"/>
  <c r="J670" i="1" s="1"/>
  <c r="D1636" i="1" l="1"/>
  <c r="E1028" i="1"/>
  <c r="H1027" i="1"/>
  <c r="G1027" i="1"/>
  <c r="I669" i="1"/>
  <c r="K669" i="1" s="1"/>
  <c r="M669" i="1" s="1"/>
  <c r="F670" i="1"/>
  <c r="J671" i="1" s="1"/>
  <c r="E1029" i="1" l="1"/>
  <c r="H1028" i="1"/>
  <c r="G1028" i="1"/>
  <c r="D1637" i="1"/>
  <c r="I670" i="1"/>
  <c r="K670" i="1" s="1"/>
  <c r="M670" i="1" s="1"/>
  <c r="F671" i="1"/>
  <c r="J672" i="1" s="1"/>
  <c r="D1638" i="1" l="1"/>
  <c r="E1030" i="1"/>
  <c r="H1029" i="1"/>
  <c r="G1029" i="1"/>
  <c r="I671" i="1"/>
  <c r="K671" i="1" s="1"/>
  <c r="M671" i="1" s="1"/>
  <c r="F672" i="1"/>
  <c r="J673" i="1" s="1"/>
  <c r="E1031" i="1" l="1"/>
  <c r="H1030" i="1"/>
  <c r="G1030" i="1"/>
  <c r="D1639" i="1"/>
  <c r="I672" i="1"/>
  <c r="K672" i="1" s="1"/>
  <c r="M672" i="1" s="1"/>
  <c r="F673" i="1"/>
  <c r="J674" i="1" s="1"/>
  <c r="D1640" i="1" l="1"/>
  <c r="E1032" i="1"/>
  <c r="H1031" i="1"/>
  <c r="G1031" i="1"/>
  <c r="I673" i="1"/>
  <c r="K673" i="1" s="1"/>
  <c r="M673" i="1" s="1"/>
  <c r="E1033" i="1" l="1"/>
  <c r="H1032" i="1"/>
  <c r="G1032" i="1"/>
  <c r="D1641" i="1"/>
  <c r="F674" i="1"/>
  <c r="J675" i="1" s="1"/>
  <c r="D1642" i="1" l="1"/>
  <c r="E1034" i="1"/>
  <c r="H1033" i="1"/>
  <c r="G1033" i="1"/>
  <c r="I674" i="1"/>
  <c r="K674" i="1" s="1"/>
  <c r="M674" i="1" s="1"/>
  <c r="F675" i="1"/>
  <c r="J676" i="1" s="1"/>
  <c r="E1035" i="1" l="1"/>
  <c r="H1034" i="1"/>
  <c r="G1034" i="1"/>
  <c r="D1643" i="1"/>
  <c r="I675" i="1"/>
  <c r="K675" i="1" s="1"/>
  <c r="M675" i="1" s="1"/>
  <c r="F676" i="1"/>
  <c r="J677" i="1" s="1"/>
  <c r="D1644" i="1" l="1"/>
  <c r="E1036" i="1"/>
  <c r="H1035" i="1"/>
  <c r="G1035" i="1"/>
  <c r="I676" i="1"/>
  <c r="K676" i="1" s="1"/>
  <c r="M676" i="1" s="1"/>
  <c r="F677" i="1"/>
  <c r="J678" i="1" s="1"/>
  <c r="E1037" i="1" l="1"/>
  <c r="H1036" i="1"/>
  <c r="G1036" i="1"/>
  <c r="D1645" i="1"/>
  <c r="I677" i="1"/>
  <c r="K677" i="1" s="1"/>
  <c r="M677" i="1" s="1"/>
  <c r="F678" i="1"/>
  <c r="J679" i="1" s="1"/>
  <c r="D1646" i="1" l="1"/>
  <c r="E1038" i="1"/>
  <c r="H1037" i="1"/>
  <c r="G1037" i="1"/>
  <c r="I678" i="1"/>
  <c r="K678" i="1" s="1"/>
  <c r="M678" i="1" s="1"/>
  <c r="F679" i="1"/>
  <c r="J680" i="1" s="1"/>
  <c r="E1039" i="1" l="1"/>
  <c r="H1038" i="1"/>
  <c r="G1038" i="1"/>
  <c r="D1647" i="1"/>
  <c r="I679" i="1"/>
  <c r="K679" i="1" s="1"/>
  <c r="M679" i="1" s="1"/>
  <c r="F680" i="1"/>
  <c r="J681" i="1" s="1"/>
  <c r="D1648" i="1" l="1"/>
  <c r="E1040" i="1"/>
  <c r="H1039" i="1"/>
  <c r="G1039" i="1"/>
  <c r="I680" i="1"/>
  <c r="K680" i="1" s="1"/>
  <c r="M680" i="1" s="1"/>
  <c r="E1041" i="1" l="1"/>
  <c r="H1040" i="1"/>
  <c r="G1040" i="1"/>
  <c r="D1649" i="1"/>
  <c r="F681" i="1"/>
  <c r="J682" i="1" s="1"/>
  <c r="D1650" i="1" l="1"/>
  <c r="E1042" i="1"/>
  <c r="H1041" i="1"/>
  <c r="G1041" i="1"/>
  <c r="I681" i="1"/>
  <c r="K681" i="1" s="1"/>
  <c r="M681" i="1" s="1"/>
  <c r="E1043" i="1" l="1"/>
  <c r="H1042" i="1"/>
  <c r="G1042" i="1"/>
  <c r="D1651" i="1"/>
  <c r="F682" i="1"/>
  <c r="J683" i="1" s="1"/>
  <c r="D1652" i="1" l="1"/>
  <c r="E1044" i="1"/>
  <c r="H1043" i="1"/>
  <c r="G1043" i="1"/>
  <c r="I682" i="1"/>
  <c r="K682" i="1" s="1"/>
  <c r="M682" i="1" s="1"/>
  <c r="E1045" i="1" l="1"/>
  <c r="H1044" i="1"/>
  <c r="G1044" i="1"/>
  <c r="D1653" i="1"/>
  <c r="F683" i="1"/>
  <c r="J684" i="1" s="1"/>
  <c r="D1654" i="1" l="1"/>
  <c r="E1046" i="1"/>
  <c r="H1045" i="1"/>
  <c r="G1045" i="1"/>
  <c r="I683" i="1"/>
  <c r="K683" i="1" s="1"/>
  <c r="M683" i="1" s="1"/>
  <c r="F684" i="1"/>
  <c r="J685" i="1" s="1"/>
  <c r="E1047" i="1" l="1"/>
  <c r="H1046" i="1"/>
  <c r="G1046" i="1"/>
  <c r="D1655" i="1"/>
  <c r="I684" i="1"/>
  <c r="K684" i="1" s="1"/>
  <c r="M684" i="1" s="1"/>
  <c r="F685" i="1"/>
  <c r="J686" i="1" s="1"/>
  <c r="D1656" i="1" l="1"/>
  <c r="E1048" i="1"/>
  <c r="H1047" i="1"/>
  <c r="G1047" i="1"/>
  <c r="I685" i="1"/>
  <c r="K685" i="1" s="1"/>
  <c r="M685" i="1" s="1"/>
  <c r="F686" i="1"/>
  <c r="J687" i="1" s="1"/>
  <c r="E1049" i="1" l="1"/>
  <c r="H1048" i="1"/>
  <c r="G1048" i="1"/>
  <c r="D1657" i="1"/>
  <c r="I686" i="1"/>
  <c r="K686" i="1" s="1"/>
  <c r="M686" i="1" s="1"/>
  <c r="F687" i="1"/>
  <c r="J688" i="1" s="1"/>
  <c r="D1658" i="1" l="1"/>
  <c r="E1050" i="1"/>
  <c r="H1049" i="1"/>
  <c r="G1049" i="1"/>
  <c r="I687" i="1"/>
  <c r="K687" i="1" s="1"/>
  <c r="M687" i="1" s="1"/>
  <c r="F688" i="1"/>
  <c r="J689" i="1" s="1"/>
  <c r="E1051" i="1" l="1"/>
  <c r="H1050" i="1"/>
  <c r="G1050" i="1"/>
  <c r="D1659" i="1"/>
  <c r="I688" i="1"/>
  <c r="K688" i="1" s="1"/>
  <c r="M688" i="1" s="1"/>
  <c r="F689" i="1"/>
  <c r="J690" i="1" s="1"/>
  <c r="D1660" i="1" l="1"/>
  <c r="E1052" i="1"/>
  <c r="H1051" i="1"/>
  <c r="G1051" i="1"/>
  <c r="I689" i="1"/>
  <c r="K689" i="1" s="1"/>
  <c r="M689" i="1" s="1"/>
  <c r="F690" i="1"/>
  <c r="J691" i="1" s="1"/>
  <c r="E1053" i="1" l="1"/>
  <c r="H1052" i="1"/>
  <c r="G1052" i="1"/>
  <c r="D1661" i="1"/>
  <c r="I690" i="1"/>
  <c r="K690" i="1" s="1"/>
  <c r="M690" i="1" s="1"/>
  <c r="F691" i="1"/>
  <c r="J692" i="1" s="1"/>
  <c r="D1662" i="1" l="1"/>
  <c r="E1054" i="1"/>
  <c r="H1053" i="1"/>
  <c r="G1053" i="1"/>
  <c r="I691" i="1"/>
  <c r="K691" i="1" s="1"/>
  <c r="M691" i="1" s="1"/>
  <c r="F692" i="1"/>
  <c r="J693" i="1" s="1"/>
  <c r="E1055" i="1" l="1"/>
  <c r="H1054" i="1"/>
  <c r="G1054" i="1"/>
  <c r="D1663" i="1"/>
  <c r="I692" i="1"/>
  <c r="K692" i="1" s="1"/>
  <c r="M692" i="1" s="1"/>
  <c r="D1664" i="1" l="1"/>
  <c r="E1056" i="1"/>
  <c r="H1055" i="1"/>
  <c r="G1055" i="1"/>
  <c r="F693" i="1"/>
  <c r="J694" i="1" s="1"/>
  <c r="E1057" i="1" l="1"/>
  <c r="H1056" i="1"/>
  <c r="G1056" i="1"/>
  <c r="D1665" i="1"/>
  <c r="I693" i="1"/>
  <c r="K693" i="1" s="1"/>
  <c r="M693" i="1" s="1"/>
  <c r="F694" i="1"/>
  <c r="J695" i="1" s="1"/>
  <c r="D1666" i="1" l="1"/>
  <c r="E1058" i="1"/>
  <c r="H1057" i="1"/>
  <c r="G1057" i="1"/>
  <c r="I694" i="1"/>
  <c r="K694" i="1" s="1"/>
  <c r="M694" i="1" s="1"/>
  <c r="F695" i="1"/>
  <c r="J696" i="1" s="1"/>
  <c r="E1059" i="1" l="1"/>
  <c r="H1058" i="1"/>
  <c r="G1058" i="1"/>
  <c r="D1667" i="1"/>
  <c r="I695" i="1"/>
  <c r="K695" i="1" s="1"/>
  <c r="M695" i="1" s="1"/>
  <c r="F696" i="1"/>
  <c r="J697" i="1" s="1"/>
  <c r="D1668" i="1" l="1"/>
  <c r="E1060" i="1"/>
  <c r="H1059" i="1"/>
  <c r="G1059" i="1"/>
  <c r="I696" i="1"/>
  <c r="K696" i="1" s="1"/>
  <c r="M696" i="1" s="1"/>
  <c r="F697" i="1"/>
  <c r="J698" i="1" s="1"/>
  <c r="E1061" i="1" l="1"/>
  <c r="H1060" i="1"/>
  <c r="G1060" i="1"/>
  <c r="D1669" i="1"/>
  <c r="I697" i="1"/>
  <c r="K697" i="1" s="1"/>
  <c r="M697" i="1" s="1"/>
  <c r="F698" i="1"/>
  <c r="J699" i="1" s="1"/>
  <c r="D1670" i="1" l="1"/>
  <c r="E1062" i="1"/>
  <c r="H1061" i="1"/>
  <c r="G1061" i="1"/>
  <c r="I698" i="1"/>
  <c r="K698" i="1" s="1"/>
  <c r="M698" i="1" s="1"/>
  <c r="E1063" i="1" l="1"/>
  <c r="H1062" i="1"/>
  <c r="G1062" i="1"/>
  <c r="D1671" i="1"/>
  <c r="F699" i="1"/>
  <c r="J700" i="1" s="1"/>
  <c r="D1672" i="1" l="1"/>
  <c r="E1064" i="1"/>
  <c r="H1063" i="1"/>
  <c r="G1063" i="1"/>
  <c r="I699" i="1"/>
  <c r="K699" i="1" s="1"/>
  <c r="M699" i="1" s="1"/>
  <c r="F700" i="1"/>
  <c r="J701" i="1" s="1"/>
  <c r="E1065" i="1" l="1"/>
  <c r="H1064" i="1"/>
  <c r="G1064" i="1"/>
  <c r="D1673" i="1"/>
  <c r="I700" i="1"/>
  <c r="K700" i="1" s="1"/>
  <c r="M700" i="1" s="1"/>
  <c r="F701" i="1"/>
  <c r="J702" i="1" s="1"/>
  <c r="D1674" i="1" l="1"/>
  <c r="E1066" i="1"/>
  <c r="H1065" i="1"/>
  <c r="G1065" i="1"/>
  <c r="I701" i="1"/>
  <c r="K701" i="1" s="1"/>
  <c r="M701" i="1" s="1"/>
  <c r="F702" i="1"/>
  <c r="J703" i="1" s="1"/>
  <c r="E1067" i="1" l="1"/>
  <c r="H1066" i="1"/>
  <c r="G1066" i="1"/>
  <c r="D1675" i="1"/>
  <c r="I702" i="1"/>
  <c r="K702" i="1" s="1"/>
  <c r="M702" i="1" s="1"/>
  <c r="D1676" i="1" l="1"/>
  <c r="E1068" i="1"/>
  <c r="H1067" i="1"/>
  <c r="G1067" i="1"/>
  <c r="F703" i="1"/>
  <c r="J704" i="1" s="1"/>
  <c r="E1069" i="1" l="1"/>
  <c r="H1068" i="1"/>
  <c r="G1068" i="1"/>
  <c r="D1677" i="1"/>
  <c r="I703" i="1"/>
  <c r="K703" i="1" s="1"/>
  <c r="M703" i="1" s="1"/>
  <c r="F704" i="1"/>
  <c r="J705" i="1" s="1"/>
  <c r="D1678" i="1" l="1"/>
  <c r="E1070" i="1"/>
  <c r="H1069" i="1"/>
  <c r="G1069" i="1"/>
  <c r="I704" i="1"/>
  <c r="K704" i="1" s="1"/>
  <c r="M704" i="1" s="1"/>
  <c r="E1071" i="1" l="1"/>
  <c r="H1070" i="1"/>
  <c r="G1070" i="1"/>
  <c r="D1679" i="1"/>
  <c r="F705" i="1"/>
  <c r="J706" i="1" s="1"/>
  <c r="D1680" i="1" l="1"/>
  <c r="E1072" i="1"/>
  <c r="H1071" i="1"/>
  <c r="G1071" i="1"/>
  <c r="I705" i="1"/>
  <c r="K705" i="1" s="1"/>
  <c r="M705" i="1" s="1"/>
  <c r="F706" i="1"/>
  <c r="J707" i="1" s="1"/>
  <c r="E1073" i="1" l="1"/>
  <c r="H1072" i="1"/>
  <c r="G1072" i="1"/>
  <c r="D1681" i="1"/>
  <c r="I706" i="1"/>
  <c r="K706" i="1" s="1"/>
  <c r="M706" i="1" s="1"/>
  <c r="F707" i="1"/>
  <c r="J708" i="1" s="1"/>
  <c r="D1682" i="1" l="1"/>
  <c r="E1074" i="1"/>
  <c r="H1073" i="1"/>
  <c r="G1073" i="1"/>
  <c r="I707" i="1"/>
  <c r="K707" i="1" s="1"/>
  <c r="M707" i="1" s="1"/>
  <c r="F708" i="1"/>
  <c r="J709" i="1" s="1"/>
  <c r="E1075" i="1" l="1"/>
  <c r="H1074" i="1"/>
  <c r="G1074" i="1"/>
  <c r="D1683" i="1"/>
  <c r="I708" i="1"/>
  <c r="K708" i="1" s="1"/>
  <c r="M708" i="1" s="1"/>
  <c r="D1684" i="1" l="1"/>
  <c r="E1076" i="1"/>
  <c r="H1075" i="1"/>
  <c r="G1075" i="1"/>
  <c r="F709" i="1"/>
  <c r="J710" i="1" s="1"/>
  <c r="E1077" i="1" l="1"/>
  <c r="H1076" i="1"/>
  <c r="G1076" i="1"/>
  <c r="D1685" i="1"/>
  <c r="I709" i="1"/>
  <c r="K709" i="1" s="1"/>
  <c r="M709" i="1" s="1"/>
  <c r="D1686" i="1" l="1"/>
  <c r="E1078" i="1"/>
  <c r="H1077" i="1"/>
  <c r="G1077" i="1"/>
  <c r="F710" i="1"/>
  <c r="J711" i="1" s="1"/>
  <c r="E1079" i="1" l="1"/>
  <c r="H1078" i="1"/>
  <c r="G1078" i="1"/>
  <c r="D1687" i="1"/>
  <c r="I710" i="1"/>
  <c r="K710" i="1" s="1"/>
  <c r="M710" i="1" s="1"/>
  <c r="F711" i="1"/>
  <c r="J712" i="1" s="1"/>
  <c r="D1688" i="1" l="1"/>
  <c r="E1080" i="1"/>
  <c r="H1079" i="1"/>
  <c r="G1079" i="1"/>
  <c r="I711" i="1"/>
  <c r="K711" i="1" s="1"/>
  <c r="M711" i="1" s="1"/>
  <c r="F712" i="1"/>
  <c r="J713" i="1" s="1"/>
  <c r="E1081" i="1" l="1"/>
  <c r="H1080" i="1"/>
  <c r="G1080" i="1"/>
  <c r="D1689" i="1"/>
  <c r="I712" i="1"/>
  <c r="K712" i="1" s="1"/>
  <c r="M712" i="1" s="1"/>
  <c r="D1690" i="1" l="1"/>
  <c r="E1082" i="1"/>
  <c r="H1081" i="1"/>
  <c r="G1081" i="1"/>
  <c r="F713" i="1"/>
  <c r="J714" i="1" s="1"/>
  <c r="E1083" i="1" l="1"/>
  <c r="H1082" i="1"/>
  <c r="G1082" i="1"/>
  <c r="D1691" i="1"/>
  <c r="I713" i="1"/>
  <c r="K713" i="1" s="1"/>
  <c r="M713" i="1" s="1"/>
  <c r="F714" i="1"/>
  <c r="J715" i="1" s="1"/>
  <c r="D1692" i="1" l="1"/>
  <c r="E1084" i="1"/>
  <c r="H1083" i="1"/>
  <c r="G1083" i="1"/>
  <c r="I714" i="1"/>
  <c r="K714" i="1" s="1"/>
  <c r="M714" i="1" s="1"/>
  <c r="F715" i="1"/>
  <c r="J716" i="1" s="1"/>
  <c r="E1085" i="1" l="1"/>
  <c r="H1084" i="1"/>
  <c r="G1084" i="1"/>
  <c r="D1693" i="1"/>
  <c r="I715" i="1"/>
  <c r="K715" i="1" s="1"/>
  <c r="M715" i="1" s="1"/>
  <c r="F716" i="1"/>
  <c r="J717" i="1" s="1"/>
  <c r="D1694" i="1" l="1"/>
  <c r="E1086" i="1"/>
  <c r="H1085" i="1"/>
  <c r="G1085" i="1"/>
  <c r="I716" i="1"/>
  <c r="K716" i="1" s="1"/>
  <c r="M716" i="1" s="1"/>
  <c r="F717" i="1"/>
  <c r="J718" i="1" s="1"/>
  <c r="E1087" i="1" l="1"/>
  <c r="H1086" i="1"/>
  <c r="G1086" i="1"/>
  <c r="D1695" i="1"/>
  <c r="I717" i="1"/>
  <c r="K717" i="1" s="1"/>
  <c r="M717" i="1" s="1"/>
  <c r="D1696" i="1" l="1"/>
  <c r="E1088" i="1"/>
  <c r="H1087" i="1"/>
  <c r="G1087" i="1"/>
  <c r="F718" i="1"/>
  <c r="J719" i="1" s="1"/>
  <c r="E1089" i="1" l="1"/>
  <c r="H1088" i="1"/>
  <c r="G1088" i="1"/>
  <c r="D1697" i="1"/>
  <c r="I718" i="1"/>
  <c r="K718" i="1" s="1"/>
  <c r="M718" i="1" s="1"/>
  <c r="D1698" i="1" l="1"/>
  <c r="E1090" i="1"/>
  <c r="H1089" i="1"/>
  <c r="G1089" i="1"/>
  <c r="F719" i="1"/>
  <c r="J720" i="1" s="1"/>
  <c r="E1091" i="1" l="1"/>
  <c r="H1090" i="1"/>
  <c r="G1090" i="1"/>
  <c r="D1699" i="1"/>
  <c r="I719" i="1"/>
  <c r="K719" i="1" s="1"/>
  <c r="M719" i="1" s="1"/>
  <c r="F720" i="1"/>
  <c r="J721" i="1" s="1"/>
  <c r="D1700" i="1" l="1"/>
  <c r="E1092" i="1"/>
  <c r="H1091" i="1"/>
  <c r="G1091" i="1"/>
  <c r="I720" i="1"/>
  <c r="K720" i="1" s="1"/>
  <c r="M720" i="1" s="1"/>
  <c r="E1093" i="1" l="1"/>
  <c r="H1092" i="1"/>
  <c r="G1092" i="1"/>
  <c r="D1701" i="1"/>
  <c r="F721" i="1"/>
  <c r="J722" i="1" s="1"/>
  <c r="D1702" i="1" l="1"/>
  <c r="E1094" i="1"/>
  <c r="H1093" i="1"/>
  <c r="G1093" i="1"/>
  <c r="I721" i="1"/>
  <c r="K721" i="1" s="1"/>
  <c r="M721" i="1" s="1"/>
  <c r="E1095" i="1" l="1"/>
  <c r="H1094" i="1"/>
  <c r="G1094" i="1"/>
  <c r="D1703" i="1"/>
  <c r="F722" i="1"/>
  <c r="J723" i="1" s="1"/>
  <c r="D1704" i="1" l="1"/>
  <c r="E1096" i="1"/>
  <c r="H1095" i="1"/>
  <c r="G1095" i="1"/>
  <c r="I722" i="1"/>
  <c r="K722" i="1" s="1"/>
  <c r="M722" i="1" s="1"/>
  <c r="F723" i="1"/>
  <c r="J724" i="1" s="1"/>
  <c r="E1097" i="1" l="1"/>
  <c r="H1096" i="1"/>
  <c r="G1096" i="1"/>
  <c r="D1705" i="1"/>
  <c r="I723" i="1"/>
  <c r="K723" i="1" s="1"/>
  <c r="M723" i="1" s="1"/>
  <c r="F724" i="1"/>
  <c r="J725" i="1" s="1"/>
  <c r="D1706" i="1" l="1"/>
  <c r="E1098" i="1"/>
  <c r="H1097" i="1"/>
  <c r="G1097" i="1"/>
  <c r="I724" i="1"/>
  <c r="K724" i="1" s="1"/>
  <c r="M724" i="1" s="1"/>
  <c r="F725" i="1"/>
  <c r="J726" i="1" s="1"/>
  <c r="E1099" i="1" l="1"/>
  <c r="H1098" i="1"/>
  <c r="G1098" i="1"/>
  <c r="D1707" i="1"/>
  <c r="I725" i="1"/>
  <c r="K725" i="1" s="1"/>
  <c r="M725" i="1" s="1"/>
  <c r="F726" i="1"/>
  <c r="J727" i="1" s="1"/>
  <c r="D1708" i="1" l="1"/>
  <c r="E1100" i="1"/>
  <c r="H1099" i="1"/>
  <c r="G1099" i="1"/>
  <c r="I726" i="1"/>
  <c r="K726" i="1" s="1"/>
  <c r="M726" i="1" s="1"/>
  <c r="E1101" i="1" l="1"/>
  <c r="H1100" i="1"/>
  <c r="G1100" i="1"/>
  <c r="D1709" i="1"/>
  <c r="F727" i="1"/>
  <c r="J728" i="1" s="1"/>
  <c r="D1710" i="1" l="1"/>
  <c r="E1102" i="1"/>
  <c r="H1101" i="1"/>
  <c r="G1101" i="1"/>
  <c r="I727" i="1"/>
  <c r="K727" i="1" s="1"/>
  <c r="M727" i="1" s="1"/>
  <c r="F728" i="1"/>
  <c r="J729" i="1" s="1"/>
  <c r="E1103" i="1" l="1"/>
  <c r="H1102" i="1"/>
  <c r="G1102" i="1"/>
  <c r="D1711" i="1"/>
  <c r="I728" i="1"/>
  <c r="K728" i="1" s="1"/>
  <c r="M728" i="1" s="1"/>
  <c r="D1712" i="1" l="1"/>
  <c r="E1104" i="1"/>
  <c r="H1103" i="1"/>
  <c r="G1103" i="1"/>
  <c r="F729" i="1"/>
  <c r="J730" i="1" s="1"/>
  <c r="E1105" i="1" l="1"/>
  <c r="H1104" i="1"/>
  <c r="G1104" i="1"/>
  <c r="D1713" i="1"/>
  <c r="I729" i="1"/>
  <c r="K729" i="1" s="1"/>
  <c r="M729" i="1" s="1"/>
  <c r="F730" i="1"/>
  <c r="J731" i="1" s="1"/>
  <c r="D1714" i="1" l="1"/>
  <c r="E1106" i="1"/>
  <c r="H1105" i="1"/>
  <c r="G1105" i="1"/>
  <c r="I730" i="1"/>
  <c r="K730" i="1" s="1"/>
  <c r="M730" i="1" s="1"/>
  <c r="F731" i="1"/>
  <c r="J732" i="1" s="1"/>
  <c r="E1107" i="1" l="1"/>
  <c r="H1106" i="1"/>
  <c r="G1106" i="1"/>
  <c r="D1715" i="1"/>
  <c r="I731" i="1"/>
  <c r="K731" i="1" s="1"/>
  <c r="M731" i="1" s="1"/>
  <c r="F732" i="1"/>
  <c r="J733" i="1" s="1"/>
  <c r="D1716" i="1" l="1"/>
  <c r="E1108" i="1"/>
  <c r="H1107" i="1"/>
  <c r="G1107" i="1"/>
  <c r="I732" i="1"/>
  <c r="K732" i="1" s="1"/>
  <c r="M732" i="1" s="1"/>
  <c r="F733" i="1"/>
  <c r="J734" i="1" s="1"/>
  <c r="E1109" i="1" l="1"/>
  <c r="H1108" i="1"/>
  <c r="G1108" i="1"/>
  <c r="D1717" i="1"/>
  <c r="I733" i="1"/>
  <c r="K733" i="1" s="1"/>
  <c r="M733" i="1" s="1"/>
  <c r="F734" i="1"/>
  <c r="J735" i="1" s="1"/>
  <c r="D1718" i="1" l="1"/>
  <c r="E1110" i="1"/>
  <c r="H1109" i="1"/>
  <c r="G1109" i="1"/>
  <c r="I734" i="1"/>
  <c r="K734" i="1" s="1"/>
  <c r="M734" i="1" s="1"/>
  <c r="F735" i="1"/>
  <c r="J736" i="1" s="1"/>
  <c r="E1111" i="1" l="1"/>
  <c r="H1110" i="1"/>
  <c r="G1110" i="1"/>
  <c r="D1719" i="1"/>
  <c r="I735" i="1"/>
  <c r="K735" i="1" s="1"/>
  <c r="M735" i="1" s="1"/>
  <c r="F736" i="1"/>
  <c r="J737" i="1" s="1"/>
  <c r="D1720" i="1" l="1"/>
  <c r="E1112" i="1"/>
  <c r="H1111" i="1"/>
  <c r="G1111" i="1"/>
  <c r="I736" i="1"/>
  <c r="K736" i="1" s="1"/>
  <c r="M736" i="1" s="1"/>
  <c r="F737" i="1"/>
  <c r="J738" i="1" s="1"/>
  <c r="E1113" i="1" l="1"/>
  <c r="H1112" i="1"/>
  <c r="G1112" i="1"/>
  <c r="D1721" i="1"/>
  <c r="I737" i="1"/>
  <c r="K737" i="1" s="1"/>
  <c r="M737" i="1" s="1"/>
  <c r="D1722" i="1" l="1"/>
  <c r="E1114" i="1"/>
  <c r="H1113" i="1"/>
  <c r="G1113" i="1"/>
  <c r="F738" i="1"/>
  <c r="J739" i="1" s="1"/>
  <c r="E1115" i="1" l="1"/>
  <c r="H1114" i="1"/>
  <c r="G1114" i="1"/>
  <c r="D1723" i="1"/>
  <c r="I738" i="1"/>
  <c r="K738" i="1" s="1"/>
  <c r="M738" i="1" s="1"/>
  <c r="D1724" i="1" l="1"/>
  <c r="E1116" i="1"/>
  <c r="H1115" i="1"/>
  <c r="G1115" i="1"/>
  <c r="F739" i="1"/>
  <c r="J740" i="1" s="1"/>
  <c r="E1117" i="1" l="1"/>
  <c r="H1116" i="1"/>
  <c r="G1116" i="1"/>
  <c r="D1725" i="1"/>
  <c r="I739" i="1"/>
  <c r="K739" i="1" s="1"/>
  <c r="M739" i="1" s="1"/>
  <c r="F740" i="1"/>
  <c r="J741" i="1" s="1"/>
  <c r="D1726" i="1" l="1"/>
  <c r="E1118" i="1"/>
  <c r="H1117" i="1"/>
  <c r="G1117" i="1"/>
  <c r="I740" i="1"/>
  <c r="K740" i="1" s="1"/>
  <c r="M740" i="1" s="1"/>
  <c r="F741" i="1"/>
  <c r="J742" i="1" s="1"/>
  <c r="E1119" i="1" l="1"/>
  <c r="H1118" i="1"/>
  <c r="G1118" i="1"/>
  <c r="D1727" i="1"/>
  <c r="I741" i="1"/>
  <c r="K741" i="1" s="1"/>
  <c r="M741" i="1" s="1"/>
  <c r="F742" i="1"/>
  <c r="J743" i="1" s="1"/>
  <c r="D1728" i="1" l="1"/>
  <c r="E1120" i="1"/>
  <c r="H1119" i="1"/>
  <c r="G1119" i="1"/>
  <c r="I742" i="1"/>
  <c r="K742" i="1" s="1"/>
  <c r="M742" i="1" s="1"/>
  <c r="F743" i="1"/>
  <c r="J744" i="1" s="1"/>
  <c r="E1121" i="1" l="1"/>
  <c r="H1120" i="1"/>
  <c r="G1120" i="1"/>
  <c r="D1729" i="1"/>
  <c r="I743" i="1"/>
  <c r="K743" i="1" s="1"/>
  <c r="M743" i="1" s="1"/>
  <c r="F744" i="1"/>
  <c r="J745" i="1" s="1"/>
  <c r="D1730" i="1" l="1"/>
  <c r="E1122" i="1"/>
  <c r="H1121" i="1"/>
  <c r="G1121" i="1"/>
  <c r="I744" i="1"/>
  <c r="K744" i="1" s="1"/>
  <c r="M744" i="1" s="1"/>
  <c r="F745" i="1"/>
  <c r="J746" i="1" s="1"/>
  <c r="E1123" i="1" l="1"/>
  <c r="H1122" i="1"/>
  <c r="G1122" i="1"/>
  <c r="D1731" i="1"/>
  <c r="I745" i="1"/>
  <c r="K745" i="1" s="1"/>
  <c r="M745" i="1" s="1"/>
  <c r="D1732" i="1" l="1"/>
  <c r="E1124" i="1"/>
  <c r="H1123" i="1"/>
  <c r="G1123" i="1"/>
  <c r="F746" i="1"/>
  <c r="J747" i="1" s="1"/>
  <c r="E1125" i="1" l="1"/>
  <c r="H1124" i="1"/>
  <c r="G1124" i="1"/>
  <c r="D1733" i="1"/>
  <c r="I746" i="1"/>
  <c r="K746" i="1" s="1"/>
  <c r="M746" i="1" s="1"/>
  <c r="F747" i="1"/>
  <c r="J748" i="1" s="1"/>
  <c r="D1734" i="1" l="1"/>
  <c r="E1126" i="1"/>
  <c r="H1125" i="1"/>
  <c r="G1125" i="1"/>
  <c r="I747" i="1"/>
  <c r="K747" i="1" s="1"/>
  <c r="M747" i="1" s="1"/>
  <c r="F748" i="1"/>
  <c r="J749" i="1" s="1"/>
  <c r="E1127" i="1" l="1"/>
  <c r="H1126" i="1"/>
  <c r="G1126" i="1"/>
  <c r="D1735" i="1"/>
  <c r="I748" i="1"/>
  <c r="K748" i="1" s="1"/>
  <c r="M748" i="1" s="1"/>
  <c r="D1736" i="1" l="1"/>
  <c r="E1128" i="1"/>
  <c r="H1127" i="1"/>
  <c r="G1127" i="1"/>
  <c r="F749" i="1"/>
  <c r="J750" i="1" s="1"/>
  <c r="E1129" i="1" l="1"/>
  <c r="H1128" i="1"/>
  <c r="G1128" i="1"/>
  <c r="D1737" i="1"/>
  <c r="I749" i="1"/>
  <c r="K749" i="1" s="1"/>
  <c r="M749" i="1" s="1"/>
  <c r="F750" i="1"/>
  <c r="J751" i="1" s="1"/>
  <c r="D1738" i="1" l="1"/>
  <c r="E1130" i="1"/>
  <c r="H1129" i="1"/>
  <c r="G1129" i="1"/>
  <c r="I750" i="1"/>
  <c r="K750" i="1" s="1"/>
  <c r="M750" i="1" s="1"/>
  <c r="F751" i="1"/>
  <c r="J752" i="1" s="1"/>
  <c r="E1131" i="1" l="1"/>
  <c r="H1130" i="1"/>
  <c r="G1130" i="1"/>
  <c r="D1739" i="1"/>
  <c r="I751" i="1"/>
  <c r="K751" i="1" s="1"/>
  <c r="M751" i="1" s="1"/>
  <c r="F752" i="1"/>
  <c r="J753" i="1" s="1"/>
  <c r="D1740" i="1" l="1"/>
  <c r="E1132" i="1"/>
  <c r="H1131" i="1"/>
  <c r="G1131" i="1"/>
  <c r="I752" i="1"/>
  <c r="K752" i="1" s="1"/>
  <c r="M752" i="1" s="1"/>
  <c r="F753" i="1"/>
  <c r="J754" i="1" s="1"/>
  <c r="E1133" i="1" l="1"/>
  <c r="H1132" i="1"/>
  <c r="G1132" i="1"/>
  <c r="D1741" i="1"/>
  <c r="I753" i="1"/>
  <c r="K753" i="1" s="1"/>
  <c r="M753" i="1" s="1"/>
  <c r="F754" i="1"/>
  <c r="J755" i="1" s="1"/>
  <c r="D1742" i="1" l="1"/>
  <c r="E1134" i="1"/>
  <c r="H1133" i="1"/>
  <c r="G1133" i="1"/>
  <c r="I754" i="1"/>
  <c r="K754" i="1" s="1"/>
  <c r="M754" i="1" s="1"/>
  <c r="F755" i="1"/>
  <c r="J756" i="1" s="1"/>
  <c r="E1135" i="1" l="1"/>
  <c r="H1134" i="1"/>
  <c r="G1134" i="1"/>
  <c r="D1743" i="1"/>
  <c r="I755" i="1"/>
  <c r="K755" i="1" s="1"/>
  <c r="M755" i="1" s="1"/>
  <c r="F756" i="1"/>
  <c r="J757" i="1" s="1"/>
  <c r="D1744" i="1" l="1"/>
  <c r="E1136" i="1"/>
  <c r="H1135" i="1"/>
  <c r="G1135" i="1"/>
  <c r="I756" i="1"/>
  <c r="K756" i="1" s="1"/>
  <c r="M756" i="1" s="1"/>
  <c r="E1137" i="1" l="1"/>
  <c r="H1136" i="1"/>
  <c r="G1136" i="1"/>
  <c r="D1745" i="1"/>
  <c r="F757" i="1"/>
  <c r="J758" i="1" s="1"/>
  <c r="D1746" i="1" l="1"/>
  <c r="E1138" i="1"/>
  <c r="H1137" i="1"/>
  <c r="G1137" i="1"/>
  <c r="I757" i="1"/>
  <c r="K757" i="1" s="1"/>
  <c r="M757" i="1" s="1"/>
  <c r="E1139" i="1" l="1"/>
  <c r="H1138" i="1"/>
  <c r="G1138" i="1"/>
  <c r="D1747" i="1"/>
  <c r="F758" i="1"/>
  <c r="J759" i="1" s="1"/>
  <c r="D1748" i="1" l="1"/>
  <c r="E1140" i="1"/>
  <c r="H1139" i="1"/>
  <c r="G1139" i="1"/>
  <c r="I758" i="1"/>
  <c r="K758" i="1" s="1"/>
  <c r="M758" i="1" s="1"/>
  <c r="F759" i="1"/>
  <c r="J760" i="1" s="1"/>
  <c r="E1141" i="1" l="1"/>
  <c r="H1140" i="1"/>
  <c r="G1140" i="1"/>
  <c r="D1749" i="1"/>
  <c r="I759" i="1"/>
  <c r="K759" i="1" s="1"/>
  <c r="M759" i="1" s="1"/>
  <c r="F760" i="1"/>
  <c r="J761" i="1" s="1"/>
  <c r="D1750" i="1" l="1"/>
  <c r="E1142" i="1"/>
  <c r="H1141" i="1"/>
  <c r="G1141" i="1"/>
  <c r="I760" i="1"/>
  <c r="K760" i="1" s="1"/>
  <c r="M760" i="1" s="1"/>
  <c r="E1143" i="1" l="1"/>
  <c r="H1142" i="1"/>
  <c r="G1142" i="1"/>
  <c r="D1751" i="1"/>
  <c r="F761" i="1"/>
  <c r="J762" i="1" s="1"/>
  <c r="D1752" i="1" l="1"/>
  <c r="E1144" i="1"/>
  <c r="H1143" i="1"/>
  <c r="G1143" i="1"/>
  <c r="I761" i="1"/>
  <c r="K761" i="1" s="1"/>
  <c r="M761" i="1" s="1"/>
  <c r="F762" i="1"/>
  <c r="J763" i="1" s="1"/>
  <c r="E1145" i="1" l="1"/>
  <c r="H1144" i="1"/>
  <c r="G1144" i="1"/>
  <c r="D1753" i="1"/>
  <c r="I762" i="1"/>
  <c r="K762" i="1" s="1"/>
  <c r="M762" i="1" s="1"/>
  <c r="D1754" i="1" l="1"/>
  <c r="E1146" i="1"/>
  <c r="H1145" i="1"/>
  <c r="G1145" i="1"/>
  <c r="F763" i="1"/>
  <c r="J764" i="1" s="1"/>
  <c r="E1147" i="1" l="1"/>
  <c r="H1146" i="1"/>
  <c r="G1146" i="1"/>
  <c r="D1755" i="1"/>
  <c r="I763" i="1"/>
  <c r="K763" i="1" s="1"/>
  <c r="M763" i="1" s="1"/>
  <c r="F764" i="1"/>
  <c r="J765" i="1" s="1"/>
  <c r="D1756" i="1" l="1"/>
  <c r="E1148" i="1"/>
  <c r="H1147" i="1"/>
  <c r="G1147" i="1"/>
  <c r="I764" i="1"/>
  <c r="K764" i="1" s="1"/>
  <c r="M764" i="1" s="1"/>
  <c r="F765" i="1"/>
  <c r="J766" i="1" s="1"/>
  <c r="E1149" i="1" l="1"/>
  <c r="H1148" i="1"/>
  <c r="G1148" i="1"/>
  <c r="D1757" i="1"/>
  <c r="I765" i="1"/>
  <c r="K765" i="1" s="1"/>
  <c r="M765" i="1" s="1"/>
  <c r="F766" i="1"/>
  <c r="J767" i="1" s="1"/>
  <c r="D1758" i="1" l="1"/>
  <c r="E1150" i="1"/>
  <c r="H1149" i="1"/>
  <c r="G1149" i="1"/>
  <c r="I766" i="1"/>
  <c r="K766" i="1" s="1"/>
  <c r="M766" i="1" s="1"/>
  <c r="F767" i="1"/>
  <c r="J768" i="1" s="1"/>
  <c r="E1151" i="1" l="1"/>
  <c r="H1150" i="1"/>
  <c r="G1150" i="1"/>
  <c r="D1759" i="1"/>
  <c r="I767" i="1"/>
  <c r="K767" i="1" s="1"/>
  <c r="M767" i="1" s="1"/>
  <c r="D1760" i="1" l="1"/>
  <c r="E1152" i="1"/>
  <c r="H1151" i="1"/>
  <c r="G1151" i="1"/>
  <c r="F768" i="1"/>
  <c r="J769" i="1" s="1"/>
  <c r="E1153" i="1" l="1"/>
  <c r="H1152" i="1"/>
  <c r="G1152" i="1"/>
  <c r="D1761" i="1"/>
  <c r="I768" i="1"/>
  <c r="K768" i="1" s="1"/>
  <c r="M768" i="1" s="1"/>
  <c r="F769" i="1"/>
  <c r="J770" i="1" s="1"/>
  <c r="D1762" i="1" l="1"/>
  <c r="E1154" i="1"/>
  <c r="H1153" i="1"/>
  <c r="G1153" i="1"/>
  <c r="I769" i="1"/>
  <c r="K769" i="1" s="1"/>
  <c r="M769" i="1" s="1"/>
  <c r="E1155" i="1" l="1"/>
  <c r="H1154" i="1"/>
  <c r="G1154" i="1"/>
  <c r="D1763" i="1"/>
  <c r="F770" i="1"/>
  <c r="J771" i="1" s="1"/>
  <c r="D1764" i="1" l="1"/>
  <c r="E1156" i="1"/>
  <c r="H1155" i="1"/>
  <c r="G1155" i="1"/>
  <c r="I770" i="1"/>
  <c r="K770" i="1" s="1"/>
  <c r="M770" i="1" s="1"/>
  <c r="F771" i="1"/>
  <c r="J772" i="1" s="1"/>
  <c r="E1157" i="1" l="1"/>
  <c r="H1156" i="1"/>
  <c r="G1156" i="1"/>
  <c r="D1765" i="1"/>
  <c r="I771" i="1"/>
  <c r="K771" i="1" s="1"/>
  <c r="M771" i="1" s="1"/>
  <c r="D1766" i="1" l="1"/>
  <c r="E1158" i="1"/>
  <c r="H1157" i="1"/>
  <c r="G1157" i="1"/>
  <c r="F772" i="1"/>
  <c r="J773" i="1" s="1"/>
  <c r="E1159" i="1" l="1"/>
  <c r="H1158" i="1"/>
  <c r="G1158" i="1"/>
  <c r="D1767" i="1"/>
  <c r="I772" i="1"/>
  <c r="K772" i="1" s="1"/>
  <c r="M772" i="1" s="1"/>
  <c r="F773" i="1"/>
  <c r="J774" i="1" s="1"/>
  <c r="D1768" i="1" l="1"/>
  <c r="E1160" i="1"/>
  <c r="H1159" i="1"/>
  <c r="G1159" i="1"/>
  <c r="I773" i="1"/>
  <c r="K773" i="1" s="1"/>
  <c r="M773" i="1" s="1"/>
  <c r="E1161" i="1" l="1"/>
  <c r="H1160" i="1"/>
  <c r="G1160" i="1"/>
  <c r="D1769" i="1"/>
  <c r="F774" i="1"/>
  <c r="J775" i="1" s="1"/>
  <c r="D1770" i="1" l="1"/>
  <c r="E1162" i="1"/>
  <c r="H1161" i="1"/>
  <c r="G1161" i="1"/>
  <c r="I774" i="1"/>
  <c r="K774" i="1" s="1"/>
  <c r="M774" i="1" s="1"/>
  <c r="F775" i="1"/>
  <c r="J776" i="1" s="1"/>
  <c r="E1163" i="1" l="1"/>
  <c r="H1162" i="1"/>
  <c r="G1162" i="1"/>
  <c r="D1771" i="1"/>
  <c r="I775" i="1"/>
  <c r="K775" i="1" s="1"/>
  <c r="M775" i="1" s="1"/>
  <c r="D1772" i="1" l="1"/>
  <c r="E1164" i="1"/>
  <c r="H1163" i="1"/>
  <c r="G1163" i="1"/>
  <c r="F776" i="1"/>
  <c r="J777" i="1" s="1"/>
  <c r="E1165" i="1" l="1"/>
  <c r="H1164" i="1"/>
  <c r="G1164" i="1"/>
  <c r="D1773" i="1"/>
  <c r="I776" i="1"/>
  <c r="K776" i="1" s="1"/>
  <c r="M776" i="1" s="1"/>
  <c r="F777" i="1"/>
  <c r="J778" i="1" s="1"/>
  <c r="D1774" i="1" l="1"/>
  <c r="E1166" i="1"/>
  <c r="H1165" i="1"/>
  <c r="G1165" i="1"/>
  <c r="I777" i="1"/>
  <c r="K777" i="1" s="1"/>
  <c r="M777" i="1" s="1"/>
  <c r="F778" i="1"/>
  <c r="J779" i="1" s="1"/>
  <c r="E1167" i="1" l="1"/>
  <c r="H1166" i="1"/>
  <c r="G1166" i="1"/>
  <c r="D1775" i="1"/>
  <c r="I778" i="1"/>
  <c r="K778" i="1" s="1"/>
  <c r="M778" i="1" s="1"/>
  <c r="D1776" i="1" l="1"/>
  <c r="E1168" i="1"/>
  <c r="H1167" i="1"/>
  <c r="G1167" i="1"/>
  <c r="F779" i="1"/>
  <c r="J780" i="1" s="1"/>
  <c r="E1169" i="1" l="1"/>
  <c r="H1168" i="1"/>
  <c r="G1168" i="1"/>
  <c r="D1777" i="1"/>
  <c r="I779" i="1"/>
  <c r="K779" i="1" s="1"/>
  <c r="M779" i="1" s="1"/>
  <c r="D1778" i="1" l="1"/>
  <c r="E1170" i="1"/>
  <c r="H1169" i="1"/>
  <c r="G1169" i="1"/>
  <c r="F780" i="1"/>
  <c r="J781" i="1" s="1"/>
  <c r="E1171" i="1" l="1"/>
  <c r="H1170" i="1"/>
  <c r="G1170" i="1"/>
  <c r="D1779" i="1"/>
  <c r="I780" i="1"/>
  <c r="K780" i="1" s="1"/>
  <c r="M780" i="1" s="1"/>
  <c r="D1780" i="1" l="1"/>
  <c r="E1172" i="1"/>
  <c r="H1171" i="1"/>
  <c r="G1171" i="1"/>
  <c r="F781" i="1"/>
  <c r="J782" i="1" s="1"/>
  <c r="E1173" i="1" l="1"/>
  <c r="H1172" i="1"/>
  <c r="G1172" i="1"/>
  <c r="D1781" i="1"/>
  <c r="I781" i="1"/>
  <c r="K781" i="1" s="1"/>
  <c r="M781" i="1" s="1"/>
  <c r="D1782" i="1" l="1"/>
  <c r="E1174" i="1"/>
  <c r="H1173" i="1"/>
  <c r="G1173" i="1"/>
  <c r="F782" i="1"/>
  <c r="J783" i="1" s="1"/>
  <c r="E1175" i="1" l="1"/>
  <c r="H1174" i="1"/>
  <c r="G1174" i="1"/>
  <c r="D1783" i="1"/>
  <c r="I782" i="1"/>
  <c r="K782" i="1" s="1"/>
  <c r="M782" i="1" s="1"/>
  <c r="D1784" i="1" l="1"/>
  <c r="E1176" i="1"/>
  <c r="H1175" i="1"/>
  <c r="G1175" i="1"/>
  <c r="F783" i="1"/>
  <c r="J784" i="1" s="1"/>
  <c r="E1177" i="1" l="1"/>
  <c r="H1176" i="1"/>
  <c r="G1176" i="1"/>
  <c r="D1785" i="1"/>
  <c r="I783" i="1"/>
  <c r="K783" i="1" s="1"/>
  <c r="M783" i="1" s="1"/>
  <c r="F784" i="1"/>
  <c r="J785" i="1" s="1"/>
  <c r="D1786" i="1" l="1"/>
  <c r="E1178" i="1"/>
  <c r="H1177" i="1"/>
  <c r="G1177" i="1"/>
  <c r="I784" i="1"/>
  <c r="K784" i="1" s="1"/>
  <c r="M784" i="1" s="1"/>
  <c r="E1179" i="1" l="1"/>
  <c r="H1178" i="1"/>
  <c r="G1178" i="1"/>
  <c r="D1787" i="1"/>
  <c r="F785" i="1"/>
  <c r="J786" i="1" s="1"/>
  <c r="D1788" i="1" l="1"/>
  <c r="E1180" i="1"/>
  <c r="H1179" i="1"/>
  <c r="G1179" i="1"/>
  <c r="I785" i="1"/>
  <c r="K785" i="1" s="1"/>
  <c r="M785" i="1" s="1"/>
  <c r="E1181" i="1" l="1"/>
  <c r="H1180" i="1"/>
  <c r="G1180" i="1"/>
  <c r="D1789" i="1"/>
  <c r="F786" i="1"/>
  <c r="J787" i="1" s="1"/>
  <c r="D1790" i="1" l="1"/>
  <c r="E1182" i="1"/>
  <c r="H1181" i="1"/>
  <c r="G1181" i="1"/>
  <c r="I786" i="1"/>
  <c r="K786" i="1" s="1"/>
  <c r="M786" i="1" s="1"/>
  <c r="F787" i="1"/>
  <c r="J788" i="1" s="1"/>
  <c r="E1183" i="1" l="1"/>
  <c r="H1182" i="1"/>
  <c r="G1182" i="1"/>
  <c r="D1791" i="1"/>
  <c r="I787" i="1"/>
  <c r="K787" i="1" s="1"/>
  <c r="M787" i="1" s="1"/>
  <c r="D1792" i="1" l="1"/>
  <c r="E1184" i="1"/>
  <c r="H1183" i="1"/>
  <c r="G1183" i="1"/>
  <c r="F788" i="1"/>
  <c r="J789" i="1" s="1"/>
  <c r="E1185" i="1" l="1"/>
  <c r="H1184" i="1"/>
  <c r="G1184" i="1"/>
  <c r="D1793" i="1"/>
  <c r="I788" i="1"/>
  <c r="K788" i="1" s="1"/>
  <c r="M788" i="1" s="1"/>
  <c r="D1794" i="1" l="1"/>
  <c r="E1186" i="1"/>
  <c r="H1185" i="1"/>
  <c r="G1185" i="1"/>
  <c r="F789" i="1"/>
  <c r="J790" i="1" s="1"/>
  <c r="E1187" i="1" l="1"/>
  <c r="H1186" i="1"/>
  <c r="G1186" i="1"/>
  <c r="D1795" i="1"/>
  <c r="I789" i="1"/>
  <c r="K789" i="1" s="1"/>
  <c r="M789" i="1" s="1"/>
  <c r="D1796" i="1" l="1"/>
  <c r="E1188" i="1"/>
  <c r="H1187" i="1"/>
  <c r="G1187" i="1"/>
  <c r="F790" i="1"/>
  <c r="J791" i="1" s="1"/>
  <c r="E1189" i="1" l="1"/>
  <c r="H1188" i="1"/>
  <c r="G1188" i="1"/>
  <c r="D1797" i="1"/>
  <c r="I790" i="1"/>
  <c r="K790" i="1" s="1"/>
  <c r="M790" i="1" s="1"/>
  <c r="D1798" i="1" l="1"/>
  <c r="E1190" i="1"/>
  <c r="H1189" i="1"/>
  <c r="G1189" i="1"/>
  <c r="F791" i="1"/>
  <c r="J792" i="1" s="1"/>
  <c r="E1191" i="1" l="1"/>
  <c r="H1190" i="1"/>
  <c r="G1190" i="1"/>
  <c r="D1799" i="1"/>
  <c r="I791" i="1"/>
  <c r="K791" i="1" s="1"/>
  <c r="M791" i="1" s="1"/>
  <c r="D1800" i="1" l="1"/>
  <c r="E1192" i="1"/>
  <c r="H1191" i="1"/>
  <c r="G1191" i="1"/>
  <c r="F792" i="1"/>
  <c r="J793" i="1" s="1"/>
  <c r="E1193" i="1" l="1"/>
  <c r="H1192" i="1"/>
  <c r="G1192" i="1"/>
  <c r="D1801" i="1"/>
  <c r="I792" i="1"/>
  <c r="K792" i="1" s="1"/>
  <c r="M792" i="1" s="1"/>
  <c r="F793" i="1"/>
  <c r="J794" i="1" s="1"/>
  <c r="D1802" i="1" l="1"/>
  <c r="E1194" i="1"/>
  <c r="H1193" i="1"/>
  <c r="G1193" i="1"/>
  <c r="I793" i="1"/>
  <c r="K793" i="1" s="1"/>
  <c r="M793" i="1" s="1"/>
  <c r="E1195" i="1" l="1"/>
  <c r="H1194" i="1"/>
  <c r="G1194" i="1"/>
  <c r="D1803" i="1"/>
  <c r="F794" i="1"/>
  <c r="J795" i="1" s="1"/>
  <c r="D1804" i="1" l="1"/>
  <c r="E1196" i="1"/>
  <c r="H1195" i="1"/>
  <c r="G1195" i="1"/>
  <c r="I794" i="1"/>
  <c r="K794" i="1" s="1"/>
  <c r="M794" i="1" s="1"/>
  <c r="F795" i="1"/>
  <c r="J796" i="1" s="1"/>
  <c r="E1197" i="1" l="1"/>
  <c r="H1196" i="1"/>
  <c r="G1196" i="1"/>
  <c r="D1805" i="1"/>
  <c r="I795" i="1"/>
  <c r="K795" i="1" s="1"/>
  <c r="M795" i="1" s="1"/>
  <c r="F796" i="1"/>
  <c r="J797" i="1" s="1"/>
  <c r="D1806" i="1" l="1"/>
  <c r="E1198" i="1"/>
  <c r="H1197" i="1"/>
  <c r="G1197" i="1"/>
  <c r="I796" i="1"/>
  <c r="K796" i="1" s="1"/>
  <c r="M796" i="1" s="1"/>
  <c r="F797" i="1"/>
  <c r="J798" i="1" s="1"/>
  <c r="E1199" i="1" l="1"/>
  <c r="H1198" i="1"/>
  <c r="G1198" i="1"/>
  <c r="D1807" i="1"/>
  <c r="I797" i="1"/>
  <c r="K797" i="1" s="1"/>
  <c r="M797" i="1" s="1"/>
  <c r="D1808" i="1" l="1"/>
  <c r="E1200" i="1"/>
  <c r="H1199" i="1"/>
  <c r="G1199" i="1"/>
  <c r="F798" i="1"/>
  <c r="J799" i="1" s="1"/>
  <c r="E1201" i="1" l="1"/>
  <c r="H1200" i="1"/>
  <c r="G1200" i="1"/>
  <c r="D1809" i="1"/>
  <c r="I798" i="1"/>
  <c r="K798" i="1" s="1"/>
  <c r="M798" i="1" s="1"/>
  <c r="D1810" i="1" l="1"/>
  <c r="E1202" i="1"/>
  <c r="H1201" i="1"/>
  <c r="G1201" i="1"/>
  <c r="F799" i="1"/>
  <c r="J800" i="1" s="1"/>
  <c r="E1203" i="1" l="1"/>
  <c r="H1202" i="1"/>
  <c r="G1202" i="1"/>
  <c r="D1811" i="1"/>
  <c r="I799" i="1"/>
  <c r="K799" i="1" s="1"/>
  <c r="M799" i="1" s="1"/>
  <c r="D1812" i="1" l="1"/>
  <c r="E1204" i="1"/>
  <c r="H1203" i="1"/>
  <c r="G1203" i="1"/>
  <c r="F800" i="1"/>
  <c r="J801" i="1" s="1"/>
  <c r="E1205" i="1" l="1"/>
  <c r="H1204" i="1"/>
  <c r="G1204" i="1"/>
  <c r="D1813" i="1"/>
  <c r="I800" i="1"/>
  <c r="K800" i="1" s="1"/>
  <c r="M800" i="1" s="1"/>
  <c r="F801" i="1"/>
  <c r="J802" i="1" s="1"/>
  <c r="D1814" i="1" l="1"/>
  <c r="E1206" i="1"/>
  <c r="H1205" i="1"/>
  <c r="G1205" i="1"/>
  <c r="I801" i="1"/>
  <c r="K801" i="1" s="1"/>
  <c r="M801" i="1" s="1"/>
  <c r="E1207" i="1" l="1"/>
  <c r="H1206" i="1"/>
  <c r="G1206" i="1"/>
  <c r="D1815" i="1"/>
  <c r="F802" i="1"/>
  <c r="J803" i="1" s="1"/>
  <c r="D1816" i="1" l="1"/>
  <c r="E1208" i="1"/>
  <c r="H1207" i="1"/>
  <c r="G1207" i="1"/>
  <c r="I802" i="1"/>
  <c r="K802" i="1" s="1"/>
  <c r="M802" i="1" s="1"/>
  <c r="E1209" i="1" l="1"/>
  <c r="H1208" i="1"/>
  <c r="G1208" i="1"/>
  <c r="D1817" i="1"/>
  <c r="F803" i="1"/>
  <c r="J804" i="1" s="1"/>
  <c r="D1818" i="1" l="1"/>
  <c r="E1210" i="1"/>
  <c r="H1209" i="1"/>
  <c r="G1209" i="1"/>
  <c r="I803" i="1"/>
  <c r="K803" i="1" s="1"/>
  <c r="M803" i="1" s="1"/>
  <c r="F804" i="1"/>
  <c r="J805" i="1" s="1"/>
  <c r="E1211" i="1" l="1"/>
  <c r="H1210" i="1"/>
  <c r="G1210" i="1"/>
  <c r="D1819" i="1"/>
  <c r="I804" i="1"/>
  <c r="K804" i="1" s="1"/>
  <c r="M804" i="1" s="1"/>
  <c r="D1820" i="1" l="1"/>
  <c r="E1212" i="1"/>
  <c r="H1211" i="1"/>
  <c r="G1211" i="1"/>
  <c r="F805" i="1"/>
  <c r="J806" i="1" s="1"/>
  <c r="E1213" i="1" l="1"/>
  <c r="H1212" i="1"/>
  <c r="G1212" i="1"/>
  <c r="D1821" i="1"/>
  <c r="I805" i="1"/>
  <c r="K805" i="1" s="1"/>
  <c r="M805" i="1" s="1"/>
  <c r="D1822" i="1" l="1"/>
  <c r="E1214" i="1"/>
  <c r="H1213" i="1"/>
  <c r="G1213" i="1"/>
  <c r="F806" i="1"/>
  <c r="J807" i="1" s="1"/>
  <c r="E1215" i="1" l="1"/>
  <c r="H1214" i="1"/>
  <c r="G1214" i="1"/>
  <c r="D1823" i="1"/>
  <c r="I806" i="1"/>
  <c r="K806" i="1" s="1"/>
  <c r="M806" i="1" s="1"/>
  <c r="D1824" i="1" l="1"/>
  <c r="E1216" i="1"/>
  <c r="H1215" i="1"/>
  <c r="G1215" i="1"/>
  <c r="F807" i="1"/>
  <c r="J808" i="1" s="1"/>
  <c r="E1217" i="1" l="1"/>
  <c r="H1216" i="1"/>
  <c r="G1216" i="1"/>
  <c r="D1825" i="1"/>
  <c r="I807" i="1"/>
  <c r="K807" i="1" s="1"/>
  <c r="M807" i="1" s="1"/>
  <c r="F808" i="1"/>
  <c r="J809" i="1" s="1"/>
  <c r="D1826" i="1" l="1"/>
  <c r="E1218" i="1"/>
  <c r="H1217" i="1"/>
  <c r="G1217" i="1"/>
  <c r="I808" i="1"/>
  <c r="K808" i="1" s="1"/>
  <c r="M808" i="1" s="1"/>
  <c r="F809" i="1"/>
  <c r="J810" i="1" s="1"/>
  <c r="E1219" i="1" l="1"/>
  <c r="H1218" i="1"/>
  <c r="G1218" i="1"/>
  <c r="D1827" i="1"/>
  <c r="I809" i="1"/>
  <c r="K809" i="1" s="1"/>
  <c r="M809" i="1" s="1"/>
  <c r="D1828" i="1" l="1"/>
  <c r="E1220" i="1"/>
  <c r="H1219" i="1"/>
  <c r="G1219" i="1"/>
  <c r="F810" i="1"/>
  <c r="J811" i="1" s="1"/>
  <c r="E1221" i="1" l="1"/>
  <c r="H1220" i="1"/>
  <c r="G1220" i="1"/>
  <c r="D1829" i="1"/>
  <c r="I810" i="1"/>
  <c r="K810" i="1" s="1"/>
  <c r="M810" i="1" s="1"/>
  <c r="F811" i="1"/>
  <c r="J812" i="1" s="1"/>
  <c r="D1830" i="1" l="1"/>
  <c r="E1222" i="1"/>
  <c r="H1221" i="1"/>
  <c r="G1221" i="1"/>
  <c r="I811" i="1"/>
  <c r="K811" i="1" s="1"/>
  <c r="M811" i="1" s="1"/>
  <c r="E1223" i="1" l="1"/>
  <c r="H1222" i="1"/>
  <c r="G1222" i="1"/>
  <c r="D1831" i="1"/>
  <c r="F812" i="1"/>
  <c r="J813" i="1" s="1"/>
  <c r="D1832" i="1" l="1"/>
  <c r="E1224" i="1"/>
  <c r="H1223" i="1"/>
  <c r="G1223" i="1"/>
  <c r="I812" i="1"/>
  <c r="K812" i="1" s="1"/>
  <c r="M812" i="1" s="1"/>
  <c r="F813" i="1"/>
  <c r="J814" i="1" s="1"/>
  <c r="E1225" i="1" l="1"/>
  <c r="H1224" i="1"/>
  <c r="G1224" i="1"/>
  <c r="D1833" i="1"/>
  <c r="I813" i="1"/>
  <c r="K813" i="1" s="1"/>
  <c r="M813" i="1" s="1"/>
  <c r="F814" i="1"/>
  <c r="J815" i="1" s="1"/>
  <c r="D1834" i="1" l="1"/>
  <c r="E1226" i="1"/>
  <c r="H1225" i="1"/>
  <c r="G1225" i="1"/>
  <c r="I814" i="1"/>
  <c r="K814" i="1" s="1"/>
  <c r="M814" i="1" s="1"/>
  <c r="F815" i="1"/>
  <c r="J816" i="1" s="1"/>
  <c r="E1227" i="1" l="1"/>
  <c r="H1226" i="1"/>
  <c r="G1226" i="1"/>
  <c r="D1835" i="1"/>
  <c r="I815" i="1"/>
  <c r="K815" i="1" s="1"/>
  <c r="M815" i="1" s="1"/>
  <c r="F816" i="1"/>
  <c r="J817" i="1" s="1"/>
  <c r="D1836" i="1" l="1"/>
  <c r="E1228" i="1"/>
  <c r="H1227" i="1"/>
  <c r="G1227" i="1"/>
  <c r="I816" i="1"/>
  <c r="K816" i="1" s="1"/>
  <c r="M816" i="1" s="1"/>
  <c r="F817" i="1"/>
  <c r="J818" i="1" s="1"/>
  <c r="E1229" i="1" l="1"/>
  <c r="H1228" i="1"/>
  <c r="G1228" i="1"/>
  <c r="D1837" i="1"/>
  <c r="I817" i="1"/>
  <c r="K817" i="1" s="1"/>
  <c r="M817" i="1" s="1"/>
  <c r="D1838" i="1" l="1"/>
  <c r="E1230" i="1"/>
  <c r="H1229" i="1"/>
  <c r="G1229" i="1"/>
  <c r="F818" i="1"/>
  <c r="J819" i="1" s="1"/>
  <c r="E1231" i="1" l="1"/>
  <c r="H1230" i="1"/>
  <c r="G1230" i="1"/>
  <c r="D1839" i="1"/>
  <c r="I818" i="1"/>
  <c r="K818" i="1" s="1"/>
  <c r="M818" i="1" s="1"/>
  <c r="D1840" i="1" l="1"/>
  <c r="E1232" i="1"/>
  <c r="H1231" i="1"/>
  <c r="G1231" i="1"/>
  <c r="F819" i="1"/>
  <c r="J820" i="1" s="1"/>
  <c r="E1233" i="1" l="1"/>
  <c r="H1232" i="1"/>
  <c r="G1232" i="1"/>
  <c r="D1841" i="1"/>
  <c r="I819" i="1"/>
  <c r="K819" i="1" s="1"/>
  <c r="M819" i="1" s="1"/>
  <c r="D1842" i="1" l="1"/>
  <c r="E1234" i="1"/>
  <c r="H1233" i="1"/>
  <c r="G1233" i="1"/>
  <c r="F820" i="1"/>
  <c r="J821" i="1" s="1"/>
  <c r="E1235" i="1" l="1"/>
  <c r="H1234" i="1"/>
  <c r="G1234" i="1"/>
  <c r="D1843" i="1"/>
  <c r="I820" i="1"/>
  <c r="K820" i="1" s="1"/>
  <c r="M820" i="1" s="1"/>
  <c r="D1844" i="1" l="1"/>
  <c r="E1236" i="1"/>
  <c r="H1235" i="1"/>
  <c r="G1235" i="1"/>
  <c r="F821" i="1"/>
  <c r="J822" i="1" s="1"/>
  <c r="E1237" i="1" l="1"/>
  <c r="H1236" i="1"/>
  <c r="G1236" i="1"/>
  <c r="D1845" i="1"/>
  <c r="I821" i="1"/>
  <c r="K821" i="1" s="1"/>
  <c r="M821" i="1" s="1"/>
  <c r="D1846" i="1" l="1"/>
  <c r="E1238" i="1"/>
  <c r="H1237" i="1"/>
  <c r="G1237" i="1"/>
  <c r="F822" i="1"/>
  <c r="J823" i="1" s="1"/>
  <c r="E1239" i="1" l="1"/>
  <c r="H1238" i="1"/>
  <c r="G1238" i="1"/>
  <c r="D1847" i="1"/>
  <c r="I822" i="1"/>
  <c r="K822" i="1" s="1"/>
  <c r="M822" i="1" s="1"/>
  <c r="F823" i="1"/>
  <c r="J824" i="1" s="1"/>
  <c r="D1848" i="1" l="1"/>
  <c r="E1240" i="1"/>
  <c r="H1239" i="1"/>
  <c r="G1239" i="1"/>
  <c r="I823" i="1"/>
  <c r="K823" i="1" s="1"/>
  <c r="M823" i="1" s="1"/>
  <c r="E1241" i="1" l="1"/>
  <c r="H1240" i="1"/>
  <c r="G1240" i="1"/>
  <c r="D1849" i="1"/>
  <c r="F824" i="1"/>
  <c r="J825" i="1" s="1"/>
  <c r="F825" i="1" l="1"/>
  <c r="J826" i="1" s="1"/>
  <c r="I824" i="1"/>
  <c r="K824" i="1" s="1"/>
  <c r="M824" i="1" s="1"/>
  <c r="D1850" i="1"/>
  <c r="E1242" i="1"/>
  <c r="H1241" i="1"/>
  <c r="G1241" i="1"/>
  <c r="I825" i="1" l="1"/>
  <c r="K825" i="1" s="1"/>
  <c r="M825" i="1" s="1"/>
  <c r="E1243" i="1"/>
  <c r="H1242" i="1"/>
  <c r="G1242" i="1"/>
  <c r="D1851" i="1"/>
  <c r="F826" i="1"/>
  <c r="J827" i="1" s="1"/>
  <c r="D1852" i="1" l="1"/>
  <c r="E1244" i="1"/>
  <c r="H1243" i="1"/>
  <c r="G1243" i="1"/>
  <c r="I826" i="1"/>
  <c r="K826" i="1" s="1"/>
  <c r="M826" i="1" s="1"/>
  <c r="E1245" i="1" l="1"/>
  <c r="H1244" i="1"/>
  <c r="G1244" i="1"/>
  <c r="D1853" i="1"/>
  <c r="F827" i="1"/>
  <c r="J828" i="1" s="1"/>
  <c r="D1854" i="1" l="1"/>
  <c r="E1246" i="1"/>
  <c r="H1245" i="1"/>
  <c r="G1245" i="1"/>
  <c r="I827" i="1"/>
  <c r="K827" i="1" s="1"/>
  <c r="M827" i="1" s="1"/>
  <c r="F828" i="1"/>
  <c r="J829" i="1" s="1"/>
  <c r="E1247" i="1" l="1"/>
  <c r="H1246" i="1"/>
  <c r="G1246" i="1"/>
  <c r="D1855" i="1"/>
  <c r="I828" i="1"/>
  <c r="K828" i="1" s="1"/>
  <c r="M828" i="1" s="1"/>
  <c r="F829" i="1"/>
  <c r="J830" i="1" s="1"/>
  <c r="D1856" i="1" l="1"/>
  <c r="E1248" i="1"/>
  <c r="H1247" i="1"/>
  <c r="G1247" i="1"/>
  <c r="I829" i="1"/>
  <c r="K829" i="1" s="1"/>
  <c r="M829" i="1" s="1"/>
  <c r="E1249" i="1" l="1"/>
  <c r="H1248" i="1"/>
  <c r="G1248" i="1"/>
  <c r="D1857" i="1"/>
  <c r="F830" i="1"/>
  <c r="J831" i="1" s="1"/>
  <c r="D1858" i="1" l="1"/>
  <c r="E1250" i="1"/>
  <c r="H1249" i="1"/>
  <c r="G1249" i="1"/>
  <c r="I830" i="1"/>
  <c r="K830" i="1" s="1"/>
  <c r="M830" i="1" s="1"/>
  <c r="F831" i="1"/>
  <c r="J832" i="1" s="1"/>
  <c r="E1251" i="1" l="1"/>
  <c r="H1250" i="1"/>
  <c r="G1250" i="1"/>
  <c r="D1859" i="1"/>
  <c r="I831" i="1"/>
  <c r="K831" i="1" s="1"/>
  <c r="M831" i="1" s="1"/>
  <c r="D1860" i="1" l="1"/>
  <c r="E1252" i="1"/>
  <c r="H1251" i="1"/>
  <c r="G1251" i="1"/>
  <c r="F832" i="1"/>
  <c r="J833" i="1" s="1"/>
  <c r="E1253" i="1" l="1"/>
  <c r="H1252" i="1"/>
  <c r="G1252" i="1"/>
  <c r="D1861" i="1"/>
  <c r="I832" i="1"/>
  <c r="K832" i="1" s="1"/>
  <c r="M832" i="1" s="1"/>
  <c r="D1862" i="1" l="1"/>
  <c r="E1254" i="1"/>
  <c r="H1253" i="1"/>
  <c r="G1253" i="1"/>
  <c r="F833" i="1"/>
  <c r="J834" i="1" s="1"/>
  <c r="E1255" i="1" l="1"/>
  <c r="H1254" i="1"/>
  <c r="G1254" i="1"/>
  <c r="D1863" i="1"/>
  <c r="I833" i="1"/>
  <c r="K833" i="1" s="1"/>
  <c r="M833" i="1" s="1"/>
  <c r="D1864" i="1" l="1"/>
  <c r="E1256" i="1"/>
  <c r="H1255" i="1"/>
  <c r="G1255" i="1"/>
  <c r="F834" i="1"/>
  <c r="J835" i="1" s="1"/>
  <c r="E1257" i="1" l="1"/>
  <c r="H1256" i="1"/>
  <c r="G1256" i="1"/>
  <c r="D1865" i="1"/>
  <c r="I834" i="1"/>
  <c r="K834" i="1" s="1"/>
  <c r="M834" i="1" s="1"/>
  <c r="F835" i="1"/>
  <c r="J836" i="1" s="1"/>
  <c r="D1866" i="1" l="1"/>
  <c r="E1258" i="1"/>
  <c r="H1257" i="1"/>
  <c r="G1257" i="1"/>
  <c r="I835" i="1"/>
  <c r="K835" i="1" s="1"/>
  <c r="M835" i="1" s="1"/>
  <c r="F836" i="1"/>
  <c r="J837" i="1" s="1"/>
  <c r="E1259" i="1" l="1"/>
  <c r="H1258" i="1"/>
  <c r="G1258" i="1"/>
  <c r="D1867" i="1"/>
  <c r="I836" i="1"/>
  <c r="K836" i="1" s="1"/>
  <c r="M836" i="1" s="1"/>
  <c r="F837" i="1"/>
  <c r="J838" i="1" s="1"/>
  <c r="D1868" i="1" l="1"/>
  <c r="E1260" i="1"/>
  <c r="H1259" i="1"/>
  <c r="G1259" i="1"/>
  <c r="I837" i="1"/>
  <c r="K837" i="1" s="1"/>
  <c r="M837" i="1" s="1"/>
  <c r="E1261" i="1" l="1"/>
  <c r="H1260" i="1"/>
  <c r="G1260" i="1"/>
  <c r="D1869" i="1"/>
  <c r="F838" i="1"/>
  <c r="J839" i="1" s="1"/>
  <c r="D1870" i="1" l="1"/>
  <c r="E1262" i="1"/>
  <c r="H1261" i="1"/>
  <c r="G1261" i="1"/>
  <c r="I838" i="1"/>
  <c r="K838" i="1" s="1"/>
  <c r="M838" i="1" s="1"/>
  <c r="F839" i="1"/>
  <c r="J840" i="1" s="1"/>
  <c r="E1263" i="1" l="1"/>
  <c r="H1262" i="1"/>
  <c r="G1262" i="1"/>
  <c r="D1871" i="1"/>
  <c r="I839" i="1"/>
  <c r="K839" i="1" s="1"/>
  <c r="M839" i="1" s="1"/>
  <c r="F840" i="1"/>
  <c r="J841" i="1" s="1"/>
  <c r="D1872" i="1" l="1"/>
  <c r="E1264" i="1"/>
  <c r="H1263" i="1"/>
  <c r="G1263" i="1"/>
  <c r="I840" i="1"/>
  <c r="K840" i="1" s="1"/>
  <c r="M840" i="1" s="1"/>
  <c r="F841" i="1"/>
  <c r="J842" i="1" s="1"/>
  <c r="E1265" i="1" l="1"/>
  <c r="H1264" i="1"/>
  <c r="G1264" i="1"/>
  <c r="D1873" i="1"/>
  <c r="I841" i="1"/>
  <c r="K841" i="1" s="1"/>
  <c r="M841" i="1" s="1"/>
  <c r="D1874" i="1" l="1"/>
  <c r="E1266" i="1"/>
  <c r="H1265" i="1"/>
  <c r="G1265" i="1"/>
  <c r="F842" i="1"/>
  <c r="J843" i="1" s="1"/>
  <c r="E1267" i="1" l="1"/>
  <c r="H1266" i="1"/>
  <c r="G1266" i="1"/>
  <c r="D1875" i="1"/>
  <c r="I842" i="1"/>
  <c r="K842" i="1" s="1"/>
  <c r="M842" i="1" s="1"/>
  <c r="F843" i="1"/>
  <c r="J844" i="1" s="1"/>
  <c r="D1876" i="1" l="1"/>
  <c r="E1268" i="1"/>
  <c r="H1267" i="1"/>
  <c r="G1267" i="1"/>
  <c r="I843" i="1"/>
  <c r="K843" i="1" s="1"/>
  <c r="M843" i="1" s="1"/>
  <c r="F844" i="1"/>
  <c r="J845" i="1" s="1"/>
  <c r="E1269" i="1" l="1"/>
  <c r="H1268" i="1"/>
  <c r="G1268" i="1"/>
  <c r="D1877" i="1"/>
  <c r="I844" i="1"/>
  <c r="K844" i="1" s="1"/>
  <c r="M844" i="1" s="1"/>
  <c r="D1878" i="1" l="1"/>
  <c r="E1270" i="1"/>
  <c r="H1269" i="1"/>
  <c r="G1269" i="1"/>
  <c r="F845" i="1"/>
  <c r="J846" i="1" s="1"/>
  <c r="E1271" i="1" l="1"/>
  <c r="H1270" i="1"/>
  <c r="G1270" i="1"/>
  <c r="D1879" i="1"/>
  <c r="I845" i="1"/>
  <c r="K845" i="1" s="1"/>
  <c r="M845" i="1" s="1"/>
  <c r="F846" i="1"/>
  <c r="J847" i="1" s="1"/>
  <c r="D1880" i="1" l="1"/>
  <c r="E1272" i="1"/>
  <c r="H1271" i="1"/>
  <c r="G1271" i="1"/>
  <c r="I846" i="1"/>
  <c r="K846" i="1" s="1"/>
  <c r="M846" i="1" s="1"/>
  <c r="F847" i="1"/>
  <c r="J848" i="1" s="1"/>
  <c r="E1273" i="1" l="1"/>
  <c r="H1272" i="1"/>
  <c r="G1272" i="1"/>
  <c r="D1881" i="1"/>
  <c r="I847" i="1"/>
  <c r="K847" i="1" s="1"/>
  <c r="M847" i="1" s="1"/>
  <c r="D1882" i="1" l="1"/>
  <c r="E1274" i="1"/>
  <c r="H1273" i="1"/>
  <c r="G1273" i="1"/>
  <c r="F848" i="1"/>
  <c r="J849" i="1" s="1"/>
  <c r="E1275" i="1" l="1"/>
  <c r="H1274" i="1"/>
  <c r="G1274" i="1"/>
  <c r="D1883" i="1"/>
  <c r="I848" i="1"/>
  <c r="K848" i="1" s="1"/>
  <c r="M848" i="1" s="1"/>
  <c r="D1884" i="1" l="1"/>
  <c r="E1276" i="1"/>
  <c r="H1275" i="1"/>
  <c r="G1275" i="1"/>
  <c r="F849" i="1"/>
  <c r="J850" i="1" s="1"/>
  <c r="E1277" i="1" l="1"/>
  <c r="H1276" i="1"/>
  <c r="G1276" i="1"/>
  <c r="D1885" i="1"/>
  <c r="I849" i="1"/>
  <c r="K849" i="1" s="1"/>
  <c r="M849" i="1" s="1"/>
  <c r="D1886" i="1" l="1"/>
  <c r="E1278" i="1"/>
  <c r="H1277" i="1"/>
  <c r="G1277" i="1"/>
  <c r="F850" i="1"/>
  <c r="J851" i="1" s="1"/>
  <c r="E1279" i="1" l="1"/>
  <c r="H1278" i="1"/>
  <c r="G1278" i="1"/>
  <c r="D1887" i="1"/>
  <c r="I850" i="1"/>
  <c r="K850" i="1" s="1"/>
  <c r="M850" i="1" s="1"/>
  <c r="F851" i="1"/>
  <c r="J852" i="1" s="1"/>
  <c r="D1888" i="1" l="1"/>
  <c r="E1280" i="1"/>
  <c r="H1279" i="1"/>
  <c r="G1279" i="1"/>
  <c r="I851" i="1"/>
  <c r="K851" i="1" s="1"/>
  <c r="M851" i="1" s="1"/>
  <c r="E1281" i="1" l="1"/>
  <c r="H1280" i="1"/>
  <c r="G1280" i="1"/>
  <c r="D1889" i="1"/>
  <c r="F852" i="1"/>
  <c r="J853" i="1" s="1"/>
  <c r="D1890" i="1" l="1"/>
  <c r="E1282" i="1"/>
  <c r="H1281" i="1"/>
  <c r="G1281" i="1"/>
  <c r="I852" i="1"/>
  <c r="K852" i="1" s="1"/>
  <c r="M852" i="1" s="1"/>
  <c r="F853" i="1"/>
  <c r="J854" i="1" s="1"/>
  <c r="E1283" i="1" l="1"/>
  <c r="H1282" i="1"/>
  <c r="G1282" i="1"/>
  <c r="D1891" i="1"/>
  <c r="I853" i="1"/>
  <c r="K853" i="1" s="1"/>
  <c r="M853" i="1" s="1"/>
  <c r="F854" i="1"/>
  <c r="J855" i="1" s="1"/>
  <c r="D1892" i="1" l="1"/>
  <c r="E1284" i="1"/>
  <c r="H1283" i="1"/>
  <c r="G1283" i="1"/>
  <c r="I854" i="1"/>
  <c r="K854" i="1" s="1"/>
  <c r="M854" i="1" s="1"/>
  <c r="E1285" i="1" l="1"/>
  <c r="H1284" i="1"/>
  <c r="G1284" i="1"/>
  <c r="D1893" i="1"/>
  <c r="F855" i="1"/>
  <c r="J856" i="1" s="1"/>
  <c r="D1894" i="1" l="1"/>
  <c r="E1286" i="1"/>
  <c r="H1285" i="1"/>
  <c r="G1285" i="1"/>
  <c r="I855" i="1"/>
  <c r="K855" i="1" s="1"/>
  <c r="M855" i="1" s="1"/>
  <c r="E1287" i="1" l="1"/>
  <c r="H1286" i="1"/>
  <c r="G1286" i="1"/>
  <c r="D1895" i="1"/>
  <c r="F856" i="1"/>
  <c r="J857" i="1" s="1"/>
  <c r="D1896" i="1" l="1"/>
  <c r="E1288" i="1"/>
  <c r="H1287" i="1"/>
  <c r="G1287" i="1"/>
  <c r="I856" i="1"/>
  <c r="K856" i="1" s="1"/>
  <c r="M856" i="1" s="1"/>
  <c r="F857" i="1"/>
  <c r="J858" i="1" s="1"/>
  <c r="E1289" i="1" l="1"/>
  <c r="H1288" i="1"/>
  <c r="G1288" i="1"/>
  <c r="D1897" i="1"/>
  <c r="I857" i="1"/>
  <c r="K857" i="1" s="1"/>
  <c r="M857" i="1" s="1"/>
  <c r="F858" i="1"/>
  <c r="J859" i="1" s="1"/>
  <c r="D1898" i="1" l="1"/>
  <c r="E1290" i="1"/>
  <c r="H1289" i="1"/>
  <c r="G1289" i="1"/>
  <c r="I858" i="1"/>
  <c r="K858" i="1" s="1"/>
  <c r="M858" i="1" s="1"/>
  <c r="F859" i="1"/>
  <c r="J860" i="1" s="1"/>
  <c r="E1291" i="1" l="1"/>
  <c r="H1290" i="1"/>
  <c r="G1290" i="1"/>
  <c r="D1899" i="1"/>
  <c r="I859" i="1"/>
  <c r="K859" i="1" s="1"/>
  <c r="M859" i="1" s="1"/>
  <c r="D1900" i="1" l="1"/>
  <c r="E1292" i="1"/>
  <c r="H1291" i="1"/>
  <c r="G1291" i="1"/>
  <c r="F860" i="1"/>
  <c r="J861" i="1" s="1"/>
  <c r="E1293" i="1" l="1"/>
  <c r="H1292" i="1"/>
  <c r="G1292" i="1"/>
  <c r="D1901" i="1"/>
  <c r="I860" i="1"/>
  <c r="K860" i="1" s="1"/>
  <c r="M860" i="1" s="1"/>
  <c r="F861" i="1"/>
  <c r="J862" i="1" s="1"/>
  <c r="D1902" i="1" l="1"/>
  <c r="E1294" i="1"/>
  <c r="H1293" i="1"/>
  <c r="G1293" i="1"/>
  <c r="I861" i="1"/>
  <c r="K861" i="1" s="1"/>
  <c r="M861" i="1" s="1"/>
  <c r="F862" i="1"/>
  <c r="J863" i="1" s="1"/>
  <c r="E1295" i="1" l="1"/>
  <c r="H1294" i="1"/>
  <c r="G1294" i="1"/>
  <c r="D1903" i="1"/>
  <c r="I862" i="1"/>
  <c r="K862" i="1" s="1"/>
  <c r="M862" i="1" s="1"/>
  <c r="F863" i="1"/>
  <c r="J864" i="1" s="1"/>
  <c r="D1904" i="1" l="1"/>
  <c r="E1296" i="1"/>
  <c r="H1295" i="1"/>
  <c r="G1295" i="1"/>
  <c r="I863" i="1"/>
  <c r="K863" i="1" s="1"/>
  <c r="M863" i="1" s="1"/>
  <c r="E1297" i="1" l="1"/>
  <c r="H1296" i="1"/>
  <c r="G1296" i="1"/>
  <c r="D1905" i="1"/>
  <c r="F864" i="1"/>
  <c r="J865" i="1" s="1"/>
  <c r="D1906" i="1" l="1"/>
  <c r="E1298" i="1"/>
  <c r="H1297" i="1"/>
  <c r="G1297" i="1"/>
  <c r="I864" i="1"/>
  <c r="K864" i="1" s="1"/>
  <c r="M864" i="1" s="1"/>
  <c r="F865" i="1"/>
  <c r="J866" i="1" s="1"/>
  <c r="E1299" i="1" l="1"/>
  <c r="H1298" i="1"/>
  <c r="G1298" i="1"/>
  <c r="D1907" i="1"/>
  <c r="I865" i="1"/>
  <c r="K865" i="1" s="1"/>
  <c r="M865" i="1" s="1"/>
  <c r="F866" i="1"/>
  <c r="J867" i="1" s="1"/>
  <c r="D1908" i="1" l="1"/>
  <c r="E1300" i="1"/>
  <c r="H1299" i="1"/>
  <c r="G1299" i="1"/>
  <c r="I866" i="1"/>
  <c r="K866" i="1" s="1"/>
  <c r="M866" i="1" s="1"/>
  <c r="E1301" i="1" l="1"/>
  <c r="H1300" i="1"/>
  <c r="G1300" i="1"/>
  <c r="D1909" i="1"/>
  <c r="F867" i="1"/>
  <c r="J868" i="1" s="1"/>
  <c r="D1910" i="1" l="1"/>
  <c r="E1302" i="1"/>
  <c r="H1301" i="1"/>
  <c r="G1301" i="1"/>
  <c r="I867" i="1"/>
  <c r="K867" i="1" s="1"/>
  <c r="M867" i="1" s="1"/>
  <c r="E1303" i="1" l="1"/>
  <c r="H1302" i="1"/>
  <c r="G1302" i="1"/>
  <c r="D1911" i="1"/>
  <c r="F868" i="1"/>
  <c r="J869" i="1" s="1"/>
  <c r="D1912" i="1" l="1"/>
  <c r="E1304" i="1"/>
  <c r="H1303" i="1"/>
  <c r="G1303" i="1"/>
  <c r="I868" i="1"/>
  <c r="K868" i="1" s="1"/>
  <c r="M868" i="1" s="1"/>
  <c r="E1305" i="1" l="1"/>
  <c r="H1304" i="1"/>
  <c r="G1304" i="1"/>
  <c r="D1913" i="1"/>
  <c r="F869" i="1"/>
  <c r="J870" i="1" s="1"/>
  <c r="D1914" i="1" l="1"/>
  <c r="E1306" i="1"/>
  <c r="H1305" i="1"/>
  <c r="G1305" i="1"/>
  <c r="I869" i="1"/>
  <c r="K869" i="1" s="1"/>
  <c r="M869" i="1" s="1"/>
  <c r="F870" i="1"/>
  <c r="J871" i="1" s="1"/>
  <c r="E1307" i="1" l="1"/>
  <c r="H1306" i="1"/>
  <c r="G1306" i="1"/>
  <c r="D1915" i="1"/>
  <c r="I870" i="1"/>
  <c r="K870" i="1" s="1"/>
  <c r="M870" i="1" s="1"/>
  <c r="D1916" i="1" l="1"/>
  <c r="E1308" i="1"/>
  <c r="H1307" i="1"/>
  <c r="G1307" i="1"/>
  <c r="F871" i="1"/>
  <c r="J872" i="1" s="1"/>
  <c r="E1309" i="1" l="1"/>
  <c r="H1308" i="1"/>
  <c r="G1308" i="1"/>
  <c r="D1917" i="1"/>
  <c r="I871" i="1"/>
  <c r="K871" i="1" s="1"/>
  <c r="M871" i="1" s="1"/>
  <c r="F872" i="1"/>
  <c r="J873" i="1" s="1"/>
  <c r="D1918" i="1" l="1"/>
  <c r="E1310" i="1"/>
  <c r="H1309" i="1"/>
  <c r="G1309" i="1"/>
  <c r="I872" i="1"/>
  <c r="K872" i="1" s="1"/>
  <c r="M872" i="1" s="1"/>
  <c r="F873" i="1"/>
  <c r="J874" i="1" s="1"/>
  <c r="E1311" i="1" l="1"/>
  <c r="H1310" i="1"/>
  <c r="G1310" i="1"/>
  <c r="D1919" i="1"/>
  <c r="I873" i="1"/>
  <c r="K873" i="1" s="1"/>
  <c r="M873" i="1" s="1"/>
  <c r="D1920" i="1" l="1"/>
  <c r="E1312" i="1"/>
  <c r="H1311" i="1"/>
  <c r="G1311" i="1"/>
  <c r="F874" i="1"/>
  <c r="J875" i="1" s="1"/>
  <c r="E1313" i="1" l="1"/>
  <c r="H1312" i="1"/>
  <c r="G1312" i="1"/>
  <c r="D1921" i="1"/>
  <c r="I874" i="1"/>
  <c r="K874" i="1" s="1"/>
  <c r="M874" i="1" s="1"/>
  <c r="F875" i="1"/>
  <c r="J876" i="1" s="1"/>
  <c r="D1922" i="1" l="1"/>
  <c r="E1314" i="1"/>
  <c r="H1313" i="1"/>
  <c r="G1313" i="1"/>
  <c r="I875" i="1"/>
  <c r="K875" i="1" s="1"/>
  <c r="M875" i="1" s="1"/>
  <c r="E1315" i="1" l="1"/>
  <c r="H1314" i="1"/>
  <c r="G1314" i="1"/>
  <c r="D1923" i="1"/>
  <c r="F876" i="1"/>
  <c r="J877" i="1" s="1"/>
  <c r="D1924" i="1" l="1"/>
  <c r="E1316" i="1"/>
  <c r="H1315" i="1"/>
  <c r="G1315" i="1"/>
  <c r="I876" i="1"/>
  <c r="K876" i="1" s="1"/>
  <c r="M876" i="1" s="1"/>
  <c r="F877" i="1"/>
  <c r="J878" i="1" s="1"/>
  <c r="E1317" i="1" l="1"/>
  <c r="H1316" i="1"/>
  <c r="G1316" i="1"/>
  <c r="D1925" i="1"/>
  <c r="I877" i="1"/>
  <c r="K877" i="1" s="1"/>
  <c r="M877" i="1" s="1"/>
  <c r="F878" i="1"/>
  <c r="J879" i="1" s="1"/>
  <c r="D1926" i="1" l="1"/>
  <c r="E1318" i="1"/>
  <c r="H1317" i="1"/>
  <c r="G1317" i="1"/>
  <c r="I878" i="1"/>
  <c r="K878" i="1" s="1"/>
  <c r="M878" i="1" s="1"/>
  <c r="E1319" i="1" l="1"/>
  <c r="H1318" i="1"/>
  <c r="G1318" i="1"/>
  <c r="D1927" i="1"/>
  <c r="F879" i="1"/>
  <c r="J880" i="1" s="1"/>
  <c r="D1928" i="1" l="1"/>
  <c r="E1320" i="1"/>
  <c r="H1319" i="1"/>
  <c r="G1319" i="1"/>
  <c r="I879" i="1"/>
  <c r="K879" i="1" s="1"/>
  <c r="M879" i="1" s="1"/>
  <c r="E1321" i="1" l="1"/>
  <c r="H1320" i="1"/>
  <c r="G1320" i="1"/>
  <c r="D1929" i="1"/>
  <c r="F880" i="1"/>
  <c r="J881" i="1" s="1"/>
  <c r="D1930" i="1" l="1"/>
  <c r="E1322" i="1"/>
  <c r="H1321" i="1"/>
  <c r="G1321" i="1"/>
  <c r="I880" i="1"/>
  <c r="K880" i="1" s="1"/>
  <c r="M880" i="1" s="1"/>
  <c r="E1323" i="1" l="1"/>
  <c r="H1322" i="1"/>
  <c r="G1322" i="1"/>
  <c r="D1931" i="1"/>
  <c r="F881" i="1"/>
  <c r="J882" i="1" s="1"/>
  <c r="D1932" i="1" l="1"/>
  <c r="E1324" i="1"/>
  <c r="H1323" i="1"/>
  <c r="G1323" i="1"/>
  <c r="I881" i="1"/>
  <c r="K881" i="1" s="1"/>
  <c r="M881" i="1" s="1"/>
  <c r="F882" i="1"/>
  <c r="J883" i="1" s="1"/>
  <c r="E1325" i="1" l="1"/>
  <c r="H1324" i="1"/>
  <c r="G1324" i="1"/>
  <c r="D1933" i="1"/>
  <c r="I882" i="1"/>
  <c r="K882" i="1" s="1"/>
  <c r="M882" i="1" s="1"/>
  <c r="D1934" i="1" l="1"/>
  <c r="E1326" i="1"/>
  <c r="H1325" i="1"/>
  <c r="G1325" i="1"/>
  <c r="F883" i="1"/>
  <c r="J884" i="1" s="1"/>
  <c r="E1327" i="1" l="1"/>
  <c r="H1326" i="1"/>
  <c r="G1326" i="1"/>
  <c r="D1935" i="1"/>
  <c r="I883" i="1"/>
  <c r="K883" i="1" s="1"/>
  <c r="M883" i="1" s="1"/>
  <c r="D1936" i="1" l="1"/>
  <c r="E1328" i="1"/>
  <c r="H1327" i="1"/>
  <c r="G1327" i="1"/>
  <c r="F884" i="1"/>
  <c r="J885" i="1" s="1"/>
  <c r="E1329" i="1" l="1"/>
  <c r="H1328" i="1"/>
  <c r="G1328" i="1"/>
  <c r="D1937" i="1"/>
  <c r="I884" i="1"/>
  <c r="K884" i="1" s="1"/>
  <c r="M884" i="1" s="1"/>
  <c r="F885" i="1"/>
  <c r="J886" i="1" s="1"/>
  <c r="D1938" i="1" l="1"/>
  <c r="E1330" i="1"/>
  <c r="H1329" i="1"/>
  <c r="G1329" i="1"/>
  <c r="I885" i="1"/>
  <c r="K885" i="1" s="1"/>
  <c r="M885" i="1" s="1"/>
  <c r="F886" i="1"/>
  <c r="J887" i="1" s="1"/>
  <c r="E1331" i="1" l="1"/>
  <c r="H1330" i="1"/>
  <c r="G1330" i="1"/>
  <c r="D1939" i="1"/>
  <c r="I886" i="1"/>
  <c r="K886" i="1" s="1"/>
  <c r="M886" i="1" s="1"/>
  <c r="F887" i="1"/>
  <c r="J888" i="1" s="1"/>
  <c r="D1940" i="1" l="1"/>
  <c r="E1332" i="1"/>
  <c r="H1331" i="1"/>
  <c r="G1331" i="1"/>
  <c r="I887" i="1"/>
  <c r="K887" i="1" s="1"/>
  <c r="M887" i="1" s="1"/>
  <c r="F888" i="1"/>
  <c r="J889" i="1" s="1"/>
  <c r="E1333" i="1" l="1"/>
  <c r="H1332" i="1"/>
  <c r="G1332" i="1"/>
  <c r="D1941" i="1"/>
  <c r="I888" i="1"/>
  <c r="K888" i="1" s="1"/>
  <c r="M888" i="1" s="1"/>
  <c r="F889" i="1"/>
  <c r="J890" i="1" s="1"/>
  <c r="D1942" i="1" l="1"/>
  <c r="E1334" i="1"/>
  <c r="H1333" i="1"/>
  <c r="G1333" i="1"/>
  <c r="I889" i="1"/>
  <c r="K889" i="1" s="1"/>
  <c r="M889" i="1" s="1"/>
  <c r="E1335" i="1" l="1"/>
  <c r="H1334" i="1"/>
  <c r="G1334" i="1"/>
  <c r="D1943" i="1"/>
  <c r="F890" i="1"/>
  <c r="J891" i="1" s="1"/>
  <c r="D1944" i="1" l="1"/>
  <c r="E1336" i="1"/>
  <c r="H1335" i="1"/>
  <c r="G1335" i="1"/>
  <c r="I890" i="1"/>
  <c r="K890" i="1" s="1"/>
  <c r="M890" i="1" s="1"/>
  <c r="F891" i="1"/>
  <c r="J892" i="1" s="1"/>
  <c r="E1337" i="1" l="1"/>
  <c r="H1336" i="1"/>
  <c r="G1336" i="1"/>
  <c r="D1945" i="1"/>
  <c r="I891" i="1"/>
  <c r="K891" i="1" s="1"/>
  <c r="M891" i="1" s="1"/>
  <c r="D1946" i="1" l="1"/>
  <c r="E1338" i="1"/>
  <c r="H1337" i="1"/>
  <c r="G1337" i="1"/>
  <c r="F892" i="1"/>
  <c r="J893" i="1" s="1"/>
  <c r="E1339" i="1" l="1"/>
  <c r="H1338" i="1"/>
  <c r="G1338" i="1"/>
  <c r="D1947" i="1"/>
  <c r="I892" i="1"/>
  <c r="K892" i="1" s="1"/>
  <c r="M892" i="1" s="1"/>
  <c r="F893" i="1"/>
  <c r="J894" i="1" s="1"/>
  <c r="D1948" i="1" l="1"/>
  <c r="E1340" i="1"/>
  <c r="H1339" i="1"/>
  <c r="G1339" i="1"/>
  <c r="I893" i="1"/>
  <c r="K893" i="1" s="1"/>
  <c r="M893" i="1" s="1"/>
  <c r="E1341" i="1" l="1"/>
  <c r="H1340" i="1"/>
  <c r="G1340" i="1"/>
  <c r="D1949" i="1"/>
  <c r="F894" i="1"/>
  <c r="J895" i="1" s="1"/>
  <c r="D1950" i="1" l="1"/>
  <c r="E1342" i="1"/>
  <c r="H1341" i="1"/>
  <c r="G1341" i="1"/>
  <c r="I894" i="1"/>
  <c r="K894" i="1" s="1"/>
  <c r="M894" i="1" s="1"/>
  <c r="E1343" i="1" l="1"/>
  <c r="H1342" i="1"/>
  <c r="G1342" i="1"/>
  <c r="D1951" i="1"/>
  <c r="F895" i="1"/>
  <c r="J896" i="1" s="1"/>
  <c r="D1952" i="1" l="1"/>
  <c r="E1344" i="1"/>
  <c r="H1343" i="1"/>
  <c r="G1343" i="1"/>
  <c r="I895" i="1"/>
  <c r="K895" i="1" s="1"/>
  <c r="M895" i="1" s="1"/>
  <c r="E1345" i="1" l="1"/>
  <c r="H1344" i="1"/>
  <c r="G1344" i="1"/>
  <c r="D1953" i="1"/>
  <c r="F896" i="1"/>
  <c r="J897" i="1" s="1"/>
  <c r="D1954" i="1" l="1"/>
  <c r="E1346" i="1"/>
  <c r="H1345" i="1"/>
  <c r="G1345" i="1"/>
  <c r="I896" i="1"/>
  <c r="K896" i="1" s="1"/>
  <c r="M896" i="1" s="1"/>
  <c r="F897" i="1"/>
  <c r="J898" i="1" s="1"/>
  <c r="E1347" i="1" l="1"/>
  <c r="H1346" i="1"/>
  <c r="G1346" i="1"/>
  <c r="D1955" i="1"/>
  <c r="I897" i="1"/>
  <c r="K897" i="1" s="1"/>
  <c r="M897" i="1" s="1"/>
  <c r="D1956" i="1" l="1"/>
  <c r="E1348" i="1"/>
  <c r="H1347" i="1"/>
  <c r="G1347" i="1"/>
  <c r="F898" i="1"/>
  <c r="J899" i="1" s="1"/>
  <c r="E1349" i="1" l="1"/>
  <c r="H1348" i="1"/>
  <c r="G1348" i="1"/>
  <c r="D1957" i="1"/>
  <c r="I898" i="1"/>
  <c r="K898" i="1" s="1"/>
  <c r="M898" i="1" s="1"/>
  <c r="F899" i="1"/>
  <c r="J900" i="1" s="1"/>
  <c r="D1958" i="1" l="1"/>
  <c r="E1350" i="1"/>
  <c r="H1349" i="1"/>
  <c r="G1349" i="1"/>
  <c r="I899" i="1"/>
  <c r="K899" i="1" s="1"/>
  <c r="M899" i="1" s="1"/>
  <c r="F900" i="1"/>
  <c r="J901" i="1" s="1"/>
  <c r="E1351" i="1" l="1"/>
  <c r="H1350" i="1"/>
  <c r="G1350" i="1"/>
  <c r="D1959" i="1"/>
  <c r="I900" i="1"/>
  <c r="K900" i="1" s="1"/>
  <c r="M900" i="1" s="1"/>
  <c r="D1960" i="1" l="1"/>
  <c r="E1352" i="1"/>
  <c r="H1351" i="1"/>
  <c r="G1351" i="1"/>
  <c r="F901" i="1"/>
  <c r="J902" i="1" s="1"/>
  <c r="E1353" i="1" l="1"/>
  <c r="H1352" i="1"/>
  <c r="G1352" i="1"/>
  <c r="D1961" i="1"/>
  <c r="I901" i="1"/>
  <c r="K901" i="1" s="1"/>
  <c r="M901" i="1" s="1"/>
  <c r="F902" i="1"/>
  <c r="J903" i="1" s="1"/>
  <c r="D1962" i="1" l="1"/>
  <c r="E1354" i="1"/>
  <c r="H1353" i="1"/>
  <c r="G1353" i="1"/>
  <c r="I902" i="1"/>
  <c r="K902" i="1" s="1"/>
  <c r="M902" i="1" s="1"/>
  <c r="E1355" i="1" l="1"/>
  <c r="H1354" i="1"/>
  <c r="G1354" i="1"/>
  <c r="D1963" i="1"/>
  <c r="F903" i="1"/>
  <c r="J904" i="1" s="1"/>
  <c r="D1964" i="1" l="1"/>
  <c r="E1356" i="1"/>
  <c r="H1355" i="1"/>
  <c r="G1355" i="1"/>
  <c r="I903" i="1"/>
  <c r="K903" i="1" s="1"/>
  <c r="M903" i="1" s="1"/>
  <c r="E1357" i="1" l="1"/>
  <c r="H1356" i="1"/>
  <c r="G1356" i="1"/>
  <c r="D1965" i="1"/>
  <c r="F904" i="1"/>
  <c r="J905" i="1" s="1"/>
  <c r="D1966" i="1" l="1"/>
  <c r="E1358" i="1"/>
  <c r="H1357" i="1"/>
  <c r="G1357" i="1"/>
  <c r="I904" i="1"/>
  <c r="K904" i="1" s="1"/>
  <c r="M904" i="1" s="1"/>
  <c r="E1359" i="1" l="1"/>
  <c r="H1358" i="1"/>
  <c r="G1358" i="1"/>
  <c r="D1967" i="1"/>
  <c r="F905" i="1"/>
  <c r="J906" i="1" s="1"/>
  <c r="D1968" i="1" l="1"/>
  <c r="E1360" i="1"/>
  <c r="H1359" i="1"/>
  <c r="G1359" i="1"/>
  <c r="I905" i="1"/>
  <c r="K905" i="1" s="1"/>
  <c r="M905" i="1" s="1"/>
  <c r="E1361" i="1" l="1"/>
  <c r="H1360" i="1"/>
  <c r="G1360" i="1"/>
  <c r="D1969" i="1"/>
  <c r="F906" i="1"/>
  <c r="J907" i="1" s="1"/>
  <c r="D1970" i="1" l="1"/>
  <c r="E1362" i="1"/>
  <c r="H1361" i="1"/>
  <c r="G1361" i="1"/>
  <c r="I906" i="1"/>
  <c r="K906" i="1" s="1"/>
  <c r="M906" i="1" s="1"/>
  <c r="F907" i="1"/>
  <c r="J908" i="1" s="1"/>
  <c r="E1363" i="1" l="1"/>
  <c r="H1362" i="1"/>
  <c r="G1362" i="1"/>
  <c r="D1971" i="1"/>
  <c r="I907" i="1"/>
  <c r="K907" i="1" s="1"/>
  <c r="M907" i="1" s="1"/>
  <c r="F908" i="1"/>
  <c r="J909" i="1" s="1"/>
  <c r="D1972" i="1" l="1"/>
  <c r="E1364" i="1"/>
  <c r="H1363" i="1"/>
  <c r="G1363" i="1"/>
  <c r="I908" i="1"/>
  <c r="K908" i="1" s="1"/>
  <c r="M908" i="1" s="1"/>
  <c r="F909" i="1"/>
  <c r="J910" i="1" s="1"/>
  <c r="E1365" i="1" l="1"/>
  <c r="H1364" i="1"/>
  <c r="G1364" i="1"/>
  <c r="D1973" i="1"/>
  <c r="I909" i="1"/>
  <c r="K909" i="1" s="1"/>
  <c r="M909" i="1" s="1"/>
  <c r="D1974" i="1" l="1"/>
  <c r="E1366" i="1"/>
  <c r="H1365" i="1"/>
  <c r="G1365" i="1"/>
  <c r="F910" i="1"/>
  <c r="J911" i="1" s="1"/>
  <c r="E1367" i="1" l="1"/>
  <c r="H1366" i="1"/>
  <c r="G1366" i="1"/>
  <c r="D1975" i="1"/>
  <c r="I910" i="1"/>
  <c r="K910" i="1" s="1"/>
  <c r="M910" i="1" s="1"/>
  <c r="F911" i="1"/>
  <c r="J912" i="1" s="1"/>
  <c r="D1976" i="1" l="1"/>
  <c r="E1368" i="1"/>
  <c r="H1367" i="1"/>
  <c r="G1367" i="1"/>
  <c r="I911" i="1"/>
  <c r="K911" i="1" s="1"/>
  <c r="M911" i="1" s="1"/>
  <c r="F912" i="1"/>
  <c r="J913" i="1" s="1"/>
  <c r="E1369" i="1" l="1"/>
  <c r="H1368" i="1"/>
  <c r="G1368" i="1"/>
  <c r="D1977" i="1"/>
  <c r="I912" i="1"/>
  <c r="K912" i="1" s="1"/>
  <c r="M912" i="1" s="1"/>
  <c r="D1978" i="1" l="1"/>
  <c r="E1370" i="1"/>
  <c r="H1369" i="1"/>
  <c r="G1369" i="1"/>
  <c r="F913" i="1"/>
  <c r="J914" i="1" s="1"/>
  <c r="E1371" i="1" l="1"/>
  <c r="H1370" i="1"/>
  <c r="G1370" i="1"/>
  <c r="D1979" i="1"/>
  <c r="I913" i="1"/>
  <c r="K913" i="1" s="1"/>
  <c r="M913" i="1" s="1"/>
  <c r="D1980" i="1" l="1"/>
  <c r="E1372" i="1"/>
  <c r="H1371" i="1"/>
  <c r="G1371" i="1"/>
  <c r="F914" i="1"/>
  <c r="J915" i="1" s="1"/>
  <c r="E1373" i="1" l="1"/>
  <c r="H1372" i="1"/>
  <c r="G1372" i="1"/>
  <c r="D1981" i="1"/>
  <c r="I914" i="1"/>
  <c r="K914" i="1" s="1"/>
  <c r="M914" i="1" s="1"/>
  <c r="F915" i="1"/>
  <c r="J916" i="1" s="1"/>
  <c r="D1982" i="1" l="1"/>
  <c r="E1374" i="1"/>
  <c r="H1373" i="1"/>
  <c r="G1373" i="1"/>
  <c r="I915" i="1"/>
  <c r="K915" i="1" s="1"/>
  <c r="M915" i="1" s="1"/>
  <c r="E1375" i="1" l="1"/>
  <c r="H1374" i="1"/>
  <c r="G1374" i="1"/>
  <c r="D1983" i="1"/>
  <c r="F916" i="1"/>
  <c r="J917" i="1" s="1"/>
  <c r="D1984" i="1" l="1"/>
  <c r="E1376" i="1"/>
  <c r="H1375" i="1"/>
  <c r="G1375" i="1"/>
  <c r="I916" i="1"/>
  <c r="K916" i="1" s="1"/>
  <c r="M916" i="1" s="1"/>
  <c r="F917" i="1"/>
  <c r="J918" i="1" s="1"/>
  <c r="E1377" i="1" l="1"/>
  <c r="H1376" i="1"/>
  <c r="G1376" i="1"/>
  <c r="D1985" i="1"/>
  <c r="I917" i="1"/>
  <c r="K917" i="1" s="1"/>
  <c r="M917" i="1" s="1"/>
  <c r="F918" i="1"/>
  <c r="J919" i="1" s="1"/>
  <c r="D1986" i="1" l="1"/>
  <c r="E1378" i="1"/>
  <c r="H1377" i="1"/>
  <c r="G1377" i="1"/>
  <c r="I918" i="1"/>
  <c r="K918" i="1" s="1"/>
  <c r="M918" i="1" s="1"/>
  <c r="F919" i="1"/>
  <c r="J920" i="1" s="1"/>
  <c r="E1379" i="1" l="1"/>
  <c r="H1378" i="1"/>
  <c r="G1378" i="1"/>
  <c r="D1987" i="1"/>
  <c r="I919" i="1"/>
  <c r="K919" i="1" s="1"/>
  <c r="M919" i="1" s="1"/>
  <c r="F920" i="1"/>
  <c r="J921" i="1" s="1"/>
  <c r="D1988" i="1" l="1"/>
  <c r="E1380" i="1"/>
  <c r="H1379" i="1"/>
  <c r="G1379" i="1"/>
  <c r="I920" i="1"/>
  <c r="K920" i="1" s="1"/>
  <c r="M920" i="1" s="1"/>
  <c r="F921" i="1"/>
  <c r="J922" i="1" s="1"/>
  <c r="E1381" i="1" l="1"/>
  <c r="H1380" i="1"/>
  <c r="G1380" i="1"/>
  <c r="D1989" i="1"/>
  <c r="I921" i="1"/>
  <c r="K921" i="1" s="1"/>
  <c r="M921" i="1" s="1"/>
  <c r="D1990" i="1" l="1"/>
  <c r="E1382" i="1"/>
  <c r="H1381" i="1"/>
  <c r="G1381" i="1"/>
  <c r="F922" i="1"/>
  <c r="J923" i="1" s="1"/>
  <c r="E1383" i="1" l="1"/>
  <c r="H1382" i="1"/>
  <c r="G1382" i="1"/>
  <c r="D1991" i="1"/>
  <c r="I922" i="1"/>
  <c r="K922" i="1" s="1"/>
  <c r="M922" i="1" s="1"/>
  <c r="F923" i="1"/>
  <c r="J924" i="1" s="1"/>
  <c r="D1992" i="1" l="1"/>
  <c r="E1384" i="1"/>
  <c r="H1383" i="1"/>
  <c r="G1383" i="1"/>
  <c r="I923" i="1"/>
  <c r="K923" i="1" s="1"/>
  <c r="M923" i="1" s="1"/>
  <c r="E1385" i="1" l="1"/>
  <c r="H1384" i="1"/>
  <c r="G1384" i="1"/>
  <c r="D1993" i="1"/>
  <c r="F924" i="1"/>
  <c r="J925" i="1" s="1"/>
  <c r="D1994" i="1" l="1"/>
  <c r="E1386" i="1"/>
  <c r="H1385" i="1"/>
  <c r="G1385" i="1"/>
  <c r="I924" i="1"/>
  <c r="K924" i="1" s="1"/>
  <c r="M924" i="1" s="1"/>
  <c r="E1387" i="1" l="1"/>
  <c r="H1386" i="1"/>
  <c r="G1386" i="1"/>
  <c r="D1995" i="1"/>
  <c r="F925" i="1"/>
  <c r="J926" i="1" s="1"/>
  <c r="D1996" i="1" l="1"/>
  <c r="E1388" i="1"/>
  <c r="H1387" i="1"/>
  <c r="G1387" i="1"/>
  <c r="I925" i="1"/>
  <c r="K925" i="1" s="1"/>
  <c r="M925" i="1" s="1"/>
  <c r="F926" i="1"/>
  <c r="J927" i="1" s="1"/>
  <c r="E1389" i="1" l="1"/>
  <c r="H1388" i="1"/>
  <c r="G1388" i="1"/>
  <c r="D1997" i="1"/>
  <c r="I926" i="1"/>
  <c r="K926" i="1" s="1"/>
  <c r="M926" i="1" s="1"/>
  <c r="D1998" i="1" l="1"/>
  <c r="E1390" i="1"/>
  <c r="H1389" i="1"/>
  <c r="G1389" i="1"/>
  <c r="F927" i="1"/>
  <c r="J928" i="1" s="1"/>
  <c r="E1391" i="1" l="1"/>
  <c r="H1390" i="1"/>
  <c r="G1390" i="1"/>
  <c r="D1999" i="1"/>
  <c r="I927" i="1"/>
  <c r="K927" i="1" s="1"/>
  <c r="M927" i="1" s="1"/>
  <c r="D2000" i="1" l="1"/>
  <c r="E1392" i="1"/>
  <c r="H1391" i="1"/>
  <c r="G1391" i="1"/>
  <c r="F928" i="1"/>
  <c r="J929" i="1" s="1"/>
  <c r="E1393" i="1" l="1"/>
  <c r="H1392" i="1"/>
  <c r="G1392" i="1"/>
  <c r="D2001" i="1"/>
  <c r="I928" i="1"/>
  <c r="K928" i="1" s="1"/>
  <c r="M928" i="1" s="1"/>
  <c r="D2002" i="1" l="1"/>
  <c r="E1394" i="1"/>
  <c r="H1393" i="1"/>
  <c r="G1393" i="1"/>
  <c r="F929" i="1"/>
  <c r="J930" i="1" s="1"/>
  <c r="E1395" i="1" l="1"/>
  <c r="H1394" i="1"/>
  <c r="G1394" i="1"/>
  <c r="D2003" i="1"/>
  <c r="I929" i="1"/>
  <c r="K929" i="1" s="1"/>
  <c r="M929" i="1" s="1"/>
  <c r="D2004" i="1" l="1"/>
  <c r="E1396" i="1"/>
  <c r="H1395" i="1"/>
  <c r="G1395" i="1"/>
  <c r="F930" i="1"/>
  <c r="J931" i="1" s="1"/>
  <c r="E1397" i="1" l="1"/>
  <c r="H1396" i="1"/>
  <c r="G1396" i="1"/>
  <c r="D2005" i="1"/>
  <c r="I930" i="1"/>
  <c r="K930" i="1" s="1"/>
  <c r="M930" i="1" s="1"/>
  <c r="F931" i="1"/>
  <c r="J932" i="1" s="1"/>
  <c r="D2006" i="1" l="1"/>
  <c r="E1398" i="1"/>
  <c r="H1397" i="1"/>
  <c r="G1397" i="1"/>
  <c r="I931" i="1"/>
  <c r="K931" i="1" s="1"/>
  <c r="M931" i="1" s="1"/>
  <c r="E1399" i="1" l="1"/>
  <c r="H1398" i="1"/>
  <c r="G1398" i="1"/>
  <c r="D2007" i="1"/>
  <c r="F932" i="1"/>
  <c r="J933" i="1" s="1"/>
  <c r="D2008" i="1" l="1"/>
  <c r="E1400" i="1"/>
  <c r="H1399" i="1"/>
  <c r="G1399" i="1"/>
  <c r="I932" i="1"/>
  <c r="K932" i="1" s="1"/>
  <c r="M932" i="1" s="1"/>
  <c r="F933" i="1"/>
  <c r="J934" i="1" s="1"/>
  <c r="E1401" i="1" l="1"/>
  <c r="H1400" i="1"/>
  <c r="G1400" i="1"/>
  <c r="D2009" i="1"/>
  <c r="I933" i="1"/>
  <c r="K933" i="1" s="1"/>
  <c r="M933" i="1" s="1"/>
  <c r="F934" i="1"/>
  <c r="J935" i="1" s="1"/>
  <c r="D2010" i="1" l="1"/>
  <c r="E1402" i="1"/>
  <c r="H1401" i="1"/>
  <c r="G1401" i="1"/>
  <c r="I934" i="1"/>
  <c r="K934" i="1" s="1"/>
  <c r="M934" i="1" s="1"/>
  <c r="F935" i="1"/>
  <c r="J936" i="1" s="1"/>
  <c r="E1403" i="1" l="1"/>
  <c r="H1402" i="1"/>
  <c r="G1402" i="1"/>
  <c r="D2011" i="1"/>
  <c r="I935" i="1"/>
  <c r="K935" i="1" s="1"/>
  <c r="M935" i="1" s="1"/>
  <c r="D2012" i="1" l="1"/>
  <c r="E1404" i="1"/>
  <c r="H1403" i="1"/>
  <c r="G1403" i="1"/>
  <c r="F936" i="1"/>
  <c r="J937" i="1" s="1"/>
  <c r="E1405" i="1" l="1"/>
  <c r="H1404" i="1"/>
  <c r="G1404" i="1"/>
  <c r="D2013" i="1"/>
  <c r="I936" i="1"/>
  <c r="K936" i="1" s="1"/>
  <c r="M936" i="1" s="1"/>
  <c r="F937" i="1"/>
  <c r="J938" i="1" s="1"/>
  <c r="D2014" i="1" l="1"/>
  <c r="E1406" i="1"/>
  <c r="H1405" i="1"/>
  <c r="G1405" i="1"/>
  <c r="I937" i="1"/>
  <c r="K937" i="1" s="1"/>
  <c r="M937" i="1" s="1"/>
  <c r="E1407" i="1" l="1"/>
  <c r="H1406" i="1"/>
  <c r="G1406" i="1"/>
  <c r="D2015" i="1"/>
  <c r="F938" i="1"/>
  <c r="J939" i="1" s="1"/>
  <c r="D2016" i="1" l="1"/>
  <c r="E1408" i="1"/>
  <c r="H1407" i="1"/>
  <c r="G1407" i="1"/>
  <c r="I938" i="1"/>
  <c r="K938" i="1" s="1"/>
  <c r="M938" i="1" s="1"/>
  <c r="F939" i="1"/>
  <c r="J940" i="1" s="1"/>
  <c r="E1409" i="1" l="1"/>
  <c r="H1408" i="1"/>
  <c r="G1408" i="1"/>
  <c r="D2017" i="1"/>
  <c r="I939" i="1"/>
  <c r="K939" i="1" s="1"/>
  <c r="M939" i="1" s="1"/>
  <c r="D2018" i="1" l="1"/>
  <c r="E1410" i="1"/>
  <c r="H1409" i="1"/>
  <c r="G1409" i="1"/>
  <c r="F940" i="1"/>
  <c r="J941" i="1" s="1"/>
  <c r="E1411" i="1" l="1"/>
  <c r="H1410" i="1"/>
  <c r="G1410" i="1"/>
  <c r="D2019" i="1"/>
  <c r="I940" i="1"/>
  <c r="K940" i="1" s="1"/>
  <c r="M940" i="1" s="1"/>
  <c r="F941" i="1"/>
  <c r="J942" i="1" s="1"/>
  <c r="D2020" i="1" l="1"/>
  <c r="E1412" i="1"/>
  <c r="H1411" i="1"/>
  <c r="G1411" i="1"/>
  <c r="I941" i="1"/>
  <c r="K941" i="1" s="1"/>
  <c r="M941" i="1" s="1"/>
  <c r="F942" i="1"/>
  <c r="J943" i="1" s="1"/>
  <c r="E1413" i="1" l="1"/>
  <c r="H1412" i="1"/>
  <c r="G1412" i="1"/>
  <c r="D2021" i="1"/>
  <c r="I942" i="1"/>
  <c r="K942" i="1" s="1"/>
  <c r="M942" i="1" s="1"/>
  <c r="D2022" i="1" l="1"/>
  <c r="E1414" i="1"/>
  <c r="H1413" i="1"/>
  <c r="G1413" i="1"/>
  <c r="F943" i="1"/>
  <c r="J944" i="1" s="1"/>
  <c r="E1415" i="1" l="1"/>
  <c r="H1414" i="1"/>
  <c r="G1414" i="1"/>
  <c r="D2023" i="1"/>
  <c r="I943" i="1"/>
  <c r="K943" i="1" s="1"/>
  <c r="M943" i="1" s="1"/>
  <c r="F944" i="1"/>
  <c r="J945" i="1" s="1"/>
  <c r="D2024" i="1" l="1"/>
  <c r="E1416" i="1"/>
  <c r="H1415" i="1"/>
  <c r="G1415" i="1"/>
  <c r="I944" i="1"/>
  <c r="K944" i="1" s="1"/>
  <c r="M944" i="1" s="1"/>
  <c r="F945" i="1"/>
  <c r="J946" i="1" s="1"/>
  <c r="E1417" i="1" l="1"/>
  <c r="H1416" i="1"/>
  <c r="G1416" i="1"/>
  <c r="D2025" i="1"/>
  <c r="I945" i="1"/>
  <c r="K945" i="1" s="1"/>
  <c r="M945" i="1" s="1"/>
  <c r="F946" i="1"/>
  <c r="J947" i="1" s="1"/>
  <c r="D2026" i="1" l="1"/>
  <c r="E1418" i="1"/>
  <c r="H1417" i="1"/>
  <c r="G1417" i="1"/>
  <c r="I946" i="1"/>
  <c r="K946" i="1" s="1"/>
  <c r="M946" i="1" s="1"/>
  <c r="E1419" i="1" l="1"/>
  <c r="H1418" i="1"/>
  <c r="G1418" i="1"/>
  <c r="D2027" i="1"/>
  <c r="F947" i="1"/>
  <c r="J948" i="1" s="1"/>
  <c r="D2028" i="1" l="1"/>
  <c r="E1420" i="1"/>
  <c r="H1419" i="1"/>
  <c r="G1419" i="1"/>
  <c r="I947" i="1"/>
  <c r="K947" i="1" s="1"/>
  <c r="M947" i="1" s="1"/>
  <c r="E1421" i="1" l="1"/>
  <c r="H1420" i="1"/>
  <c r="G1420" i="1"/>
  <c r="D2029" i="1"/>
  <c r="F948" i="1"/>
  <c r="J949" i="1" s="1"/>
  <c r="D2030" i="1" l="1"/>
  <c r="E1422" i="1"/>
  <c r="H1421" i="1"/>
  <c r="G1421" i="1"/>
  <c r="I948" i="1"/>
  <c r="K948" i="1" s="1"/>
  <c r="M948" i="1" s="1"/>
  <c r="F949" i="1"/>
  <c r="J950" i="1" s="1"/>
  <c r="E1423" i="1" l="1"/>
  <c r="H1422" i="1"/>
  <c r="G1422" i="1"/>
  <c r="D2031" i="1"/>
  <c r="I949" i="1"/>
  <c r="K949" i="1" s="1"/>
  <c r="M949" i="1" s="1"/>
  <c r="F950" i="1"/>
  <c r="J951" i="1" s="1"/>
  <c r="D2032" i="1" l="1"/>
  <c r="E1424" i="1"/>
  <c r="H1423" i="1"/>
  <c r="G1423" i="1"/>
  <c r="I950" i="1"/>
  <c r="K950" i="1" s="1"/>
  <c r="M950" i="1" s="1"/>
  <c r="F951" i="1"/>
  <c r="J952" i="1" s="1"/>
  <c r="E1425" i="1" l="1"/>
  <c r="H1424" i="1"/>
  <c r="G1424" i="1"/>
  <c r="D2033" i="1"/>
  <c r="I951" i="1"/>
  <c r="K951" i="1" s="1"/>
  <c r="M951" i="1" s="1"/>
  <c r="D2034" i="1" l="1"/>
  <c r="E1426" i="1"/>
  <c r="H1425" i="1"/>
  <c r="G1425" i="1"/>
  <c r="F952" i="1"/>
  <c r="J953" i="1" s="1"/>
  <c r="E1427" i="1" l="1"/>
  <c r="H1426" i="1"/>
  <c r="G1426" i="1"/>
  <c r="D2035" i="1"/>
  <c r="I952" i="1"/>
  <c r="K952" i="1" s="1"/>
  <c r="M952" i="1" s="1"/>
  <c r="F953" i="1"/>
  <c r="J954" i="1" s="1"/>
  <c r="D2036" i="1" l="1"/>
  <c r="E1428" i="1"/>
  <c r="H1427" i="1"/>
  <c r="G1427" i="1"/>
  <c r="I953" i="1"/>
  <c r="K953" i="1" s="1"/>
  <c r="M953" i="1" s="1"/>
  <c r="E1429" i="1" l="1"/>
  <c r="H1428" i="1"/>
  <c r="G1428" i="1"/>
  <c r="D2037" i="1"/>
  <c r="F954" i="1"/>
  <c r="J955" i="1" s="1"/>
  <c r="D2038" i="1" l="1"/>
  <c r="E1430" i="1"/>
  <c r="H1429" i="1"/>
  <c r="G1429" i="1"/>
  <c r="I954" i="1"/>
  <c r="K954" i="1" s="1"/>
  <c r="M954" i="1" s="1"/>
  <c r="E1431" i="1" l="1"/>
  <c r="H1430" i="1"/>
  <c r="G1430" i="1"/>
  <c r="D2039" i="1"/>
  <c r="F955" i="1"/>
  <c r="J956" i="1" s="1"/>
  <c r="D2040" i="1" l="1"/>
  <c r="E1432" i="1"/>
  <c r="H1431" i="1"/>
  <c r="G1431" i="1"/>
  <c r="I955" i="1"/>
  <c r="K955" i="1" s="1"/>
  <c r="M955" i="1" s="1"/>
  <c r="E1433" i="1" l="1"/>
  <c r="H1432" i="1"/>
  <c r="G1432" i="1"/>
  <c r="D2041" i="1"/>
  <c r="F956" i="1"/>
  <c r="J957" i="1" s="1"/>
  <c r="D2042" i="1" l="1"/>
  <c r="E1434" i="1"/>
  <c r="H1433" i="1"/>
  <c r="G1433" i="1"/>
  <c r="I956" i="1"/>
  <c r="K956" i="1" s="1"/>
  <c r="M956" i="1" s="1"/>
  <c r="F957" i="1"/>
  <c r="J958" i="1" s="1"/>
  <c r="E1435" i="1" l="1"/>
  <c r="H1434" i="1"/>
  <c r="G1434" i="1"/>
  <c r="D2043" i="1"/>
  <c r="I957" i="1"/>
  <c r="K957" i="1" s="1"/>
  <c r="M957" i="1" s="1"/>
  <c r="F958" i="1"/>
  <c r="J959" i="1" s="1"/>
  <c r="D2044" i="1" l="1"/>
  <c r="E1436" i="1"/>
  <c r="H1435" i="1"/>
  <c r="G1435" i="1"/>
  <c r="I958" i="1"/>
  <c r="K958" i="1" s="1"/>
  <c r="M958" i="1" s="1"/>
  <c r="E1437" i="1" l="1"/>
  <c r="H1436" i="1"/>
  <c r="G1436" i="1"/>
  <c r="D2045" i="1"/>
  <c r="F959" i="1"/>
  <c r="J960" i="1" s="1"/>
  <c r="D2046" i="1" l="1"/>
  <c r="E1438" i="1"/>
  <c r="H1437" i="1"/>
  <c r="G1437" i="1"/>
  <c r="I959" i="1"/>
  <c r="K959" i="1" s="1"/>
  <c r="M959" i="1" s="1"/>
  <c r="E1439" i="1" l="1"/>
  <c r="H1438" i="1"/>
  <c r="G1438" i="1"/>
  <c r="D2047" i="1"/>
  <c r="F960" i="1"/>
  <c r="J961" i="1" s="1"/>
  <c r="D2048" i="1" l="1"/>
  <c r="E1440" i="1"/>
  <c r="H1439" i="1"/>
  <c r="G1439" i="1"/>
  <c r="I960" i="1"/>
  <c r="K960" i="1" s="1"/>
  <c r="M960" i="1" s="1"/>
  <c r="F961" i="1"/>
  <c r="J962" i="1" s="1"/>
  <c r="E1441" i="1" l="1"/>
  <c r="H1440" i="1"/>
  <c r="G1440" i="1"/>
  <c r="D2049" i="1"/>
  <c r="I961" i="1"/>
  <c r="K961" i="1" s="1"/>
  <c r="M961" i="1" s="1"/>
  <c r="F962" i="1"/>
  <c r="J963" i="1" s="1"/>
  <c r="D2050" i="1" l="1"/>
  <c r="E1442" i="1"/>
  <c r="H1441" i="1"/>
  <c r="G1441" i="1"/>
  <c r="I962" i="1"/>
  <c r="K962" i="1" s="1"/>
  <c r="M962" i="1" s="1"/>
  <c r="F963" i="1"/>
  <c r="J964" i="1" s="1"/>
  <c r="E1443" i="1" l="1"/>
  <c r="H1442" i="1"/>
  <c r="G1442" i="1"/>
  <c r="D2051" i="1"/>
  <c r="I963" i="1"/>
  <c r="K963" i="1" s="1"/>
  <c r="M963" i="1" s="1"/>
  <c r="F964" i="1"/>
  <c r="J965" i="1" s="1"/>
  <c r="D2052" i="1" l="1"/>
  <c r="E1444" i="1"/>
  <c r="H1443" i="1"/>
  <c r="G1443" i="1"/>
  <c r="I964" i="1"/>
  <c r="K964" i="1" s="1"/>
  <c r="M964" i="1" s="1"/>
  <c r="F965" i="1"/>
  <c r="J966" i="1" s="1"/>
  <c r="E1445" i="1" l="1"/>
  <c r="H1444" i="1"/>
  <c r="G1444" i="1"/>
  <c r="D2053" i="1"/>
  <c r="I965" i="1"/>
  <c r="K965" i="1" s="1"/>
  <c r="M965" i="1" s="1"/>
  <c r="D2054" i="1" l="1"/>
  <c r="E1446" i="1"/>
  <c r="H1445" i="1"/>
  <c r="G1445" i="1"/>
  <c r="F966" i="1"/>
  <c r="J967" i="1" s="1"/>
  <c r="E1447" i="1" l="1"/>
  <c r="H1446" i="1"/>
  <c r="G1446" i="1"/>
  <c r="D2055" i="1"/>
  <c r="I966" i="1"/>
  <c r="K966" i="1" s="1"/>
  <c r="M966" i="1" s="1"/>
  <c r="D2056" i="1" l="1"/>
  <c r="E1448" i="1"/>
  <c r="H1447" i="1"/>
  <c r="G1447" i="1"/>
  <c r="F967" i="1"/>
  <c r="J968" i="1" s="1"/>
  <c r="E1449" i="1" l="1"/>
  <c r="H1448" i="1"/>
  <c r="G1448" i="1"/>
  <c r="D2057" i="1"/>
  <c r="I967" i="1"/>
  <c r="K967" i="1" s="1"/>
  <c r="M967" i="1" s="1"/>
  <c r="F968" i="1"/>
  <c r="J969" i="1" s="1"/>
  <c r="D2058" i="1" l="1"/>
  <c r="E1450" i="1"/>
  <c r="H1449" i="1"/>
  <c r="G1449" i="1"/>
  <c r="I968" i="1"/>
  <c r="K968" i="1" s="1"/>
  <c r="M968" i="1" s="1"/>
  <c r="F969" i="1"/>
  <c r="J970" i="1" s="1"/>
  <c r="E1451" i="1" l="1"/>
  <c r="H1450" i="1"/>
  <c r="G1450" i="1"/>
  <c r="D2059" i="1"/>
  <c r="I969" i="1"/>
  <c r="K969" i="1" s="1"/>
  <c r="M969" i="1" s="1"/>
  <c r="D2060" i="1" l="1"/>
  <c r="E1452" i="1"/>
  <c r="H1451" i="1"/>
  <c r="G1451" i="1"/>
  <c r="F970" i="1"/>
  <c r="J971" i="1" s="1"/>
  <c r="E1453" i="1" l="1"/>
  <c r="H1452" i="1"/>
  <c r="G1452" i="1"/>
  <c r="D2061" i="1"/>
  <c r="I970" i="1"/>
  <c r="K970" i="1" s="1"/>
  <c r="M970" i="1" s="1"/>
  <c r="D2062" i="1" l="1"/>
  <c r="E1454" i="1"/>
  <c r="H1453" i="1"/>
  <c r="G1453" i="1"/>
  <c r="F971" i="1"/>
  <c r="J972" i="1" s="1"/>
  <c r="E1455" i="1" l="1"/>
  <c r="H1454" i="1"/>
  <c r="G1454" i="1"/>
  <c r="D2063" i="1"/>
  <c r="I971" i="1"/>
  <c r="K971" i="1" s="1"/>
  <c r="M971" i="1" s="1"/>
  <c r="F972" i="1"/>
  <c r="J973" i="1" s="1"/>
  <c r="D2064" i="1" l="1"/>
  <c r="E1456" i="1"/>
  <c r="H1455" i="1"/>
  <c r="G1455" i="1"/>
  <c r="I972" i="1"/>
  <c r="K972" i="1" s="1"/>
  <c r="M972" i="1" s="1"/>
  <c r="F973" i="1"/>
  <c r="J974" i="1" s="1"/>
  <c r="E1457" i="1" l="1"/>
  <c r="H1456" i="1"/>
  <c r="G1456" i="1"/>
  <c r="D2065" i="1"/>
  <c r="I973" i="1"/>
  <c r="K973" i="1" s="1"/>
  <c r="M973" i="1" s="1"/>
  <c r="F974" i="1"/>
  <c r="J975" i="1" s="1"/>
  <c r="D2066" i="1" l="1"/>
  <c r="E1458" i="1"/>
  <c r="H1457" i="1"/>
  <c r="G1457" i="1"/>
  <c r="I974" i="1"/>
  <c r="K974" i="1" s="1"/>
  <c r="M974" i="1" s="1"/>
  <c r="F975" i="1"/>
  <c r="J976" i="1" s="1"/>
  <c r="E1459" i="1" l="1"/>
  <c r="H1458" i="1"/>
  <c r="G1458" i="1"/>
  <c r="D2067" i="1"/>
  <c r="I975" i="1"/>
  <c r="K975" i="1" s="1"/>
  <c r="M975" i="1" s="1"/>
  <c r="F976" i="1"/>
  <c r="J977" i="1" s="1"/>
  <c r="D2068" i="1" l="1"/>
  <c r="E1460" i="1"/>
  <c r="H1459" i="1"/>
  <c r="G1459" i="1"/>
  <c r="I976" i="1"/>
  <c r="K976" i="1" s="1"/>
  <c r="M976" i="1" s="1"/>
  <c r="F977" i="1"/>
  <c r="J978" i="1" s="1"/>
  <c r="E1461" i="1" l="1"/>
  <c r="H1460" i="1"/>
  <c r="G1460" i="1"/>
  <c r="D2069" i="1"/>
  <c r="I977" i="1"/>
  <c r="K977" i="1" s="1"/>
  <c r="M977" i="1" s="1"/>
  <c r="F978" i="1"/>
  <c r="J979" i="1" s="1"/>
  <c r="D2070" i="1" l="1"/>
  <c r="E1462" i="1"/>
  <c r="H1461" i="1"/>
  <c r="G1461" i="1"/>
  <c r="I978" i="1"/>
  <c r="K978" i="1" s="1"/>
  <c r="M978" i="1" s="1"/>
  <c r="E1463" i="1" l="1"/>
  <c r="H1462" i="1"/>
  <c r="G1462" i="1"/>
  <c r="D2071" i="1"/>
  <c r="F979" i="1"/>
  <c r="J980" i="1" s="1"/>
  <c r="F980" i="1" l="1"/>
  <c r="J981" i="1" s="1"/>
  <c r="I979" i="1"/>
  <c r="K979" i="1" s="1"/>
  <c r="M979" i="1" s="1"/>
  <c r="D2072" i="1"/>
  <c r="E1464" i="1"/>
  <c r="H1463" i="1"/>
  <c r="G1463" i="1"/>
  <c r="I980" i="1" l="1"/>
  <c r="K980" i="1" s="1"/>
  <c r="M980" i="1" s="1"/>
  <c r="E1465" i="1"/>
  <c r="H1464" i="1"/>
  <c r="G1464" i="1"/>
  <c r="D2073" i="1"/>
  <c r="F981" i="1"/>
  <c r="J982" i="1" s="1"/>
  <c r="D2074" i="1" l="1"/>
  <c r="E1466" i="1"/>
  <c r="H1465" i="1"/>
  <c r="G1465" i="1"/>
  <c r="I981" i="1"/>
  <c r="K981" i="1" s="1"/>
  <c r="M981" i="1" s="1"/>
  <c r="F982" i="1"/>
  <c r="J983" i="1" s="1"/>
  <c r="E1467" i="1" l="1"/>
  <c r="H1466" i="1"/>
  <c r="G1466" i="1"/>
  <c r="D2075" i="1"/>
  <c r="I982" i="1"/>
  <c r="K982" i="1" s="1"/>
  <c r="M982" i="1" s="1"/>
  <c r="D2076" i="1" l="1"/>
  <c r="E1468" i="1"/>
  <c r="H1467" i="1"/>
  <c r="G1467" i="1"/>
  <c r="F983" i="1"/>
  <c r="J984" i="1" s="1"/>
  <c r="E1469" i="1" l="1"/>
  <c r="H1468" i="1"/>
  <c r="G1468" i="1"/>
  <c r="F984" i="1"/>
  <c r="J985" i="1" s="1"/>
  <c r="D2077" i="1"/>
  <c r="I983" i="1"/>
  <c r="K983" i="1" s="1"/>
  <c r="M983" i="1" s="1"/>
  <c r="I984" i="1"/>
  <c r="K984" i="1" s="1"/>
  <c r="M984" i="1" s="1"/>
  <c r="F985" i="1"/>
  <c r="J986" i="1" s="1"/>
  <c r="D2078" i="1" l="1"/>
  <c r="E1470" i="1"/>
  <c r="H1469" i="1"/>
  <c r="G1469" i="1"/>
  <c r="I985" i="1"/>
  <c r="K985" i="1" s="1"/>
  <c r="M985" i="1" s="1"/>
  <c r="E1471" i="1" l="1"/>
  <c r="H1470" i="1"/>
  <c r="G1470" i="1"/>
  <c r="D2079" i="1"/>
  <c r="F986" i="1"/>
  <c r="J987" i="1" s="1"/>
  <c r="D2080" i="1" l="1"/>
  <c r="E1472" i="1"/>
  <c r="H1471" i="1"/>
  <c r="G1471" i="1"/>
  <c r="I986" i="1"/>
  <c r="K986" i="1" s="1"/>
  <c r="M986" i="1" s="1"/>
  <c r="E1473" i="1" l="1"/>
  <c r="H1472" i="1"/>
  <c r="G1472" i="1"/>
  <c r="D2081" i="1"/>
  <c r="F987" i="1"/>
  <c r="J988" i="1" s="1"/>
  <c r="D2082" i="1" l="1"/>
  <c r="E1474" i="1"/>
  <c r="H1473" i="1"/>
  <c r="G1473" i="1"/>
  <c r="I987" i="1"/>
  <c r="K987" i="1" s="1"/>
  <c r="M987" i="1" s="1"/>
  <c r="F988" i="1"/>
  <c r="J989" i="1" s="1"/>
  <c r="E1475" i="1" l="1"/>
  <c r="H1474" i="1"/>
  <c r="G1474" i="1"/>
  <c r="D2083" i="1"/>
  <c r="I988" i="1"/>
  <c r="K988" i="1" s="1"/>
  <c r="M988" i="1" s="1"/>
  <c r="D2084" i="1" l="1"/>
  <c r="E1476" i="1"/>
  <c r="H1475" i="1"/>
  <c r="G1475" i="1"/>
  <c r="F989" i="1"/>
  <c r="J990" i="1" s="1"/>
  <c r="E1477" i="1" l="1"/>
  <c r="H1476" i="1"/>
  <c r="G1476" i="1"/>
  <c r="D2085" i="1"/>
  <c r="I989" i="1"/>
  <c r="K989" i="1" s="1"/>
  <c r="M989" i="1" s="1"/>
  <c r="D2086" i="1" l="1"/>
  <c r="E1478" i="1"/>
  <c r="H1477" i="1"/>
  <c r="G1477" i="1"/>
  <c r="F990" i="1"/>
  <c r="J991" i="1" s="1"/>
  <c r="E1479" i="1" l="1"/>
  <c r="H1478" i="1"/>
  <c r="G1478" i="1"/>
  <c r="D2087" i="1"/>
  <c r="I990" i="1"/>
  <c r="K990" i="1" s="1"/>
  <c r="M990" i="1" s="1"/>
  <c r="F991" i="1"/>
  <c r="J992" i="1" s="1"/>
  <c r="D2088" i="1" l="1"/>
  <c r="E1480" i="1"/>
  <c r="H1479" i="1"/>
  <c r="G1479" i="1"/>
  <c r="I991" i="1"/>
  <c r="K991" i="1" s="1"/>
  <c r="M991" i="1" s="1"/>
  <c r="F992" i="1"/>
  <c r="J993" i="1" s="1"/>
  <c r="E1481" i="1" l="1"/>
  <c r="H1480" i="1"/>
  <c r="G1480" i="1"/>
  <c r="D2089" i="1"/>
  <c r="I992" i="1"/>
  <c r="K992" i="1" s="1"/>
  <c r="M992" i="1" s="1"/>
  <c r="F993" i="1"/>
  <c r="J994" i="1" s="1"/>
  <c r="D2090" i="1" l="1"/>
  <c r="E1482" i="1"/>
  <c r="H1481" i="1"/>
  <c r="G1481" i="1"/>
  <c r="I993" i="1"/>
  <c r="K993" i="1" s="1"/>
  <c r="M993" i="1" s="1"/>
  <c r="F994" i="1"/>
  <c r="J995" i="1" s="1"/>
  <c r="E1483" i="1" l="1"/>
  <c r="H1482" i="1"/>
  <c r="G1482" i="1"/>
  <c r="D2091" i="1"/>
  <c r="I994" i="1"/>
  <c r="K994" i="1" s="1"/>
  <c r="M994" i="1" s="1"/>
  <c r="D2092" i="1" l="1"/>
  <c r="E1484" i="1"/>
  <c r="H1483" i="1"/>
  <c r="G1483" i="1"/>
  <c r="F995" i="1"/>
  <c r="J996" i="1" s="1"/>
  <c r="E1485" i="1" l="1"/>
  <c r="H1484" i="1"/>
  <c r="G1484" i="1"/>
  <c r="D2093" i="1"/>
  <c r="I995" i="1"/>
  <c r="K995" i="1" s="1"/>
  <c r="M995" i="1" s="1"/>
  <c r="D2094" i="1" l="1"/>
  <c r="E1486" i="1"/>
  <c r="H1485" i="1"/>
  <c r="G1485" i="1"/>
  <c r="F996" i="1"/>
  <c r="J997" i="1" s="1"/>
  <c r="E1487" i="1" l="1"/>
  <c r="H1486" i="1"/>
  <c r="G1486" i="1"/>
  <c r="D2095" i="1"/>
  <c r="I996" i="1"/>
  <c r="K996" i="1" s="1"/>
  <c r="M996" i="1" s="1"/>
  <c r="F997" i="1"/>
  <c r="J998" i="1" s="1"/>
  <c r="D2096" i="1" l="1"/>
  <c r="E1488" i="1"/>
  <c r="H1487" i="1"/>
  <c r="G1487" i="1"/>
  <c r="I997" i="1"/>
  <c r="K997" i="1" s="1"/>
  <c r="M997" i="1" s="1"/>
  <c r="F998" i="1"/>
  <c r="J999" i="1" s="1"/>
  <c r="E1489" i="1" l="1"/>
  <c r="H1488" i="1"/>
  <c r="G1488" i="1"/>
  <c r="D2097" i="1"/>
  <c r="I998" i="1"/>
  <c r="K998" i="1" s="1"/>
  <c r="M998" i="1" s="1"/>
  <c r="D2098" i="1" l="1"/>
  <c r="E1490" i="1"/>
  <c r="H1489" i="1"/>
  <c r="G1489" i="1"/>
  <c r="F999" i="1"/>
  <c r="J1000" i="1" s="1"/>
  <c r="E1491" i="1" l="1"/>
  <c r="H1490" i="1"/>
  <c r="G1490" i="1"/>
  <c r="D2099" i="1"/>
  <c r="I999" i="1"/>
  <c r="K999" i="1" s="1"/>
  <c r="M999" i="1" s="1"/>
  <c r="D2100" i="1" l="1"/>
  <c r="E1492" i="1"/>
  <c r="H1491" i="1"/>
  <c r="G1491" i="1"/>
  <c r="F1000" i="1"/>
  <c r="J1001" i="1" s="1"/>
  <c r="E1493" i="1" l="1"/>
  <c r="H1492" i="1"/>
  <c r="G1492" i="1"/>
  <c r="D2101" i="1"/>
  <c r="I1000" i="1"/>
  <c r="K1000" i="1" s="1"/>
  <c r="M1000" i="1" s="1"/>
  <c r="F1001" i="1"/>
  <c r="J1002" i="1" s="1"/>
  <c r="D2102" i="1" l="1"/>
  <c r="E1494" i="1"/>
  <c r="H1493" i="1"/>
  <c r="G1493" i="1"/>
  <c r="I1001" i="1"/>
  <c r="K1001" i="1" s="1"/>
  <c r="M1001" i="1" s="1"/>
  <c r="F1002" i="1"/>
  <c r="J1003" i="1" s="1"/>
  <c r="E1495" i="1" l="1"/>
  <c r="H1494" i="1"/>
  <c r="G1494" i="1"/>
  <c r="D2103" i="1"/>
  <c r="I1002" i="1"/>
  <c r="K1002" i="1" s="1"/>
  <c r="M1002" i="1" s="1"/>
  <c r="D2104" i="1" l="1"/>
  <c r="E1496" i="1"/>
  <c r="H1495" i="1"/>
  <c r="G1495" i="1"/>
  <c r="F1003" i="1"/>
  <c r="J1004" i="1" s="1"/>
  <c r="E1497" i="1" l="1"/>
  <c r="H1496" i="1"/>
  <c r="G1496" i="1"/>
  <c r="D2105" i="1"/>
  <c r="I1003" i="1"/>
  <c r="K1003" i="1" s="1"/>
  <c r="M1003" i="1" s="1"/>
  <c r="F1004" i="1"/>
  <c r="J1005" i="1" s="1"/>
  <c r="D2106" i="1" l="1"/>
  <c r="E1498" i="1"/>
  <c r="H1497" i="1"/>
  <c r="G1497" i="1"/>
  <c r="I1004" i="1"/>
  <c r="K1004" i="1" s="1"/>
  <c r="M1004" i="1" s="1"/>
  <c r="F1005" i="1"/>
  <c r="J1006" i="1" s="1"/>
  <c r="E1499" i="1" l="1"/>
  <c r="H1498" i="1"/>
  <c r="G1498" i="1"/>
  <c r="D2107" i="1"/>
  <c r="I1005" i="1"/>
  <c r="K1005" i="1" s="1"/>
  <c r="M1005" i="1" s="1"/>
  <c r="F1006" i="1"/>
  <c r="J1007" i="1" s="1"/>
  <c r="D2108" i="1" l="1"/>
  <c r="E1500" i="1"/>
  <c r="H1499" i="1"/>
  <c r="G1499" i="1"/>
  <c r="I1006" i="1"/>
  <c r="K1006" i="1" s="1"/>
  <c r="M1006" i="1" s="1"/>
  <c r="E1501" i="1" l="1"/>
  <c r="H1500" i="1"/>
  <c r="G1500" i="1"/>
  <c r="D2109" i="1"/>
  <c r="F1007" i="1"/>
  <c r="J1008" i="1" s="1"/>
  <c r="D2110" i="1" l="1"/>
  <c r="E1502" i="1"/>
  <c r="H1501" i="1"/>
  <c r="G1501" i="1"/>
  <c r="I1007" i="1"/>
  <c r="K1007" i="1" s="1"/>
  <c r="M1007" i="1" s="1"/>
  <c r="F1008" i="1"/>
  <c r="J1009" i="1" s="1"/>
  <c r="E1503" i="1" l="1"/>
  <c r="H1502" i="1"/>
  <c r="G1502" i="1"/>
  <c r="D2111" i="1"/>
  <c r="I1008" i="1"/>
  <c r="K1008" i="1" s="1"/>
  <c r="M1008" i="1" s="1"/>
  <c r="F1009" i="1"/>
  <c r="J1010" i="1" s="1"/>
  <c r="D2112" i="1" l="1"/>
  <c r="E1504" i="1"/>
  <c r="H1503" i="1"/>
  <c r="G1503" i="1"/>
  <c r="I1009" i="1"/>
  <c r="K1009" i="1" s="1"/>
  <c r="M1009" i="1" s="1"/>
  <c r="F1010" i="1"/>
  <c r="J1011" i="1" s="1"/>
  <c r="E1505" i="1" l="1"/>
  <c r="H1504" i="1"/>
  <c r="G1504" i="1"/>
  <c r="D2113" i="1"/>
  <c r="I1010" i="1"/>
  <c r="K1010" i="1" s="1"/>
  <c r="M1010" i="1" s="1"/>
  <c r="D2114" i="1" l="1"/>
  <c r="E1506" i="1"/>
  <c r="H1505" i="1"/>
  <c r="G1505" i="1"/>
  <c r="F1011" i="1"/>
  <c r="J1012" i="1" s="1"/>
  <c r="E1507" i="1" l="1"/>
  <c r="H1506" i="1"/>
  <c r="G1506" i="1"/>
  <c r="D2115" i="1"/>
  <c r="I1011" i="1"/>
  <c r="K1011" i="1" s="1"/>
  <c r="M1011" i="1" s="1"/>
  <c r="F1012" i="1"/>
  <c r="J1013" i="1" s="1"/>
  <c r="D2116" i="1" l="1"/>
  <c r="E1508" i="1"/>
  <c r="H1507" i="1"/>
  <c r="G1507" i="1"/>
  <c r="I1012" i="1"/>
  <c r="K1012" i="1" s="1"/>
  <c r="M1012" i="1" s="1"/>
  <c r="F1013" i="1"/>
  <c r="J1014" i="1" s="1"/>
  <c r="E1509" i="1" l="1"/>
  <c r="H1508" i="1"/>
  <c r="G1508" i="1"/>
  <c r="D2117" i="1"/>
  <c r="I1013" i="1"/>
  <c r="K1013" i="1" s="1"/>
  <c r="M1013" i="1" s="1"/>
  <c r="F1014" i="1"/>
  <c r="J1015" i="1" s="1"/>
  <c r="D2118" i="1" l="1"/>
  <c r="E1510" i="1"/>
  <c r="H1509" i="1"/>
  <c r="G1509" i="1"/>
  <c r="I1014" i="1"/>
  <c r="K1014" i="1" s="1"/>
  <c r="M1014" i="1" s="1"/>
  <c r="F1015" i="1"/>
  <c r="J1016" i="1" s="1"/>
  <c r="E1511" i="1" l="1"/>
  <c r="H1510" i="1"/>
  <c r="G1510" i="1"/>
  <c r="D2119" i="1"/>
  <c r="I1015" i="1"/>
  <c r="K1015" i="1" s="1"/>
  <c r="M1015" i="1" s="1"/>
  <c r="D2120" i="1" l="1"/>
  <c r="E1512" i="1"/>
  <c r="H1511" i="1"/>
  <c r="G1511" i="1"/>
  <c r="F1016" i="1"/>
  <c r="J1017" i="1" s="1"/>
  <c r="E1513" i="1" l="1"/>
  <c r="H1512" i="1"/>
  <c r="G1512" i="1"/>
  <c r="D2121" i="1"/>
  <c r="I1016" i="1"/>
  <c r="K1016" i="1" s="1"/>
  <c r="M1016" i="1" s="1"/>
  <c r="F1017" i="1"/>
  <c r="J1018" i="1" s="1"/>
  <c r="D2122" i="1" l="1"/>
  <c r="E1514" i="1"/>
  <c r="H1513" i="1"/>
  <c r="G1513" i="1"/>
  <c r="I1017" i="1"/>
  <c r="K1017" i="1" s="1"/>
  <c r="M1017" i="1" s="1"/>
  <c r="F1018" i="1"/>
  <c r="J1019" i="1" s="1"/>
  <c r="E1515" i="1" l="1"/>
  <c r="H1514" i="1"/>
  <c r="G1514" i="1"/>
  <c r="D2123" i="1"/>
  <c r="I1018" i="1"/>
  <c r="K1018" i="1" s="1"/>
  <c r="M1018" i="1" s="1"/>
  <c r="D2124" i="1" l="1"/>
  <c r="E1516" i="1"/>
  <c r="H1515" i="1"/>
  <c r="G1515" i="1"/>
  <c r="F1019" i="1"/>
  <c r="J1020" i="1" s="1"/>
  <c r="E1517" i="1" l="1"/>
  <c r="H1516" i="1"/>
  <c r="G1516" i="1"/>
  <c r="D2125" i="1"/>
  <c r="I1019" i="1"/>
  <c r="K1019" i="1" s="1"/>
  <c r="M1019" i="1" s="1"/>
  <c r="F1020" i="1"/>
  <c r="J1021" i="1" s="1"/>
  <c r="D2126" i="1" l="1"/>
  <c r="E1518" i="1"/>
  <c r="H1517" i="1"/>
  <c r="G1517" i="1"/>
  <c r="I1020" i="1"/>
  <c r="K1020" i="1" s="1"/>
  <c r="M1020" i="1" s="1"/>
  <c r="F1021" i="1"/>
  <c r="J1022" i="1" s="1"/>
  <c r="E1519" i="1" l="1"/>
  <c r="H1518" i="1"/>
  <c r="G1518" i="1"/>
  <c r="D2127" i="1"/>
  <c r="I1021" i="1"/>
  <c r="K1021" i="1" s="1"/>
  <c r="M1021" i="1" s="1"/>
  <c r="F1022" i="1"/>
  <c r="J1023" i="1" s="1"/>
  <c r="D2128" i="1" l="1"/>
  <c r="E1520" i="1"/>
  <c r="H1519" i="1"/>
  <c r="G1519" i="1"/>
  <c r="I1022" i="1"/>
  <c r="K1022" i="1" s="1"/>
  <c r="M1022" i="1" s="1"/>
  <c r="F1023" i="1"/>
  <c r="J1024" i="1" s="1"/>
  <c r="E1521" i="1" l="1"/>
  <c r="H1520" i="1"/>
  <c r="G1520" i="1"/>
  <c r="D2129" i="1"/>
  <c r="I1023" i="1"/>
  <c r="K1023" i="1" s="1"/>
  <c r="M1023" i="1" s="1"/>
  <c r="F1024" i="1"/>
  <c r="J1025" i="1" s="1"/>
  <c r="D2130" i="1" l="1"/>
  <c r="E1522" i="1"/>
  <c r="H1521" i="1"/>
  <c r="G1521" i="1"/>
  <c r="I1024" i="1"/>
  <c r="K1024" i="1" s="1"/>
  <c r="M1024" i="1" s="1"/>
  <c r="F1025" i="1"/>
  <c r="J1026" i="1" s="1"/>
  <c r="E1523" i="1" l="1"/>
  <c r="H1522" i="1"/>
  <c r="G1522" i="1"/>
  <c r="D2131" i="1"/>
  <c r="I1025" i="1"/>
  <c r="K1025" i="1" s="1"/>
  <c r="M1025" i="1" s="1"/>
  <c r="D2132" i="1" l="1"/>
  <c r="E1524" i="1"/>
  <c r="H1523" i="1"/>
  <c r="G1523" i="1"/>
  <c r="F1026" i="1"/>
  <c r="J1027" i="1" s="1"/>
  <c r="E1525" i="1" l="1"/>
  <c r="H1524" i="1"/>
  <c r="G1524" i="1"/>
  <c r="D2133" i="1"/>
  <c r="I1026" i="1"/>
  <c r="K1026" i="1" s="1"/>
  <c r="M1026" i="1" s="1"/>
  <c r="F1027" i="1"/>
  <c r="J1028" i="1" s="1"/>
  <c r="D2134" i="1" l="1"/>
  <c r="E1526" i="1"/>
  <c r="H1525" i="1"/>
  <c r="G1525" i="1"/>
  <c r="I1027" i="1"/>
  <c r="K1027" i="1" s="1"/>
  <c r="M1027" i="1" s="1"/>
  <c r="F1028" i="1"/>
  <c r="J1029" i="1" s="1"/>
  <c r="E1527" i="1" l="1"/>
  <c r="H1526" i="1"/>
  <c r="G1526" i="1"/>
  <c r="D2135" i="1"/>
  <c r="I1028" i="1"/>
  <c r="K1028" i="1" s="1"/>
  <c r="M1028" i="1" s="1"/>
  <c r="D2136" i="1" l="1"/>
  <c r="E1528" i="1"/>
  <c r="H1527" i="1"/>
  <c r="G1527" i="1"/>
  <c r="F1029" i="1"/>
  <c r="J1030" i="1" s="1"/>
  <c r="E1529" i="1" l="1"/>
  <c r="H1528" i="1"/>
  <c r="G1528" i="1"/>
  <c r="D2137" i="1"/>
  <c r="I1029" i="1"/>
  <c r="K1029" i="1" s="1"/>
  <c r="M1029" i="1" s="1"/>
  <c r="F1030" i="1"/>
  <c r="J1031" i="1" s="1"/>
  <c r="D2138" i="1" l="1"/>
  <c r="E1530" i="1"/>
  <c r="H1529" i="1"/>
  <c r="G1529" i="1"/>
  <c r="I1030" i="1"/>
  <c r="K1030" i="1" s="1"/>
  <c r="M1030" i="1" s="1"/>
  <c r="E1531" i="1" l="1"/>
  <c r="H1530" i="1"/>
  <c r="G1530" i="1"/>
  <c r="D2139" i="1"/>
  <c r="F1031" i="1"/>
  <c r="J1032" i="1" s="1"/>
  <c r="D2140" i="1" l="1"/>
  <c r="E1532" i="1"/>
  <c r="H1531" i="1"/>
  <c r="G1531" i="1"/>
  <c r="I1031" i="1"/>
  <c r="K1031" i="1" s="1"/>
  <c r="M1031" i="1" s="1"/>
  <c r="F1032" i="1"/>
  <c r="J1033" i="1" s="1"/>
  <c r="E1533" i="1" l="1"/>
  <c r="H1532" i="1"/>
  <c r="G1532" i="1"/>
  <c r="D2141" i="1"/>
  <c r="I1032" i="1"/>
  <c r="K1032" i="1" s="1"/>
  <c r="M1032" i="1" s="1"/>
  <c r="D2142" i="1" l="1"/>
  <c r="E1534" i="1"/>
  <c r="H1533" i="1"/>
  <c r="G1533" i="1"/>
  <c r="F1033" i="1"/>
  <c r="J1034" i="1" s="1"/>
  <c r="E1535" i="1" l="1"/>
  <c r="H1534" i="1"/>
  <c r="G1534" i="1"/>
  <c r="D2143" i="1"/>
  <c r="I1033" i="1"/>
  <c r="K1033" i="1" s="1"/>
  <c r="M1033" i="1" s="1"/>
  <c r="D2144" i="1" l="1"/>
  <c r="E1536" i="1"/>
  <c r="H1535" i="1"/>
  <c r="G1535" i="1"/>
  <c r="F1034" i="1"/>
  <c r="J1035" i="1" s="1"/>
  <c r="E1537" i="1" l="1"/>
  <c r="H1536" i="1"/>
  <c r="G1536" i="1"/>
  <c r="D2145" i="1"/>
  <c r="I1034" i="1"/>
  <c r="K1034" i="1" s="1"/>
  <c r="M1034" i="1" s="1"/>
  <c r="F1035" i="1"/>
  <c r="J1036" i="1" s="1"/>
  <c r="D2146" i="1" l="1"/>
  <c r="E1538" i="1"/>
  <c r="H1537" i="1"/>
  <c r="G1537" i="1"/>
  <c r="I1035" i="1"/>
  <c r="K1035" i="1" s="1"/>
  <c r="M1035" i="1" s="1"/>
  <c r="F1036" i="1"/>
  <c r="J1037" i="1" s="1"/>
  <c r="E1539" i="1" l="1"/>
  <c r="H1538" i="1"/>
  <c r="G1538" i="1"/>
  <c r="D2147" i="1"/>
  <c r="I1036" i="1"/>
  <c r="K1036" i="1" s="1"/>
  <c r="M1036" i="1" s="1"/>
  <c r="D2148" i="1" l="1"/>
  <c r="E1540" i="1"/>
  <c r="H1539" i="1"/>
  <c r="G1539" i="1"/>
  <c r="F1037" i="1"/>
  <c r="J1038" i="1" s="1"/>
  <c r="E1541" i="1" l="1"/>
  <c r="H1540" i="1"/>
  <c r="G1540" i="1"/>
  <c r="I1037" i="1"/>
  <c r="K1037" i="1" s="1"/>
  <c r="M1037" i="1" s="1"/>
  <c r="F1038" i="1"/>
  <c r="J1039" i="1" s="1"/>
  <c r="E1542" i="1" l="1"/>
  <c r="H1541" i="1"/>
  <c r="G1541" i="1"/>
  <c r="I1038" i="1"/>
  <c r="K1038" i="1" s="1"/>
  <c r="M1038" i="1" s="1"/>
  <c r="F1039" i="1"/>
  <c r="J1040" i="1" s="1"/>
  <c r="E1543" i="1" l="1"/>
  <c r="H1542" i="1"/>
  <c r="G1542" i="1"/>
  <c r="I1039" i="1"/>
  <c r="K1039" i="1" s="1"/>
  <c r="M1039" i="1" s="1"/>
  <c r="F1040" i="1"/>
  <c r="J1041" i="1" s="1"/>
  <c r="E1544" i="1" l="1"/>
  <c r="H1543" i="1"/>
  <c r="G1543" i="1"/>
  <c r="I1040" i="1"/>
  <c r="K1040" i="1" s="1"/>
  <c r="M1040" i="1" s="1"/>
  <c r="E1545" i="1" l="1"/>
  <c r="H1544" i="1"/>
  <c r="G1544" i="1"/>
  <c r="F1041" i="1"/>
  <c r="J1042" i="1" s="1"/>
  <c r="E1546" i="1" l="1"/>
  <c r="H1545" i="1"/>
  <c r="G1545" i="1"/>
  <c r="I1041" i="1"/>
  <c r="K1041" i="1" s="1"/>
  <c r="M1041" i="1" s="1"/>
  <c r="E1547" i="1" l="1"/>
  <c r="H1546" i="1"/>
  <c r="G1546" i="1"/>
  <c r="F1042" i="1"/>
  <c r="J1043" i="1" s="1"/>
  <c r="E1548" i="1" l="1"/>
  <c r="H1547" i="1"/>
  <c r="G1547" i="1"/>
  <c r="I1042" i="1"/>
  <c r="K1042" i="1" s="1"/>
  <c r="M1042" i="1" s="1"/>
  <c r="F1043" i="1"/>
  <c r="J1044" i="1" s="1"/>
  <c r="E1549" i="1" l="1"/>
  <c r="H1548" i="1"/>
  <c r="G1548" i="1"/>
  <c r="I1043" i="1"/>
  <c r="K1043" i="1" s="1"/>
  <c r="M1043" i="1" s="1"/>
  <c r="F1044" i="1"/>
  <c r="J1045" i="1" s="1"/>
  <c r="E1550" i="1" l="1"/>
  <c r="H1549" i="1"/>
  <c r="G1549" i="1"/>
  <c r="I1044" i="1"/>
  <c r="K1044" i="1" s="1"/>
  <c r="M1044" i="1" s="1"/>
  <c r="E1551" i="1" l="1"/>
  <c r="H1550" i="1"/>
  <c r="G1550" i="1"/>
  <c r="F1045" i="1"/>
  <c r="J1046" i="1" s="1"/>
  <c r="E1552" i="1" l="1"/>
  <c r="H1551" i="1"/>
  <c r="G1551" i="1"/>
  <c r="I1045" i="1"/>
  <c r="K1045" i="1" s="1"/>
  <c r="M1045" i="1" s="1"/>
  <c r="E1553" i="1" l="1"/>
  <c r="H1552" i="1"/>
  <c r="G1552" i="1"/>
  <c r="F1046" i="1"/>
  <c r="J1047" i="1" s="1"/>
  <c r="E1554" i="1" l="1"/>
  <c r="H1553" i="1"/>
  <c r="G1553" i="1"/>
  <c r="I1046" i="1"/>
  <c r="K1046" i="1" s="1"/>
  <c r="M1046" i="1" s="1"/>
  <c r="F1047" i="1"/>
  <c r="J1048" i="1" s="1"/>
  <c r="E1555" i="1" l="1"/>
  <c r="H1554" i="1"/>
  <c r="G1554" i="1"/>
  <c r="I1047" i="1"/>
  <c r="K1047" i="1" s="1"/>
  <c r="M1047" i="1" s="1"/>
  <c r="F1048" i="1"/>
  <c r="J1049" i="1" s="1"/>
  <c r="E1556" i="1" l="1"/>
  <c r="H1555" i="1"/>
  <c r="G1555" i="1"/>
  <c r="I1048" i="1"/>
  <c r="K1048" i="1" s="1"/>
  <c r="M1048" i="1" s="1"/>
  <c r="F1049" i="1"/>
  <c r="J1050" i="1" s="1"/>
  <c r="E1557" i="1" l="1"/>
  <c r="H1556" i="1"/>
  <c r="G1556" i="1"/>
  <c r="I1049" i="1"/>
  <c r="K1049" i="1" s="1"/>
  <c r="M1049" i="1" s="1"/>
  <c r="E1558" i="1" l="1"/>
  <c r="H1557" i="1"/>
  <c r="G1557" i="1"/>
  <c r="F1050" i="1"/>
  <c r="J1051" i="1" s="1"/>
  <c r="I1050" i="1" l="1"/>
  <c r="K1050" i="1" s="1"/>
  <c r="M1050" i="1" s="1"/>
  <c r="E1559" i="1"/>
  <c r="H1558" i="1"/>
  <c r="G1558" i="1"/>
  <c r="F1051" i="1"/>
  <c r="J1052" i="1" s="1"/>
  <c r="E1560" i="1" l="1"/>
  <c r="H1559" i="1"/>
  <c r="G1559" i="1"/>
  <c r="I1051" i="1"/>
  <c r="K1051" i="1" s="1"/>
  <c r="M1051" i="1" s="1"/>
  <c r="E1561" i="1" l="1"/>
  <c r="H1560" i="1"/>
  <c r="G1560" i="1"/>
  <c r="F1052" i="1"/>
  <c r="J1053" i="1" s="1"/>
  <c r="E1562" i="1" l="1"/>
  <c r="H1561" i="1"/>
  <c r="G1561" i="1"/>
  <c r="I1052" i="1"/>
  <c r="K1052" i="1" s="1"/>
  <c r="M1052" i="1" s="1"/>
  <c r="E1563" i="1" l="1"/>
  <c r="H1562" i="1"/>
  <c r="G1562" i="1"/>
  <c r="F1053" i="1"/>
  <c r="J1054" i="1" s="1"/>
  <c r="E1564" i="1" l="1"/>
  <c r="H1563" i="1"/>
  <c r="G1563" i="1"/>
  <c r="I1053" i="1"/>
  <c r="K1053" i="1" s="1"/>
  <c r="M1053" i="1" s="1"/>
  <c r="F1054" i="1"/>
  <c r="J1055" i="1" s="1"/>
  <c r="E1565" i="1" l="1"/>
  <c r="H1564" i="1"/>
  <c r="G1564" i="1"/>
  <c r="I1054" i="1"/>
  <c r="K1054" i="1" s="1"/>
  <c r="M1054" i="1" s="1"/>
  <c r="F1055" i="1"/>
  <c r="J1056" i="1" s="1"/>
  <c r="E1566" i="1" l="1"/>
  <c r="H1565" i="1"/>
  <c r="G1565" i="1"/>
  <c r="I1055" i="1"/>
  <c r="K1055" i="1" s="1"/>
  <c r="M1055" i="1" s="1"/>
  <c r="F1056" i="1"/>
  <c r="J1057" i="1" s="1"/>
  <c r="E1567" i="1" l="1"/>
  <c r="H1566" i="1"/>
  <c r="G1566" i="1"/>
  <c r="I1056" i="1"/>
  <c r="K1056" i="1" s="1"/>
  <c r="M1056" i="1" s="1"/>
  <c r="E1568" i="1" l="1"/>
  <c r="H1567" i="1"/>
  <c r="G1567" i="1"/>
  <c r="F1057" i="1"/>
  <c r="J1058" i="1" s="1"/>
  <c r="E1569" i="1" l="1"/>
  <c r="H1568" i="1"/>
  <c r="G1568" i="1"/>
  <c r="I1057" i="1"/>
  <c r="K1057" i="1" s="1"/>
  <c r="M1057" i="1" s="1"/>
  <c r="F1058" i="1"/>
  <c r="J1059" i="1" s="1"/>
  <c r="E1570" i="1" l="1"/>
  <c r="H1569" i="1"/>
  <c r="G1569" i="1"/>
  <c r="I1058" i="1"/>
  <c r="K1058" i="1" s="1"/>
  <c r="M1058" i="1" s="1"/>
  <c r="E1571" i="1" l="1"/>
  <c r="H1570" i="1"/>
  <c r="G1570" i="1"/>
  <c r="F1059" i="1"/>
  <c r="J1060" i="1" s="1"/>
  <c r="E1572" i="1" l="1"/>
  <c r="H1571" i="1"/>
  <c r="G1571" i="1"/>
  <c r="I1059" i="1"/>
  <c r="K1059" i="1" s="1"/>
  <c r="M1059" i="1" s="1"/>
  <c r="F1060" i="1"/>
  <c r="J1061" i="1" s="1"/>
  <c r="E1573" i="1" l="1"/>
  <c r="H1572" i="1"/>
  <c r="G1572" i="1"/>
  <c r="I1060" i="1"/>
  <c r="K1060" i="1" s="1"/>
  <c r="M1060" i="1" s="1"/>
  <c r="F1061" i="1"/>
  <c r="J1062" i="1" s="1"/>
  <c r="E1574" i="1" l="1"/>
  <c r="H1573" i="1"/>
  <c r="G1573" i="1"/>
  <c r="I1061" i="1"/>
  <c r="K1061" i="1" s="1"/>
  <c r="M1061" i="1" s="1"/>
  <c r="F1062" i="1"/>
  <c r="J1063" i="1" s="1"/>
  <c r="E1575" i="1" l="1"/>
  <c r="H1574" i="1"/>
  <c r="G1574" i="1"/>
  <c r="I1062" i="1"/>
  <c r="K1062" i="1" s="1"/>
  <c r="M1062" i="1" s="1"/>
  <c r="F1063" i="1"/>
  <c r="J1064" i="1" s="1"/>
  <c r="E1576" i="1" l="1"/>
  <c r="H1575" i="1"/>
  <c r="G1575" i="1"/>
  <c r="I1063" i="1"/>
  <c r="K1063" i="1" s="1"/>
  <c r="M1063" i="1" s="1"/>
  <c r="E1577" i="1" l="1"/>
  <c r="H1576" i="1"/>
  <c r="G1576" i="1"/>
  <c r="F1064" i="1"/>
  <c r="J1065" i="1" s="1"/>
  <c r="E1578" i="1" l="1"/>
  <c r="H1577" i="1"/>
  <c r="G1577" i="1"/>
  <c r="I1064" i="1"/>
  <c r="K1064" i="1" s="1"/>
  <c r="M1064" i="1" s="1"/>
  <c r="E1579" i="1" l="1"/>
  <c r="H1578" i="1"/>
  <c r="G1578" i="1"/>
  <c r="F1065" i="1"/>
  <c r="J1066" i="1" s="1"/>
  <c r="E1580" i="1" l="1"/>
  <c r="H1579" i="1"/>
  <c r="G1579" i="1"/>
  <c r="I1065" i="1"/>
  <c r="K1065" i="1" s="1"/>
  <c r="M1065" i="1" s="1"/>
  <c r="E1581" i="1" l="1"/>
  <c r="H1580" i="1"/>
  <c r="G1580" i="1"/>
  <c r="F1066" i="1"/>
  <c r="J1067" i="1" s="1"/>
  <c r="F1067" i="1" l="1"/>
  <c r="J1068" i="1" s="1"/>
  <c r="I1066" i="1"/>
  <c r="K1066" i="1" s="1"/>
  <c r="M1066" i="1" s="1"/>
  <c r="E1582" i="1"/>
  <c r="H1581" i="1"/>
  <c r="G1581" i="1"/>
  <c r="F1068" i="1" l="1"/>
  <c r="J1069" i="1" s="1"/>
  <c r="I1067" i="1"/>
  <c r="K1067" i="1" s="1"/>
  <c r="M1067" i="1" s="1"/>
  <c r="E1583" i="1"/>
  <c r="H1582" i="1"/>
  <c r="G1582" i="1"/>
  <c r="F1069" i="1" l="1"/>
  <c r="J1070" i="1" s="1"/>
  <c r="I1068" i="1"/>
  <c r="K1068" i="1" s="1"/>
  <c r="M1068" i="1" s="1"/>
  <c r="E1584" i="1"/>
  <c r="H1583" i="1"/>
  <c r="G1583" i="1"/>
  <c r="I1069" i="1" l="1"/>
  <c r="K1069" i="1" s="1"/>
  <c r="M1069" i="1" s="1"/>
  <c r="E1585" i="1"/>
  <c r="H1584" i="1"/>
  <c r="G1584" i="1"/>
  <c r="F1070" i="1"/>
  <c r="J1071" i="1" s="1"/>
  <c r="E1586" i="1" l="1"/>
  <c r="H1585" i="1"/>
  <c r="G1585" i="1"/>
  <c r="I1070" i="1"/>
  <c r="K1070" i="1" s="1"/>
  <c r="M1070" i="1" s="1"/>
  <c r="E1587" i="1" l="1"/>
  <c r="H1586" i="1"/>
  <c r="G1586" i="1"/>
  <c r="F1071" i="1"/>
  <c r="J1072" i="1" s="1"/>
  <c r="E1588" i="1" l="1"/>
  <c r="H1587" i="1"/>
  <c r="G1587" i="1"/>
  <c r="I1071" i="1"/>
  <c r="K1071" i="1" s="1"/>
  <c r="M1071" i="1" s="1"/>
  <c r="F1072" i="1"/>
  <c r="J1073" i="1" s="1"/>
  <c r="E1589" i="1" l="1"/>
  <c r="H1588" i="1"/>
  <c r="G1588" i="1"/>
  <c r="I1072" i="1"/>
  <c r="K1072" i="1" s="1"/>
  <c r="M1072" i="1" s="1"/>
  <c r="F1073" i="1"/>
  <c r="J1074" i="1" s="1"/>
  <c r="E1590" i="1" l="1"/>
  <c r="H1589" i="1"/>
  <c r="G1589" i="1"/>
  <c r="I1073" i="1"/>
  <c r="K1073" i="1" s="1"/>
  <c r="M1073" i="1" s="1"/>
  <c r="F1074" i="1"/>
  <c r="J1075" i="1" s="1"/>
  <c r="E1591" i="1" l="1"/>
  <c r="H1590" i="1"/>
  <c r="G1590" i="1"/>
  <c r="I1074" i="1"/>
  <c r="K1074" i="1" s="1"/>
  <c r="M1074" i="1" s="1"/>
  <c r="E1592" i="1" l="1"/>
  <c r="H1591" i="1"/>
  <c r="G1591" i="1"/>
  <c r="F1075" i="1"/>
  <c r="J1076" i="1" s="1"/>
  <c r="E1593" i="1" l="1"/>
  <c r="H1592" i="1"/>
  <c r="G1592" i="1"/>
  <c r="I1075" i="1"/>
  <c r="K1075" i="1" s="1"/>
  <c r="M1075" i="1" s="1"/>
  <c r="E1594" i="1" l="1"/>
  <c r="H1593" i="1"/>
  <c r="G1593" i="1"/>
  <c r="F1076" i="1"/>
  <c r="J1077" i="1" s="1"/>
  <c r="E1595" i="1" l="1"/>
  <c r="H1594" i="1"/>
  <c r="G1594" i="1"/>
  <c r="I1076" i="1"/>
  <c r="K1076" i="1" s="1"/>
  <c r="M1076" i="1" s="1"/>
  <c r="F1077" i="1"/>
  <c r="J1078" i="1" s="1"/>
  <c r="E1596" i="1" l="1"/>
  <c r="H1595" i="1"/>
  <c r="G1595" i="1"/>
  <c r="I1077" i="1"/>
  <c r="K1077" i="1" s="1"/>
  <c r="M1077" i="1" s="1"/>
  <c r="F1078" i="1"/>
  <c r="J1079" i="1" s="1"/>
  <c r="E1597" i="1" l="1"/>
  <c r="H1596" i="1"/>
  <c r="G1596" i="1"/>
  <c r="I1078" i="1"/>
  <c r="K1078" i="1" s="1"/>
  <c r="M1078" i="1" s="1"/>
  <c r="E1598" i="1" l="1"/>
  <c r="H1597" i="1"/>
  <c r="G1597" i="1"/>
  <c r="F1079" i="1"/>
  <c r="J1080" i="1" s="1"/>
  <c r="E1599" i="1" l="1"/>
  <c r="H1598" i="1"/>
  <c r="G1598" i="1"/>
  <c r="I1079" i="1"/>
  <c r="K1079" i="1" s="1"/>
  <c r="M1079" i="1" s="1"/>
  <c r="F1080" i="1"/>
  <c r="J1081" i="1" s="1"/>
  <c r="E1600" i="1" l="1"/>
  <c r="H1599" i="1"/>
  <c r="G1599" i="1"/>
  <c r="I1080" i="1"/>
  <c r="K1080" i="1" s="1"/>
  <c r="M1080" i="1" s="1"/>
  <c r="E1601" i="1" l="1"/>
  <c r="H1600" i="1"/>
  <c r="G1600" i="1"/>
  <c r="F1081" i="1"/>
  <c r="J1082" i="1" s="1"/>
  <c r="E1602" i="1" l="1"/>
  <c r="H1601" i="1"/>
  <c r="G1601" i="1"/>
  <c r="I1081" i="1"/>
  <c r="K1081" i="1" s="1"/>
  <c r="M1081" i="1" s="1"/>
  <c r="E1603" i="1" l="1"/>
  <c r="H1602" i="1"/>
  <c r="G1602" i="1"/>
  <c r="F1082" i="1"/>
  <c r="J1083" i="1" s="1"/>
  <c r="E1604" i="1" l="1"/>
  <c r="H1603" i="1"/>
  <c r="G1603" i="1"/>
  <c r="I1082" i="1"/>
  <c r="K1082" i="1" s="1"/>
  <c r="M1082" i="1" s="1"/>
  <c r="F1083" i="1"/>
  <c r="J1084" i="1" s="1"/>
  <c r="E1605" i="1" l="1"/>
  <c r="H1604" i="1"/>
  <c r="G1604" i="1"/>
  <c r="I1083" i="1"/>
  <c r="K1083" i="1" s="1"/>
  <c r="M1083" i="1" s="1"/>
  <c r="F1084" i="1"/>
  <c r="J1085" i="1" s="1"/>
  <c r="E1606" i="1" l="1"/>
  <c r="H1605" i="1"/>
  <c r="G1605" i="1"/>
  <c r="I1084" i="1"/>
  <c r="K1084" i="1" s="1"/>
  <c r="M1084" i="1" s="1"/>
  <c r="E1607" i="1" l="1"/>
  <c r="H1606" i="1"/>
  <c r="G1606" i="1"/>
  <c r="F1085" i="1"/>
  <c r="J1086" i="1" s="1"/>
  <c r="E1608" i="1" l="1"/>
  <c r="H1607" i="1"/>
  <c r="G1607" i="1"/>
  <c r="I1085" i="1"/>
  <c r="K1085" i="1" s="1"/>
  <c r="M1085" i="1" s="1"/>
  <c r="F1086" i="1"/>
  <c r="J1087" i="1" s="1"/>
  <c r="E1609" i="1" l="1"/>
  <c r="H1608" i="1"/>
  <c r="G1608" i="1"/>
  <c r="I1086" i="1"/>
  <c r="K1086" i="1" s="1"/>
  <c r="M1086" i="1" s="1"/>
  <c r="E1610" i="1" l="1"/>
  <c r="H1609" i="1"/>
  <c r="G1609" i="1"/>
  <c r="F1087" i="1"/>
  <c r="J1088" i="1" s="1"/>
  <c r="E1611" i="1" l="1"/>
  <c r="H1610" i="1"/>
  <c r="G1610" i="1"/>
  <c r="I1087" i="1"/>
  <c r="K1087" i="1" s="1"/>
  <c r="M1087" i="1" s="1"/>
  <c r="F1088" i="1"/>
  <c r="J1089" i="1" s="1"/>
  <c r="E1612" i="1" l="1"/>
  <c r="H1611" i="1"/>
  <c r="G1611" i="1"/>
  <c r="I1088" i="1"/>
  <c r="K1088" i="1" s="1"/>
  <c r="M1088" i="1" s="1"/>
  <c r="E1613" i="1" l="1"/>
  <c r="H1612" i="1"/>
  <c r="G1612" i="1"/>
  <c r="F1089" i="1"/>
  <c r="J1090" i="1" s="1"/>
  <c r="E1614" i="1" l="1"/>
  <c r="H1613" i="1"/>
  <c r="G1613" i="1"/>
  <c r="I1089" i="1"/>
  <c r="K1089" i="1" s="1"/>
  <c r="M1089" i="1" s="1"/>
  <c r="F1090" i="1"/>
  <c r="J1091" i="1" s="1"/>
  <c r="E1615" i="1" l="1"/>
  <c r="H1614" i="1"/>
  <c r="G1614" i="1"/>
  <c r="I1090" i="1"/>
  <c r="K1090" i="1" s="1"/>
  <c r="M1090" i="1" s="1"/>
  <c r="E1616" i="1" l="1"/>
  <c r="H1615" i="1"/>
  <c r="G1615" i="1"/>
  <c r="F1091" i="1"/>
  <c r="J1092" i="1" s="1"/>
  <c r="E1617" i="1" l="1"/>
  <c r="H1616" i="1"/>
  <c r="G1616" i="1"/>
  <c r="I1091" i="1"/>
  <c r="K1091" i="1" s="1"/>
  <c r="M1091" i="1" s="1"/>
  <c r="F1092" i="1"/>
  <c r="J1093" i="1" s="1"/>
  <c r="E1618" i="1" l="1"/>
  <c r="H1617" i="1"/>
  <c r="G1617" i="1"/>
  <c r="I1092" i="1"/>
  <c r="K1092" i="1" s="1"/>
  <c r="M1092" i="1" s="1"/>
  <c r="E1619" i="1" l="1"/>
  <c r="H1618" i="1"/>
  <c r="G1618" i="1"/>
  <c r="F1093" i="1"/>
  <c r="J1094" i="1" s="1"/>
  <c r="E1620" i="1" l="1"/>
  <c r="H1619" i="1"/>
  <c r="G1619" i="1"/>
  <c r="I1093" i="1"/>
  <c r="K1093" i="1" s="1"/>
  <c r="M1093" i="1" s="1"/>
  <c r="E1621" i="1" l="1"/>
  <c r="H1620" i="1"/>
  <c r="G1620" i="1"/>
  <c r="F1094" i="1"/>
  <c r="J1095" i="1" s="1"/>
  <c r="E1622" i="1" l="1"/>
  <c r="H1621" i="1"/>
  <c r="G1621" i="1"/>
  <c r="I1094" i="1"/>
  <c r="K1094" i="1" s="1"/>
  <c r="M1094" i="1" s="1"/>
  <c r="E1623" i="1" l="1"/>
  <c r="H1622" i="1"/>
  <c r="G1622" i="1"/>
  <c r="F1095" i="1"/>
  <c r="J1096" i="1" s="1"/>
  <c r="E1624" i="1" l="1"/>
  <c r="H1623" i="1"/>
  <c r="G1623" i="1"/>
  <c r="I1095" i="1"/>
  <c r="K1095" i="1" s="1"/>
  <c r="M1095" i="1" s="1"/>
  <c r="F1096" i="1"/>
  <c r="J1097" i="1" s="1"/>
  <c r="E1625" i="1" l="1"/>
  <c r="H1624" i="1"/>
  <c r="G1624" i="1"/>
  <c r="I1096" i="1"/>
  <c r="K1096" i="1" s="1"/>
  <c r="M1096" i="1" s="1"/>
  <c r="F1097" i="1"/>
  <c r="J1098" i="1" s="1"/>
  <c r="E1626" i="1" l="1"/>
  <c r="H1625" i="1"/>
  <c r="G1625" i="1"/>
  <c r="I1097" i="1"/>
  <c r="K1097" i="1" s="1"/>
  <c r="M1097" i="1" s="1"/>
  <c r="F1098" i="1"/>
  <c r="J1099" i="1" s="1"/>
  <c r="E1627" i="1" l="1"/>
  <c r="H1626" i="1"/>
  <c r="G1626" i="1"/>
  <c r="I1098" i="1"/>
  <c r="K1098" i="1" s="1"/>
  <c r="M1098" i="1" s="1"/>
  <c r="F1099" i="1"/>
  <c r="J1100" i="1" s="1"/>
  <c r="E1628" i="1" l="1"/>
  <c r="H1627" i="1"/>
  <c r="G1627" i="1"/>
  <c r="I1099" i="1"/>
  <c r="K1099" i="1" s="1"/>
  <c r="M1099" i="1" s="1"/>
  <c r="F1100" i="1"/>
  <c r="J1101" i="1" s="1"/>
  <c r="E1629" i="1" l="1"/>
  <c r="H1628" i="1"/>
  <c r="G1628" i="1"/>
  <c r="I1100" i="1"/>
  <c r="K1100" i="1" s="1"/>
  <c r="M1100" i="1" s="1"/>
  <c r="E1630" i="1" l="1"/>
  <c r="H1629" i="1"/>
  <c r="G1629" i="1"/>
  <c r="F1101" i="1"/>
  <c r="J1102" i="1" s="1"/>
  <c r="E1631" i="1" l="1"/>
  <c r="H1630" i="1"/>
  <c r="G1630" i="1"/>
  <c r="I1101" i="1"/>
  <c r="K1101" i="1" s="1"/>
  <c r="M1101" i="1" s="1"/>
  <c r="F1102" i="1"/>
  <c r="J1103" i="1" s="1"/>
  <c r="E1632" i="1" l="1"/>
  <c r="H1631" i="1"/>
  <c r="G1631" i="1"/>
  <c r="I1102" i="1"/>
  <c r="K1102" i="1" s="1"/>
  <c r="M1102" i="1" s="1"/>
  <c r="F1103" i="1"/>
  <c r="J1104" i="1" s="1"/>
  <c r="E1633" i="1" l="1"/>
  <c r="H1632" i="1"/>
  <c r="G1632" i="1"/>
  <c r="I1103" i="1"/>
  <c r="K1103" i="1" s="1"/>
  <c r="M1103" i="1" s="1"/>
  <c r="F1104" i="1"/>
  <c r="J1105" i="1" s="1"/>
  <c r="E1634" i="1" l="1"/>
  <c r="H1633" i="1"/>
  <c r="G1633" i="1"/>
  <c r="I1104" i="1"/>
  <c r="K1104" i="1" s="1"/>
  <c r="M1104" i="1" s="1"/>
  <c r="E1635" i="1" l="1"/>
  <c r="H1634" i="1"/>
  <c r="G1634" i="1"/>
  <c r="F1105" i="1"/>
  <c r="J1106" i="1" s="1"/>
  <c r="E1636" i="1" l="1"/>
  <c r="H1635" i="1"/>
  <c r="G1635" i="1"/>
  <c r="I1105" i="1"/>
  <c r="K1105" i="1" s="1"/>
  <c r="M1105" i="1" s="1"/>
  <c r="F1106" i="1"/>
  <c r="J1107" i="1" s="1"/>
  <c r="E1637" i="1" l="1"/>
  <c r="H1636" i="1"/>
  <c r="G1636" i="1"/>
  <c r="I1106" i="1"/>
  <c r="K1106" i="1" s="1"/>
  <c r="M1106" i="1" s="1"/>
  <c r="E1638" i="1" l="1"/>
  <c r="H1637" i="1"/>
  <c r="G1637" i="1"/>
  <c r="F1107" i="1"/>
  <c r="J1108" i="1" s="1"/>
  <c r="E1639" i="1" l="1"/>
  <c r="H1638" i="1"/>
  <c r="G1638" i="1"/>
  <c r="I1107" i="1"/>
  <c r="K1107" i="1" s="1"/>
  <c r="M1107" i="1" s="1"/>
  <c r="F1108" i="1"/>
  <c r="J1109" i="1" s="1"/>
  <c r="E1640" i="1" l="1"/>
  <c r="H1639" i="1"/>
  <c r="G1639" i="1"/>
  <c r="I1108" i="1"/>
  <c r="K1108" i="1" s="1"/>
  <c r="M1108" i="1" s="1"/>
  <c r="E1641" i="1" l="1"/>
  <c r="H1640" i="1"/>
  <c r="G1640" i="1"/>
  <c r="F1109" i="1"/>
  <c r="J1110" i="1" s="1"/>
  <c r="E1642" i="1" l="1"/>
  <c r="H1641" i="1"/>
  <c r="G1641" i="1"/>
  <c r="I1109" i="1"/>
  <c r="K1109" i="1" s="1"/>
  <c r="M1109" i="1" s="1"/>
  <c r="F1110" i="1"/>
  <c r="J1111" i="1" s="1"/>
  <c r="E1643" i="1" l="1"/>
  <c r="H1642" i="1"/>
  <c r="G1642" i="1"/>
  <c r="I1110" i="1"/>
  <c r="K1110" i="1" s="1"/>
  <c r="M1110" i="1" s="1"/>
  <c r="F1111" i="1"/>
  <c r="J1112" i="1" s="1"/>
  <c r="E1644" i="1" l="1"/>
  <c r="H1643" i="1"/>
  <c r="G1643" i="1"/>
  <c r="I1111" i="1"/>
  <c r="K1111" i="1" s="1"/>
  <c r="M1111" i="1" s="1"/>
  <c r="F1112" i="1"/>
  <c r="J1113" i="1" s="1"/>
  <c r="E1645" i="1" l="1"/>
  <c r="H1644" i="1"/>
  <c r="G1644" i="1"/>
  <c r="I1112" i="1"/>
  <c r="K1112" i="1" s="1"/>
  <c r="M1112" i="1" s="1"/>
  <c r="F1113" i="1"/>
  <c r="J1114" i="1" s="1"/>
  <c r="E1646" i="1" l="1"/>
  <c r="H1645" i="1"/>
  <c r="G1645" i="1"/>
  <c r="I1113" i="1"/>
  <c r="K1113" i="1" s="1"/>
  <c r="M1113" i="1" s="1"/>
  <c r="E1647" i="1" l="1"/>
  <c r="H1646" i="1"/>
  <c r="G1646" i="1"/>
  <c r="F1114" i="1"/>
  <c r="J1115" i="1" s="1"/>
  <c r="E1648" i="1" l="1"/>
  <c r="H1647" i="1"/>
  <c r="G1647" i="1"/>
  <c r="I1114" i="1"/>
  <c r="K1114" i="1" s="1"/>
  <c r="M1114" i="1" s="1"/>
  <c r="F1115" i="1"/>
  <c r="J1116" i="1" s="1"/>
  <c r="E1649" i="1" l="1"/>
  <c r="H1648" i="1"/>
  <c r="G1648" i="1"/>
  <c r="I1115" i="1"/>
  <c r="K1115" i="1" s="1"/>
  <c r="M1115" i="1" s="1"/>
  <c r="F1116" i="1"/>
  <c r="J1117" i="1" s="1"/>
  <c r="E1650" i="1" l="1"/>
  <c r="H1649" i="1"/>
  <c r="G1649" i="1"/>
  <c r="I1116" i="1"/>
  <c r="K1116" i="1" s="1"/>
  <c r="M1116" i="1" s="1"/>
  <c r="F1117" i="1"/>
  <c r="J1118" i="1" s="1"/>
  <c r="E1651" i="1" l="1"/>
  <c r="H1650" i="1"/>
  <c r="G1650" i="1"/>
  <c r="I1117" i="1"/>
  <c r="K1117" i="1" s="1"/>
  <c r="M1117" i="1" s="1"/>
  <c r="F1118" i="1"/>
  <c r="J1119" i="1" s="1"/>
  <c r="E1652" i="1" l="1"/>
  <c r="H1651" i="1"/>
  <c r="G1651" i="1"/>
  <c r="I1118" i="1"/>
  <c r="K1118" i="1" s="1"/>
  <c r="M1118" i="1" s="1"/>
  <c r="E1653" i="1" l="1"/>
  <c r="H1652" i="1"/>
  <c r="G1652" i="1"/>
  <c r="F1119" i="1"/>
  <c r="J1120" i="1" s="1"/>
  <c r="E1654" i="1" l="1"/>
  <c r="H1653" i="1"/>
  <c r="G1653" i="1"/>
  <c r="I1119" i="1"/>
  <c r="K1119" i="1" s="1"/>
  <c r="M1119" i="1" s="1"/>
  <c r="F1120" i="1"/>
  <c r="J1121" i="1" s="1"/>
  <c r="E1655" i="1" l="1"/>
  <c r="H1654" i="1"/>
  <c r="G1654" i="1"/>
  <c r="I1120" i="1"/>
  <c r="K1120" i="1" s="1"/>
  <c r="M1120" i="1" s="1"/>
  <c r="E1656" i="1" l="1"/>
  <c r="H1655" i="1"/>
  <c r="G1655" i="1"/>
  <c r="F1121" i="1"/>
  <c r="J1122" i="1" s="1"/>
  <c r="E1657" i="1" l="1"/>
  <c r="H1656" i="1"/>
  <c r="G1656" i="1"/>
  <c r="I1121" i="1"/>
  <c r="K1121" i="1" s="1"/>
  <c r="M1121" i="1" s="1"/>
  <c r="E1658" i="1" l="1"/>
  <c r="H1657" i="1"/>
  <c r="G1657" i="1"/>
  <c r="F1122" i="1"/>
  <c r="J1123" i="1" s="1"/>
  <c r="E1659" i="1" l="1"/>
  <c r="H1658" i="1"/>
  <c r="G1658" i="1"/>
  <c r="I1122" i="1"/>
  <c r="K1122" i="1" s="1"/>
  <c r="M1122" i="1" s="1"/>
  <c r="E1660" i="1" l="1"/>
  <c r="H1659" i="1"/>
  <c r="G1659" i="1"/>
  <c r="F1123" i="1"/>
  <c r="J1124" i="1" s="1"/>
  <c r="E1661" i="1" l="1"/>
  <c r="H1660" i="1"/>
  <c r="G1660" i="1"/>
  <c r="I1123" i="1"/>
  <c r="K1123" i="1" s="1"/>
  <c r="M1123" i="1" s="1"/>
  <c r="F1124" i="1"/>
  <c r="J1125" i="1" s="1"/>
  <c r="E1662" i="1" l="1"/>
  <c r="H1661" i="1"/>
  <c r="G1661" i="1"/>
  <c r="I1124" i="1"/>
  <c r="K1124" i="1" s="1"/>
  <c r="M1124" i="1" s="1"/>
  <c r="F1125" i="1"/>
  <c r="J1126" i="1" s="1"/>
  <c r="E1663" i="1" l="1"/>
  <c r="H1662" i="1"/>
  <c r="G1662" i="1"/>
  <c r="I1125" i="1"/>
  <c r="K1125" i="1" s="1"/>
  <c r="M1125" i="1" s="1"/>
  <c r="F1126" i="1"/>
  <c r="J1127" i="1" s="1"/>
  <c r="E1664" i="1" l="1"/>
  <c r="H1663" i="1"/>
  <c r="G1663" i="1"/>
  <c r="I1126" i="1"/>
  <c r="K1126" i="1" s="1"/>
  <c r="M1126" i="1" s="1"/>
  <c r="F1127" i="1"/>
  <c r="J1128" i="1" s="1"/>
  <c r="E1665" i="1" l="1"/>
  <c r="H1664" i="1"/>
  <c r="G1664" i="1"/>
  <c r="I1127" i="1"/>
  <c r="K1127" i="1" s="1"/>
  <c r="M1127" i="1" s="1"/>
  <c r="F1128" i="1"/>
  <c r="J1129" i="1" s="1"/>
  <c r="E1666" i="1" l="1"/>
  <c r="H1665" i="1"/>
  <c r="G1665" i="1"/>
  <c r="I1128" i="1"/>
  <c r="K1128" i="1" s="1"/>
  <c r="M1128" i="1" s="1"/>
  <c r="E1667" i="1" l="1"/>
  <c r="H1666" i="1"/>
  <c r="G1666" i="1"/>
  <c r="F1129" i="1"/>
  <c r="J1130" i="1" s="1"/>
  <c r="E1668" i="1" l="1"/>
  <c r="H1667" i="1"/>
  <c r="G1667" i="1"/>
  <c r="I1129" i="1"/>
  <c r="K1129" i="1" s="1"/>
  <c r="M1129" i="1" s="1"/>
  <c r="F1130" i="1"/>
  <c r="J1131" i="1" s="1"/>
  <c r="E1669" i="1" l="1"/>
  <c r="H1668" i="1"/>
  <c r="G1668" i="1"/>
  <c r="I1130" i="1"/>
  <c r="K1130" i="1" s="1"/>
  <c r="M1130" i="1" s="1"/>
  <c r="E1670" i="1" l="1"/>
  <c r="H1669" i="1"/>
  <c r="G1669" i="1"/>
  <c r="F1131" i="1"/>
  <c r="J1132" i="1" s="1"/>
  <c r="E1671" i="1" l="1"/>
  <c r="H1670" i="1"/>
  <c r="G1670" i="1"/>
  <c r="I1131" i="1"/>
  <c r="K1131" i="1" s="1"/>
  <c r="M1131" i="1" s="1"/>
  <c r="F1132" i="1"/>
  <c r="J1133" i="1" s="1"/>
  <c r="E1672" i="1" l="1"/>
  <c r="H1671" i="1"/>
  <c r="G1671" i="1"/>
  <c r="I1132" i="1"/>
  <c r="K1132" i="1" s="1"/>
  <c r="M1132" i="1" s="1"/>
  <c r="E1673" i="1" l="1"/>
  <c r="H1672" i="1"/>
  <c r="G1672" i="1"/>
  <c r="F1133" i="1"/>
  <c r="J1134" i="1" s="1"/>
  <c r="E1674" i="1" l="1"/>
  <c r="H1673" i="1"/>
  <c r="G1673" i="1"/>
  <c r="I1133" i="1"/>
  <c r="K1133" i="1" s="1"/>
  <c r="M1133" i="1" s="1"/>
  <c r="E1675" i="1" l="1"/>
  <c r="H1674" i="1"/>
  <c r="G1674" i="1"/>
  <c r="F1134" i="1"/>
  <c r="J1135" i="1" s="1"/>
  <c r="E1676" i="1" l="1"/>
  <c r="H1675" i="1"/>
  <c r="G1675" i="1"/>
  <c r="I1134" i="1"/>
  <c r="K1134" i="1" s="1"/>
  <c r="M1134" i="1" s="1"/>
  <c r="E1677" i="1" l="1"/>
  <c r="H1676" i="1"/>
  <c r="G1676" i="1"/>
  <c r="F1135" i="1"/>
  <c r="J1136" i="1" s="1"/>
  <c r="E1678" i="1" l="1"/>
  <c r="H1677" i="1"/>
  <c r="G1677" i="1"/>
  <c r="I1135" i="1"/>
  <c r="K1135" i="1" s="1"/>
  <c r="M1135" i="1" s="1"/>
  <c r="F1136" i="1"/>
  <c r="J1137" i="1" s="1"/>
  <c r="E1679" i="1" l="1"/>
  <c r="H1678" i="1"/>
  <c r="G1678" i="1"/>
  <c r="I1136" i="1"/>
  <c r="K1136" i="1" s="1"/>
  <c r="M1136" i="1" s="1"/>
  <c r="E1680" i="1" l="1"/>
  <c r="H1679" i="1"/>
  <c r="G1679" i="1"/>
  <c r="F1137" i="1"/>
  <c r="J1138" i="1" s="1"/>
  <c r="E1681" i="1" l="1"/>
  <c r="H1680" i="1"/>
  <c r="G1680" i="1"/>
  <c r="I1137" i="1"/>
  <c r="K1137" i="1" s="1"/>
  <c r="M1137" i="1" s="1"/>
  <c r="E1682" i="1" l="1"/>
  <c r="H1681" i="1"/>
  <c r="G1681" i="1"/>
  <c r="F1138" i="1"/>
  <c r="J1139" i="1" s="1"/>
  <c r="E1683" i="1" l="1"/>
  <c r="H1682" i="1"/>
  <c r="G1682" i="1"/>
  <c r="I1138" i="1"/>
  <c r="K1138" i="1" s="1"/>
  <c r="M1138" i="1" s="1"/>
  <c r="E1684" i="1" l="1"/>
  <c r="H1683" i="1"/>
  <c r="G1683" i="1"/>
  <c r="F1139" i="1"/>
  <c r="J1140" i="1" s="1"/>
  <c r="E1685" i="1" l="1"/>
  <c r="H1684" i="1"/>
  <c r="G1684" i="1"/>
  <c r="I1139" i="1"/>
  <c r="K1139" i="1" s="1"/>
  <c r="M1139" i="1" s="1"/>
  <c r="F1140" i="1"/>
  <c r="J1141" i="1" s="1"/>
  <c r="E1686" i="1" l="1"/>
  <c r="H1685" i="1"/>
  <c r="G1685" i="1"/>
  <c r="I1140" i="1"/>
  <c r="K1140" i="1" s="1"/>
  <c r="M1140" i="1" s="1"/>
  <c r="E1687" i="1" l="1"/>
  <c r="H1686" i="1"/>
  <c r="G1686" i="1"/>
  <c r="F1141" i="1"/>
  <c r="J1142" i="1" s="1"/>
  <c r="E1688" i="1" l="1"/>
  <c r="H1687" i="1"/>
  <c r="G1687" i="1"/>
  <c r="I1141" i="1"/>
  <c r="K1141" i="1" s="1"/>
  <c r="M1141" i="1" s="1"/>
  <c r="E1689" i="1" l="1"/>
  <c r="H1688" i="1"/>
  <c r="G1688" i="1"/>
  <c r="F1142" i="1"/>
  <c r="J1143" i="1" s="1"/>
  <c r="E1690" i="1" l="1"/>
  <c r="H1689" i="1"/>
  <c r="G1689" i="1"/>
  <c r="I1142" i="1"/>
  <c r="K1142" i="1" s="1"/>
  <c r="M1142" i="1" s="1"/>
  <c r="E1691" i="1" l="1"/>
  <c r="H1690" i="1"/>
  <c r="G1690" i="1"/>
  <c r="F1143" i="1"/>
  <c r="J1144" i="1" s="1"/>
  <c r="E1692" i="1" l="1"/>
  <c r="H1691" i="1"/>
  <c r="G1691" i="1"/>
  <c r="I1143" i="1"/>
  <c r="K1143" i="1" s="1"/>
  <c r="M1143" i="1" s="1"/>
  <c r="E1693" i="1" l="1"/>
  <c r="H1692" i="1"/>
  <c r="G1692" i="1"/>
  <c r="F1144" i="1"/>
  <c r="J1145" i="1" s="1"/>
  <c r="E1694" i="1" l="1"/>
  <c r="H1693" i="1"/>
  <c r="G1693" i="1"/>
  <c r="I1144" i="1"/>
  <c r="K1144" i="1" s="1"/>
  <c r="M1144" i="1" s="1"/>
  <c r="F1145" i="1"/>
  <c r="J1146" i="1" s="1"/>
  <c r="E1695" i="1" l="1"/>
  <c r="H1694" i="1"/>
  <c r="G1694" i="1"/>
  <c r="I1145" i="1"/>
  <c r="K1145" i="1" s="1"/>
  <c r="M1145" i="1" s="1"/>
  <c r="F1146" i="1"/>
  <c r="J1147" i="1" s="1"/>
  <c r="E1696" i="1" l="1"/>
  <c r="H1695" i="1"/>
  <c r="G1695" i="1"/>
  <c r="I1146" i="1"/>
  <c r="K1146" i="1" s="1"/>
  <c r="M1146" i="1" s="1"/>
  <c r="E1697" i="1" l="1"/>
  <c r="H1696" i="1"/>
  <c r="G1696" i="1"/>
  <c r="F1147" i="1"/>
  <c r="J1148" i="1" s="1"/>
  <c r="E1698" i="1" l="1"/>
  <c r="H1697" i="1"/>
  <c r="G1697" i="1"/>
  <c r="I1147" i="1"/>
  <c r="K1147" i="1" s="1"/>
  <c r="M1147" i="1" s="1"/>
  <c r="F1148" i="1"/>
  <c r="J1149" i="1" s="1"/>
  <c r="E1699" i="1" l="1"/>
  <c r="H1698" i="1"/>
  <c r="G1698" i="1"/>
  <c r="I1148" i="1"/>
  <c r="K1148" i="1" s="1"/>
  <c r="M1148" i="1" s="1"/>
  <c r="E1700" i="1" l="1"/>
  <c r="H1699" i="1"/>
  <c r="G1699" i="1"/>
  <c r="F1149" i="1"/>
  <c r="J1150" i="1" s="1"/>
  <c r="E1701" i="1" l="1"/>
  <c r="H1700" i="1"/>
  <c r="G1700" i="1"/>
  <c r="I1149" i="1"/>
  <c r="K1149" i="1" s="1"/>
  <c r="M1149" i="1" s="1"/>
  <c r="F1150" i="1"/>
  <c r="J1151" i="1" s="1"/>
  <c r="E1702" i="1" l="1"/>
  <c r="H1701" i="1"/>
  <c r="G1701" i="1"/>
  <c r="I1150" i="1"/>
  <c r="K1150" i="1" s="1"/>
  <c r="M1150" i="1" s="1"/>
  <c r="F1151" i="1"/>
  <c r="J1152" i="1" s="1"/>
  <c r="E1703" i="1" l="1"/>
  <c r="H1702" i="1"/>
  <c r="G1702" i="1"/>
  <c r="I1151" i="1"/>
  <c r="K1151" i="1" s="1"/>
  <c r="M1151" i="1" s="1"/>
  <c r="F1152" i="1"/>
  <c r="J1153" i="1" s="1"/>
  <c r="E1704" i="1" l="1"/>
  <c r="H1703" i="1"/>
  <c r="G1703" i="1"/>
  <c r="I1152" i="1"/>
  <c r="K1152" i="1" s="1"/>
  <c r="M1152" i="1" s="1"/>
  <c r="E1705" i="1" l="1"/>
  <c r="H1704" i="1"/>
  <c r="G1704" i="1"/>
  <c r="F1153" i="1"/>
  <c r="J1154" i="1" s="1"/>
  <c r="E1706" i="1" l="1"/>
  <c r="H1705" i="1"/>
  <c r="G1705" i="1"/>
  <c r="I1153" i="1"/>
  <c r="K1153" i="1" s="1"/>
  <c r="M1153" i="1" s="1"/>
  <c r="F1154" i="1"/>
  <c r="J1155" i="1" s="1"/>
  <c r="E1707" i="1" l="1"/>
  <c r="H1706" i="1"/>
  <c r="G1706" i="1"/>
  <c r="I1154" i="1"/>
  <c r="K1154" i="1" s="1"/>
  <c r="M1154" i="1" s="1"/>
  <c r="E1708" i="1" l="1"/>
  <c r="H1707" i="1"/>
  <c r="G1707" i="1"/>
  <c r="F1155" i="1"/>
  <c r="J1156" i="1" s="1"/>
  <c r="E1709" i="1" l="1"/>
  <c r="H1708" i="1"/>
  <c r="G1708" i="1"/>
  <c r="I1155" i="1"/>
  <c r="K1155" i="1" s="1"/>
  <c r="M1155" i="1" s="1"/>
  <c r="F1156" i="1"/>
  <c r="J1157" i="1" s="1"/>
  <c r="E1710" i="1" l="1"/>
  <c r="H1709" i="1"/>
  <c r="G1709" i="1"/>
  <c r="I1156" i="1"/>
  <c r="K1156" i="1" s="1"/>
  <c r="M1156" i="1" s="1"/>
  <c r="E1711" i="1" l="1"/>
  <c r="H1710" i="1"/>
  <c r="G1710" i="1"/>
  <c r="F1157" i="1"/>
  <c r="J1158" i="1" s="1"/>
  <c r="E1712" i="1" l="1"/>
  <c r="H1711" i="1"/>
  <c r="G1711" i="1"/>
  <c r="I1157" i="1"/>
  <c r="K1157" i="1" s="1"/>
  <c r="M1157" i="1" s="1"/>
  <c r="F1158" i="1"/>
  <c r="J1159" i="1" s="1"/>
  <c r="E1713" i="1" l="1"/>
  <c r="H1712" i="1"/>
  <c r="G1712" i="1"/>
  <c r="I1158" i="1"/>
  <c r="K1158" i="1" s="1"/>
  <c r="M1158" i="1" s="1"/>
  <c r="F1159" i="1"/>
  <c r="J1160" i="1" s="1"/>
  <c r="E1714" i="1" l="1"/>
  <c r="H1713" i="1"/>
  <c r="G1713" i="1"/>
  <c r="I1159" i="1"/>
  <c r="K1159" i="1" s="1"/>
  <c r="M1159" i="1" s="1"/>
  <c r="F1160" i="1"/>
  <c r="J1161" i="1" s="1"/>
  <c r="E1715" i="1" l="1"/>
  <c r="H1714" i="1"/>
  <c r="G1714" i="1"/>
  <c r="I1160" i="1"/>
  <c r="K1160" i="1" s="1"/>
  <c r="M1160" i="1" s="1"/>
  <c r="E1716" i="1" l="1"/>
  <c r="H1715" i="1"/>
  <c r="G1715" i="1"/>
  <c r="F1161" i="1"/>
  <c r="J1162" i="1" s="1"/>
  <c r="E1717" i="1" l="1"/>
  <c r="H1716" i="1"/>
  <c r="G1716" i="1"/>
  <c r="I1161" i="1"/>
  <c r="K1161" i="1" s="1"/>
  <c r="M1161" i="1" s="1"/>
  <c r="F1162" i="1"/>
  <c r="J1163" i="1" s="1"/>
  <c r="E1718" i="1" l="1"/>
  <c r="H1717" i="1"/>
  <c r="G1717" i="1"/>
  <c r="I1162" i="1"/>
  <c r="K1162" i="1" s="1"/>
  <c r="M1162" i="1" s="1"/>
  <c r="F1163" i="1"/>
  <c r="J1164" i="1" s="1"/>
  <c r="E1719" i="1" l="1"/>
  <c r="H1718" i="1"/>
  <c r="G1718" i="1"/>
  <c r="I1163" i="1"/>
  <c r="K1163" i="1" s="1"/>
  <c r="M1163" i="1" s="1"/>
  <c r="E1720" i="1" l="1"/>
  <c r="H1719" i="1"/>
  <c r="G1719" i="1"/>
  <c r="F1164" i="1"/>
  <c r="J1165" i="1" s="1"/>
  <c r="E1721" i="1" l="1"/>
  <c r="H1720" i="1"/>
  <c r="G1720" i="1"/>
  <c r="I1164" i="1"/>
  <c r="K1164" i="1" s="1"/>
  <c r="M1164" i="1" s="1"/>
  <c r="F1165" i="1"/>
  <c r="J1166" i="1" s="1"/>
  <c r="E1722" i="1" l="1"/>
  <c r="H1721" i="1"/>
  <c r="G1721" i="1"/>
  <c r="I1165" i="1"/>
  <c r="K1165" i="1" s="1"/>
  <c r="M1165" i="1" s="1"/>
  <c r="F1166" i="1"/>
  <c r="J1167" i="1" s="1"/>
  <c r="E1723" i="1" l="1"/>
  <c r="H1722" i="1"/>
  <c r="G1722" i="1"/>
  <c r="I1166" i="1"/>
  <c r="K1166" i="1" s="1"/>
  <c r="M1166" i="1" s="1"/>
  <c r="E1724" i="1" l="1"/>
  <c r="H1723" i="1"/>
  <c r="G1723" i="1"/>
  <c r="F1167" i="1"/>
  <c r="J1168" i="1" s="1"/>
  <c r="E1725" i="1" l="1"/>
  <c r="H1724" i="1"/>
  <c r="G1724" i="1"/>
  <c r="I1167" i="1"/>
  <c r="K1167" i="1" s="1"/>
  <c r="M1167" i="1" s="1"/>
  <c r="F1168" i="1"/>
  <c r="J1169" i="1" s="1"/>
  <c r="E1726" i="1" l="1"/>
  <c r="H1725" i="1"/>
  <c r="G1725" i="1"/>
  <c r="I1168" i="1"/>
  <c r="K1168" i="1" s="1"/>
  <c r="M1168" i="1" s="1"/>
  <c r="E1727" i="1" l="1"/>
  <c r="H1726" i="1"/>
  <c r="G1726" i="1"/>
  <c r="F1169" i="1"/>
  <c r="J1170" i="1" s="1"/>
  <c r="E1728" i="1" l="1"/>
  <c r="H1727" i="1"/>
  <c r="G1727" i="1"/>
  <c r="I1169" i="1"/>
  <c r="K1169" i="1" s="1"/>
  <c r="M1169" i="1" s="1"/>
  <c r="F1170" i="1"/>
  <c r="J1171" i="1" s="1"/>
  <c r="E1729" i="1" l="1"/>
  <c r="H1728" i="1"/>
  <c r="G1728" i="1"/>
  <c r="I1170" i="1"/>
  <c r="K1170" i="1" s="1"/>
  <c r="M1170" i="1" s="1"/>
  <c r="E1730" i="1" l="1"/>
  <c r="H1729" i="1"/>
  <c r="G1729" i="1"/>
  <c r="F1171" i="1"/>
  <c r="J1172" i="1" s="1"/>
  <c r="E1731" i="1" l="1"/>
  <c r="H1730" i="1"/>
  <c r="G1730" i="1"/>
  <c r="I1171" i="1"/>
  <c r="K1171" i="1" s="1"/>
  <c r="M1171" i="1" s="1"/>
  <c r="F1172" i="1"/>
  <c r="J1173" i="1" s="1"/>
  <c r="E1732" i="1" l="1"/>
  <c r="H1731" i="1"/>
  <c r="G1731" i="1"/>
  <c r="I1172" i="1"/>
  <c r="K1172" i="1" s="1"/>
  <c r="M1172" i="1" s="1"/>
  <c r="F1173" i="1"/>
  <c r="J1174" i="1" s="1"/>
  <c r="E1733" i="1" l="1"/>
  <c r="H1732" i="1"/>
  <c r="G1732" i="1"/>
  <c r="I1173" i="1"/>
  <c r="K1173" i="1" s="1"/>
  <c r="M1173" i="1" s="1"/>
  <c r="E1734" i="1" l="1"/>
  <c r="H1733" i="1"/>
  <c r="G1733" i="1"/>
  <c r="F1174" i="1"/>
  <c r="J1175" i="1" s="1"/>
  <c r="E1735" i="1" l="1"/>
  <c r="H1734" i="1"/>
  <c r="G1734" i="1"/>
  <c r="I1174" i="1"/>
  <c r="K1174" i="1" s="1"/>
  <c r="M1174" i="1" s="1"/>
  <c r="F1175" i="1"/>
  <c r="J1176" i="1" s="1"/>
  <c r="E1736" i="1" l="1"/>
  <c r="H1735" i="1"/>
  <c r="G1735" i="1"/>
  <c r="I1175" i="1"/>
  <c r="K1175" i="1" s="1"/>
  <c r="M1175" i="1" s="1"/>
  <c r="F1176" i="1"/>
  <c r="J1177" i="1" s="1"/>
  <c r="E1737" i="1" l="1"/>
  <c r="H1736" i="1"/>
  <c r="G1736" i="1"/>
  <c r="I1176" i="1"/>
  <c r="K1176" i="1" s="1"/>
  <c r="M1176" i="1" s="1"/>
  <c r="E1738" i="1" l="1"/>
  <c r="H1737" i="1"/>
  <c r="G1737" i="1"/>
  <c r="F1177" i="1"/>
  <c r="J1178" i="1" s="1"/>
  <c r="E1739" i="1" l="1"/>
  <c r="H1738" i="1"/>
  <c r="G1738" i="1"/>
  <c r="I1177" i="1"/>
  <c r="K1177" i="1" s="1"/>
  <c r="M1177" i="1" s="1"/>
  <c r="F1178" i="1"/>
  <c r="J1179" i="1" s="1"/>
  <c r="E1740" i="1" l="1"/>
  <c r="H1739" i="1"/>
  <c r="G1739" i="1"/>
  <c r="I1178" i="1"/>
  <c r="K1178" i="1" s="1"/>
  <c r="M1178" i="1" s="1"/>
  <c r="F1179" i="1"/>
  <c r="J1180" i="1" s="1"/>
  <c r="E1741" i="1" l="1"/>
  <c r="H1740" i="1"/>
  <c r="G1740" i="1"/>
  <c r="I1179" i="1"/>
  <c r="K1179" i="1" s="1"/>
  <c r="M1179" i="1" s="1"/>
  <c r="E1742" i="1" l="1"/>
  <c r="H1741" i="1"/>
  <c r="G1741" i="1"/>
  <c r="F1180" i="1"/>
  <c r="J1181" i="1" s="1"/>
  <c r="E1743" i="1" l="1"/>
  <c r="H1742" i="1"/>
  <c r="G1742" i="1"/>
  <c r="I1180" i="1"/>
  <c r="K1180" i="1" s="1"/>
  <c r="M1180" i="1" s="1"/>
  <c r="F1181" i="1"/>
  <c r="J1182" i="1" s="1"/>
  <c r="E1744" i="1" l="1"/>
  <c r="H1743" i="1"/>
  <c r="G1743" i="1"/>
  <c r="I1181" i="1"/>
  <c r="K1181" i="1" s="1"/>
  <c r="M1181" i="1" s="1"/>
  <c r="F1182" i="1"/>
  <c r="J1183" i="1" s="1"/>
  <c r="E1745" i="1" l="1"/>
  <c r="H1744" i="1"/>
  <c r="G1744" i="1"/>
  <c r="I1182" i="1"/>
  <c r="K1182" i="1" s="1"/>
  <c r="M1182" i="1" s="1"/>
  <c r="E1746" i="1" l="1"/>
  <c r="H1745" i="1"/>
  <c r="G1745" i="1"/>
  <c r="F1183" i="1"/>
  <c r="J1184" i="1" s="1"/>
  <c r="E1747" i="1" l="1"/>
  <c r="H1746" i="1"/>
  <c r="G1746" i="1"/>
  <c r="I1183" i="1"/>
  <c r="K1183" i="1" s="1"/>
  <c r="M1183" i="1" s="1"/>
  <c r="F1184" i="1"/>
  <c r="J1185" i="1" s="1"/>
  <c r="E1748" i="1" l="1"/>
  <c r="H1747" i="1"/>
  <c r="G1747" i="1"/>
  <c r="I1184" i="1"/>
  <c r="K1184" i="1" s="1"/>
  <c r="M1184" i="1" s="1"/>
  <c r="F1185" i="1"/>
  <c r="J1186" i="1" s="1"/>
  <c r="E1749" i="1" l="1"/>
  <c r="H1748" i="1"/>
  <c r="G1748" i="1"/>
  <c r="I1185" i="1"/>
  <c r="K1185" i="1" s="1"/>
  <c r="M1185" i="1" s="1"/>
  <c r="F1186" i="1"/>
  <c r="J1187" i="1" s="1"/>
  <c r="E1750" i="1" l="1"/>
  <c r="H1749" i="1"/>
  <c r="G1749" i="1"/>
  <c r="I1186" i="1"/>
  <c r="K1186" i="1" s="1"/>
  <c r="M1186" i="1" s="1"/>
  <c r="E1751" i="1" l="1"/>
  <c r="H1750" i="1"/>
  <c r="G1750" i="1"/>
  <c r="F1187" i="1"/>
  <c r="J1188" i="1" s="1"/>
  <c r="E1752" i="1" l="1"/>
  <c r="H1751" i="1"/>
  <c r="G1751" i="1"/>
  <c r="I1187" i="1"/>
  <c r="K1187" i="1" s="1"/>
  <c r="M1187" i="1" s="1"/>
  <c r="E1753" i="1" l="1"/>
  <c r="H1752" i="1"/>
  <c r="G1752" i="1"/>
  <c r="F1188" i="1"/>
  <c r="J1189" i="1" s="1"/>
  <c r="E1754" i="1" l="1"/>
  <c r="H1753" i="1"/>
  <c r="G1753" i="1"/>
  <c r="I1188" i="1"/>
  <c r="K1188" i="1" s="1"/>
  <c r="M1188" i="1" s="1"/>
  <c r="F1189" i="1"/>
  <c r="J1190" i="1" s="1"/>
  <c r="E1755" i="1" l="1"/>
  <c r="H1754" i="1"/>
  <c r="G1754" i="1"/>
  <c r="I1189" i="1"/>
  <c r="K1189" i="1" s="1"/>
  <c r="M1189" i="1" s="1"/>
  <c r="F1190" i="1"/>
  <c r="J1191" i="1" s="1"/>
  <c r="E1756" i="1" l="1"/>
  <c r="H1755" i="1"/>
  <c r="G1755" i="1"/>
  <c r="I1190" i="1"/>
  <c r="K1190" i="1" s="1"/>
  <c r="M1190" i="1" s="1"/>
  <c r="E1757" i="1" l="1"/>
  <c r="H1756" i="1"/>
  <c r="G1756" i="1"/>
  <c r="F1191" i="1"/>
  <c r="J1192" i="1" s="1"/>
  <c r="E1758" i="1" l="1"/>
  <c r="H1757" i="1"/>
  <c r="G1757" i="1"/>
  <c r="I1191" i="1"/>
  <c r="K1191" i="1" s="1"/>
  <c r="M1191" i="1" s="1"/>
  <c r="F1192" i="1"/>
  <c r="J1193" i="1" s="1"/>
  <c r="E1759" i="1" l="1"/>
  <c r="H1758" i="1"/>
  <c r="G1758" i="1"/>
  <c r="I1192" i="1"/>
  <c r="K1192" i="1" s="1"/>
  <c r="M1192" i="1" s="1"/>
  <c r="E1760" i="1" l="1"/>
  <c r="H1759" i="1"/>
  <c r="G1759" i="1"/>
  <c r="F1193" i="1"/>
  <c r="J1194" i="1" s="1"/>
  <c r="E1761" i="1" l="1"/>
  <c r="H1760" i="1"/>
  <c r="G1760" i="1"/>
  <c r="I1193" i="1"/>
  <c r="K1193" i="1" s="1"/>
  <c r="M1193" i="1" s="1"/>
  <c r="F1194" i="1"/>
  <c r="J1195" i="1" s="1"/>
  <c r="E1762" i="1" l="1"/>
  <c r="H1761" i="1"/>
  <c r="G1761" i="1"/>
  <c r="I1194" i="1"/>
  <c r="K1194" i="1" s="1"/>
  <c r="M1194" i="1" s="1"/>
  <c r="E1763" i="1" l="1"/>
  <c r="H1762" i="1"/>
  <c r="G1762" i="1"/>
  <c r="F1195" i="1"/>
  <c r="J1196" i="1" s="1"/>
  <c r="E1764" i="1" l="1"/>
  <c r="H1763" i="1"/>
  <c r="G1763" i="1"/>
  <c r="I1195" i="1"/>
  <c r="K1195" i="1" s="1"/>
  <c r="M1195" i="1" s="1"/>
  <c r="E1765" i="1" l="1"/>
  <c r="H1764" i="1"/>
  <c r="G1764" i="1"/>
  <c r="F1196" i="1"/>
  <c r="J1197" i="1" s="1"/>
  <c r="E1766" i="1" l="1"/>
  <c r="H1765" i="1"/>
  <c r="G1765" i="1"/>
  <c r="I1196" i="1"/>
  <c r="K1196" i="1" s="1"/>
  <c r="M1196" i="1" s="1"/>
  <c r="E1767" i="1" l="1"/>
  <c r="H1766" i="1"/>
  <c r="G1766" i="1"/>
  <c r="F1197" i="1"/>
  <c r="J1198" i="1" s="1"/>
  <c r="E1768" i="1" l="1"/>
  <c r="H1767" i="1"/>
  <c r="G1767" i="1"/>
  <c r="I1197" i="1"/>
  <c r="K1197" i="1" s="1"/>
  <c r="M1197" i="1" s="1"/>
  <c r="F1198" i="1"/>
  <c r="J1199" i="1" s="1"/>
  <c r="E1769" i="1" l="1"/>
  <c r="H1768" i="1"/>
  <c r="G1768" i="1"/>
  <c r="I1198" i="1"/>
  <c r="K1198" i="1" s="1"/>
  <c r="M1198" i="1" s="1"/>
  <c r="E1770" i="1" l="1"/>
  <c r="H1769" i="1"/>
  <c r="G1769" i="1"/>
  <c r="F1199" i="1"/>
  <c r="J1200" i="1" s="1"/>
  <c r="E1771" i="1" l="1"/>
  <c r="H1770" i="1"/>
  <c r="G1770" i="1"/>
  <c r="I1199" i="1"/>
  <c r="K1199" i="1" s="1"/>
  <c r="M1199" i="1" s="1"/>
  <c r="E1772" i="1" l="1"/>
  <c r="H1771" i="1"/>
  <c r="G1771" i="1"/>
  <c r="F1200" i="1"/>
  <c r="J1201" i="1" s="1"/>
  <c r="E1773" i="1" l="1"/>
  <c r="H1772" i="1"/>
  <c r="G1772" i="1"/>
  <c r="I1200" i="1"/>
  <c r="K1200" i="1" s="1"/>
  <c r="M1200" i="1" s="1"/>
  <c r="E1774" i="1" l="1"/>
  <c r="H1773" i="1"/>
  <c r="G1773" i="1"/>
  <c r="F1201" i="1"/>
  <c r="J1202" i="1" s="1"/>
  <c r="E1775" i="1" l="1"/>
  <c r="H1774" i="1"/>
  <c r="G1774" i="1"/>
  <c r="I1201" i="1"/>
  <c r="K1201" i="1" s="1"/>
  <c r="M1201" i="1" s="1"/>
  <c r="F1202" i="1"/>
  <c r="J1203" i="1" s="1"/>
  <c r="E1776" i="1" l="1"/>
  <c r="H1775" i="1"/>
  <c r="G1775" i="1"/>
  <c r="I1202" i="1"/>
  <c r="K1202" i="1" s="1"/>
  <c r="M1202" i="1" s="1"/>
  <c r="E1777" i="1" l="1"/>
  <c r="H1776" i="1"/>
  <c r="G1776" i="1"/>
  <c r="F1203" i="1"/>
  <c r="J1204" i="1" s="1"/>
  <c r="E1778" i="1" l="1"/>
  <c r="H1777" i="1"/>
  <c r="G1777" i="1"/>
  <c r="I1203" i="1"/>
  <c r="K1203" i="1" s="1"/>
  <c r="M1203" i="1" s="1"/>
  <c r="F1204" i="1"/>
  <c r="J1205" i="1" s="1"/>
  <c r="E1779" i="1" l="1"/>
  <c r="H1778" i="1"/>
  <c r="G1778" i="1"/>
  <c r="I1204" i="1"/>
  <c r="K1204" i="1" s="1"/>
  <c r="M1204" i="1" s="1"/>
  <c r="E1780" i="1" l="1"/>
  <c r="H1779" i="1"/>
  <c r="G1779" i="1"/>
  <c r="F1205" i="1"/>
  <c r="J1206" i="1" s="1"/>
  <c r="E1781" i="1" l="1"/>
  <c r="H1780" i="1"/>
  <c r="G1780" i="1"/>
  <c r="I1205" i="1"/>
  <c r="K1205" i="1" s="1"/>
  <c r="M1205" i="1" s="1"/>
  <c r="F1206" i="1"/>
  <c r="J1207" i="1" s="1"/>
  <c r="E1782" i="1" l="1"/>
  <c r="H1781" i="1"/>
  <c r="G1781" i="1"/>
  <c r="I1206" i="1"/>
  <c r="K1206" i="1" s="1"/>
  <c r="M1206" i="1" s="1"/>
  <c r="E1783" i="1" l="1"/>
  <c r="H1782" i="1"/>
  <c r="G1782" i="1"/>
  <c r="F1207" i="1"/>
  <c r="J1208" i="1" s="1"/>
  <c r="E1784" i="1" l="1"/>
  <c r="H1783" i="1"/>
  <c r="G1783" i="1"/>
  <c r="I1207" i="1"/>
  <c r="K1207" i="1" s="1"/>
  <c r="M1207" i="1" s="1"/>
  <c r="F1208" i="1"/>
  <c r="J1209" i="1" s="1"/>
  <c r="E1785" i="1" l="1"/>
  <c r="H1784" i="1"/>
  <c r="G1784" i="1"/>
  <c r="I1208" i="1"/>
  <c r="K1208" i="1" s="1"/>
  <c r="M1208" i="1" s="1"/>
  <c r="E1786" i="1" l="1"/>
  <c r="H1785" i="1"/>
  <c r="G1785" i="1"/>
  <c r="F1209" i="1"/>
  <c r="J1210" i="1" s="1"/>
  <c r="E1787" i="1" l="1"/>
  <c r="H1786" i="1"/>
  <c r="G1786" i="1"/>
  <c r="I1209" i="1"/>
  <c r="K1209" i="1" s="1"/>
  <c r="M1209" i="1" s="1"/>
  <c r="E1788" i="1" l="1"/>
  <c r="H1787" i="1"/>
  <c r="G1787" i="1"/>
  <c r="F1210" i="1"/>
  <c r="J1211" i="1" s="1"/>
  <c r="E1789" i="1" l="1"/>
  <c r="H1788" i="1"/>
  <c r="G1788" i="1"/>
  <c r="I1210" i="1"/>
  <c r="K1210" i="1" s="1"/>
  <c r="M1210" i="1" s="1"/>
  <c r="E1790" i="1" l="1"/>
  <c r="H1789" i="1"/>
  <c r="G1789" i="1"/>
  <c r="F1211" i="1"/>
  <c r="J1212" i="1" s="1"/>
  <c r="E1791" i="1" l="1"/>
  <c r="H1790" i="1"/>
  <c r="G1790" i="1"/>
  <c r="I1211" i="1"/>
  <c r="K1211" i="1" s="1"/>
  <c r="M1211" i="1" s="1"/>
  <c r="E1792" i="1" l="1"/>
  <c r="H1791" i="1"/>
  <c r="G1791" i="1"/>
  <c r="F1212" i="1"/>
  <c r="J1213" i="1" s="1"/>
  <c r="E1793" i="1" l="1"/>
  <c r="H1792" i="1"/>
  <c r="G1792" i="1"/>
  <c r="I1212" i="1"/>
  <c r="K1212" i="1" s="1"/>
  <c r="M1212" i="1" s="1"/>
  <c r="F1213" i="1"/>
  <c r="J1214" i="1" s="1"/>
  <c r="E1794" i="1" l="1"/>
  <c r="H1793" i="1"/>
  <c r="G1793" i="1"/>
  <c r="I1213" i="1"/>
  <c r="K1213" i="1" s="1"/>
  <c r="M1213" i="1" s="1"/>
  <c r="F1214" i="1"/>
  <c r="J1215" i="1" s="1"/>
  <c r="E1795" i="1" l="1"/>
  <c r="H1794" i="1"/>
  <c r="G1794" i="1"/>
  <c r="I1214" i="1"/>
  <c r="K1214" i="1" s="1"/>
  <c r="M1214" i="1" s="1"/>
  <c r="F1215" i="1"/>
  <c r="J1216" i="1" s="1"/>
  <c r="E1796" i="1" l="1"/>
  <c r="H1795" i="1"/>
  <c r="G1795" i="1"/>
  <c r="I1215" i="1"/>
  <c r="K1215" i="1" s="1"/>
  <c r="M1215" i="1" s="1"/>
  <c r="E1797" i="1" l="1"/>
  <c r="H1796" i="1"/>
  <c r="G1796" i="1"/>
  <c r="F1216" i="1"/>
  <c r="J1217" i="1" s="1"/>
  <c r="E1798" i="1" l="1"/>
  <c r="H1797" i="1"/>
  <c r="G1797" i="1"/>
  <c r="I1216" i="1"/>
  <c r="K1216" i="1" s="1"/>
  <c r="M1216" i="1" s="1"/>
  <c r="E1799" i="1" l="1"/>
  <c r="H1798" i="1"/>
  <c r="G1798" i="1"/>
  <c r="F1217" i="1"/>
  <c r="J1218" i="1" s="1"/>
  <c r="E1800" i="1" l="1"/>
  <c r="H1799" i="1"/>
  <c r="G1799" i="1"/>
  <c r="I1217" i="1"/>
  <c r="K1217" i="1" s="1"/>
  <c r="M1217" i="1" s="1"/>
  <c r="F1218" i="1"/>
  <c r="J1219" i="1" s="1"/>
  <c r="E1801" i="1" l="1"/>
  <c r="H1800" i="1"/>
  <c r="G1800" i="1"/>
  <c r="I1218" i="1"/>
  <c r="K1218" i="1" s="1"/>
  <c r="M1218" i="1" s="1"/>
  <c r="F1219" i="1"/>
  <c r="J1220" i="1" s="1"/>
  <c r="E1802" i="1" l="1"/>
  <c r="H1801" i="1"/>
  <c r="G1801" i="1"/>
  <c r="I1219" i="1"/>
  <c r="K1219" i="1" s="1"/>
  <c r="M1219" i="1" s="1"/>
  <c r="F1220" i="1"/>
  <c r="J1221" i="1" s="1"/>
  <c r="E1803" i="1" l="1"/>
  <c r="H1802" i="1"/>
  <c r="G1802" i="1"/>
  <c r="I1220" i="1"/>
  <c r="K1220" i="1" s="1"/>
  <c r="M1220" i="1" s="1"/>
  <c r="E1804" i="1" l="1"/>
  <c r="H1803" i="1"/>
  <c r="G1803" i="1"/>
  <c r="F1221" i="1"/>
  <c r="J1222" i="1" s="1"/>
  <c r="E1805" i="1" l="1"/>
  <c r="H1804" i="1"/>
  <c r="G1804" i="1"/>
  <c r="I1221" i="1"/>
  <c r="K1221" i="1" s="1"/>
  <c r="M1221" i="1" s="1"/>
  <c r="F1222" i="1"/>
  <c r="J1223" i="1" s="1"/>
  <c r="E1806" i="1" l="1"/>
  <c r="H1805" i="1"/>
  <c r="G1805" i="1"/>
  <c r="I1222" i="1"/>
  <c r="K1222" i="1" s="1"/>
  <c r="M1222" i="1" s="1"/>
  <c r="E1807" i="1" l="1"/>
  <c r="H1806" i="1"/>
  <c r="G1806" i="1"/>
  <c r="F1223" i="1"/>
  <c r="J1224" i="1" s="1"/>
  <c r="E1808" i="1" l="1"/>
  <c r="H1807" i="1"/>
  <c r="G1807" i="1"/>
  <c r="I1223" i="1"/>
  <c r="K1223" i="1" s="1"/>
  <c r="M1223" i="1" s="1"/>
  <c r="F1224" i="1"/>
  <c r="J1225" i="1" s="1"/>
  <c r="E1809" i="1" l="1"/>
  <c r="H1808" i="1"/>
  <c r="G1808" i="1"/>
  <c r="I1224" i="1"/>
  <c r="K1224" i="1" s="1"/>
  <c r="M1224" i="1" s="1"/>
  <c r="F1225" i="1"/>
  <c r="J1226" i="1" s="1"/>
  <c r="E1810" i="1" l="1"/>
  <c r="H1809" i="1"/>
  <c r="G1809" i="1"/>
  <c r="I1225" i="1"/>
  <c r="K1225" i="1" s="1"/>
  <c r="M1225" i="1" s="1"/>
  <c r="F1226" i="1"/>
  <c r="J1227" i="1" s="1"/>
  <c r="E1811" i="1" l="1"/>
  <c r="H1810" i="1"/>
  <c r="G1810" i="1"/>
  <c r="I1226" i="1"/>
  <c r="K1226" i="1" s="1"/>
  <c r="M1226" i="1" s="1"/>
  <c r="F1227" i="1"/>
  <c r="J1228" i="1" s="1"/>
  <c r="E1812" i="1" l="1"/>
  <c r="H1811" i="1"/>
  <c r="G1811" i="1"/>
  <c r="I1227" i="1"/>
  <c r="K1227" i="1" s="1"/>
  <c r="M1227" i="1" s="1"/>
  <c r="F1228" i="1"/>
  <c r="J1229" i="1" s="1"/>
  <c r="E1813" i="1" l="1"/>
  <c r="H1812" i="1"/>
  <c r="G1812" i="1"/>
  <c r="I1228" i="1"/>
  <c r="K1228" i="1" s="1"/>
  <c r="M1228" i="1" s="1"/>
  <c r="E1814" i="1" l="1"/>
  <c r="H1813" i="1"/>
  <c r="G1813" i="1"/>
  <c r="F1229" i="1"/>
  <c r="J1230" i="1" s="1"/>
  <c r="E1815" i="1" l="1"/>
  <c r="H1814" i="1"/>
  <c r="G1814" i="1"/>
  <c r="I1229" i="1"/>
  <c r="K1229" i="1" s="1"/>
  <c r="M1229" i="1" s="1"/>
  <c r="F1230" i="1"/>
  <c r="J1231" i="1" s="1"/>
  <c r="E1816" i="1" l="1"/>
  <c r="H1815" i="1"/>
  <c r="G1815" i="1"/>
  <c r="I1230" i="1"/>
  <c r="K1230" i="1" s="1"/>
  <c r="M1230" i="1" s="1"/>
  <c r="F1231" i="1"/>
  <c r="J1232" i="1" s="1"/>
  <c r="E1817" i="1" l="1"/>
  <c r="H1816" i="1"/>
  <c r="G1816" i="1"/>
  <c r="I1231" i="1"/>
  <c r="K1231" i="1" s="1"/>
  <c r="M1231" i="1" s="1"/>
  <c r="F1232" i="1"/>
  <c r="J1233" i="1" s="1"/>
  <c r="E1818" i="1" l="1"/>
  <c r="H1817" i="1"/>
  <c r="G1817" i="1"/>
  <c r="I1232" i="1"/>
  <c r="K1232" i="1" s="1"/>
  <c r="M1232" i="1" s="1"/>
  <c r="E1819" i="1" l="1"/>
  <c r="H1818" i="1"/>
  <c r="G1818" i="1"/>
  <c r="F1233" i="1"/>
  <c r="J1234" i="1" s="1"/>
  <c r="E1820" i="1" l="1"/>
  <c r="H1819" i="1"/>
  <c r="G1819" i="1"/>
  <c r="I1233" i="1"/>
  <c r="K1233" i="1" s="1"/>
  <c r="M1233" i="1" s="1"/>
  <c r="E1821" i="1" l="1"/>
  <c r="H1820" i="1"/>
  <c r="G1820" i="1"/>
  <c r="F1234" i="1"/>
  <c r="J1235" i="1" s="1"/>
  <c r="E1822" i="1" l="1"/>
  <c r="H1821" i="1"/>
  <c r="G1821" i="1"/>
  <c r="I1234" i="1"/>
  <c r="K1234" i="1" s="1"/>
  <c r="M1234" i="1" s="1"/>
  <c r="E1823" i="1" l="1"/>
  <c r="H1822" i="1"/>
  <c r="G1822" i="1"/>
  <c r="F1235" i="1"/>
  <c r="J1236" i="1" s="1"/>
  <c r="E1824" i="1" l="1"/>
  <c r="H1823" i="1"/>
  <c r="G1823" i="1"/>
  <c r="I1235" i="1"/>
  <c r="K1235" i="1" s="1"/>
  <c r="M1235" i="1" s="1"/>
  <c r="F1236" i="1"/>
  <c r="J1237" i="1" s="1"/>
  <c r="E1825" i="1" l="1"/>
  <c r="H1824" i="1"/>
  <c r="G1824" i="1"/>
  <c r="I1236" i="1"/>
  <c r="K1236" i="1" s="1"/>
  <c r="M1236" i="1" s="1"/>
  <c r="F1237" i="1"/>
  <c r="J1238" i="1" s="1"/>
  <c r="E1826" i="1" l="1"/>
  <c r="H1825" i="1"/>
  <c r="G1825" i="1"/>
  <c r="I1237" i="1"/>
  <c r="K1237" i="1" s="1"/>
  <c r="M1237" i="1" s="1"/>
  <c r="F1238" i="1"/>
  <c r="J1239" i="1" s="1"/>
  <c r="E1827" i="1" l="1"/>
  <c r="H1826" i="1"/>
  <c r="G1826" i="1"/>
  <c r="I1238" i="1"/>
  <c r="K1238" i="1" s="1"/>
  <c r="M1238" i="1" s="1"/>
  <c r="E1828" i="1" l="1"/>
  <c r="H1827" i="1"/>
  <c r="G1827" i="1"/>
  <c r="F1239" i="1"/>
  <c r="J1240" i="1" s="1"/>
  <c r="E1829" i="1" l="1"/>
  <c r="H1828" i="1"/>
  <c r="G1828" i="1"/>
  <c r="I1239" i="1"/>
  <c r="K1239" i="1" s="1"/>
  <c r="M1239" i="1" s="1"/>
  <c r="F1240" i="1"/>
  <c r="J1241" i="1" s="1"/>
  <c r="E1830" i="1" l="1"/>
  <c r="H1829" i="1"/>
  <c r="G1829" i="1"/>
  <c r="I1240" i="1"/>
  <c r="K1240" i="1" s="1"/>
  <c r="M1240" i="1" s="1"/>
  <c r="F1241" i="1"/>
  <c r="J1242" i="1" s="1"/>
  <c r="E1831" i="1" l="1"/>
  <c r="H1830" i="1"/>
  <c r="G1830" i="1"/>
  <c r="I1241" i="1"/>
  <c r="K1241" i="1" s="1"/>
  <c r="M1241" i="1" s="1"/>
  <c r="F1242" i="1"/>
  <c r="J1243" i="1" s="1"/>
  <c r="E1832" i="1" l="1"/>
  <c r="H1831" i="1"/>
  <c r="G1831" i="1"/>
  <c r="I1242" i="1"/>
  <c r="K1242" i="1" s="1"/>
  <c r="M1242" i="1" s="1"/>
  <c r="F1243" i="1"/>
  <c r="J1244" i="1" s="1"/>
  <c r="E1833" i="1" l="1"/>
  <c r="H1832" i="1"/>
  <c r="G1832" i="1"/>
  <c r="I1243" i="1"/>
  <c r="K1243" i="1" s="1"/>
  <c r="M1243" i="1" s="1"/>
  <c r="F1244" i="1"/>
  <c r="J1245" i="1" s="1"/>
  <c r="E1834" i="1" l="1"/>
  <c r="H1833" i="1"/>
  <c r="G1833" i="1"/>
  <c r="I1244" i="1"/>
  <c r="K1244" i="1" s="1"/>
  <c r="M1244" i="1" s="1"/>
  <c r="E1835" i="1" l="1"/>
  <c r="H1834" i="1"/>
  <c r="G1834" i="1"/>
  <c r="F1245" i="1"/>
  <c r="J1246" i="1" s="1"/>
  <c r="E1836" i="1" l="1"/>
  <c r="H1835" i="1"/>
  <c r="G1835" i="1"/>
  <c r="I1245" i="1"/>
  <c r="K1245" i="1" s="1"/>
  <c r="M1245" i="1" s="1"/>
  <c r="E1837" i="1" l="1"/>
  <c r="H1836" i="1"/>
  <c r="G1836" i="1"/>
  <c r="F1246" i="1"/>
  <c r="J1247" i="1" s="1"/>
  <c r="E1838" i="1" l="1"/>
  <c r="H1837" i="1"/>
  <c r="G1837" i="1"/>
  <c r="I1246" i="1"/>
  <c r="K1246" i="1" s="1"/>
  <c r="M1246" i="1" s="1"/>
  <c r="F1247" i="1"/>
  <c r="J1248" i="1" s="1"/>
  <c r="E1839" i="1" l="1"/>
  <c r="H1838" i="1"/>
  <c r="G1838" i="1"/>
  <c r="I1247" i="1"/>
  <c r="K1247" i="1" s="1"/>
  <c r="M1247" i="1" s="1"/>
  <c r="F1248" i="1"/>
  <c r="J1249" i="1" s="1"/>
  <c r="E1840" i="1" l="1"/>
  <c r="H1839" i="1"/>
  <c r="G1839" i="1"/>
  <c r="I1248" i="1"/>
  <c r="K1248" i="1" s="1"/>
  <c r="M1248" i="1" s="1"/>
  <c r="E1841" i="1" l="1"/>
  <c r="H1840" i="1"/>
  <c r="G1840" i="1"/>
  <c r="F1249" i="1"/>
  <c r="J1250" i="1" s="1"/>
  <c r="E1842" i="1" l="1"/>
  <c r="H1841" i="1"/>
  <c r="G1841" i="1"/>
  <c r="I1249" i="1"/>
  <c r="K1249" i="1" s="1"/>
  <c r="M1249" i="1" s="1"/>
  <c r="F1250" i="1"/>
  <c r="J1251" i="1" s="1"/>
  <c r="E1843" i="1" l="1"/>
  <c r="H1842" i="1"/>
  <c r="G1842" i="1"/>
  <c r="I1250" i="1"/>
  <c r="K1250" i="1" s="1"/>
  <c r="M1250" i="1" s="1"/>
  <c r="E1844" i="1" l="1"/>
  <c r="H1843" i="1"/>
  <c r="G1843" i="1"/>
  <c r="F1251" i="1"/>
  <c r="J1252" i="1" s="1"/>
  <c r="E1845" i="1" l="1"/>
  <c r="H1844" i="1"/>
  <c r="G1844" i="1"/>
  <c r="I1251" i="1"/>
  <c r="K1251" i="1" s="1"/>
  <c r="M1251" i="1" s="1"/>
  <c r="F1252" i="1"/>
  <c r="J1253" i="1" s="1"/>
  <c r="E1846" i="1" l="1"/>
  <c r="H1845" i="1"/>
  <c r="G1845" i="1"/>
  <c r="I1252" i="1"/>
  <c r="K1252" i="1" s="1"/>
  <c r="M1252" i="1" s="1"/>
  <c r="F1253" i="1"/>
  <c r="J1254" i="1" s="1"/>
  <c r="E1847" i="1" l="1"/>
  <c r="H1846" i="1"/>
  <c r="G1846" i="1"/>
  <c r="I1253" i="1"/>
  <c r="K1253" i="1" s="1"/>
  <c r="M1253" i="1" s="1"/>
  <c r="F1254" i="1"/>
  <c r="J1255" i="1" s="1"/>
  <c r="E1848" i="1" l="1"/>
  <c r="H1847" i="1"/>
  <c r="G1847" i="1"/>
  <c r="I1254" i="1"/>
  <c r="K1254" i="1" s="1"/>
  <c r="M1254" i="1" s="1"/>
  <c r="F1255" i="1"/>
  <c r="J1256" i="1" s="1"/>
  <c r="E1849" i="1" l="1"/>
  <c r="H1848" i="1"/>
  <c r="G1848" i="1"/>
  <c r="I1255" i="1"/>
  <c r="K1255" i="1" s="1"/>
  <c r="M1255" i="1" s="1"/>
  <c r="F1256" i="1"/>
  <c r="J1257" i="1" s="1"/>
  <c r="E1850" i="1" l="1"/>
  <c r="H1849" i="1"/>
  <c r="G1849" i="1"/>
  <c r="I1256" i="1"/>
  <c r="K1256" i="1" s="1"/>
  <c r="M1256" i="1" s="1"/>
  <c r="E1851" i="1" l="1"/>
  <c r="H1850" i="1"/>
  <c r="G1850" i="1"/>
  <c r="F1257" i="1"/>
  <c r="J1258" i="1" s="1"/>
  <c r="E1852" i="1" l="1"/>
  <c r="H1851" i="1"/>
  <c r="G1851" i="1"/>
  <c r="I1257" i="1"/>
  <c r="K1257" i="1" s="1"/>
  <c r="M1257" i="1" s="1"/>
  <c r="F1258" i="1"/>
  <c r="J1259" i="1" s="1"/>
  <c r="E1853" i="1" l="1"/>
  <c r="H1852" i="1"/>
  <c r="G1852" i="1"/>
  <c r="I1258" i="1"/>
  <c r="K1258" i="1" s="1"/>
  <c r="M1258" i="1" s="1"/>
  <c r="E1854" i="1" l="1"/>
  <c r="H1853" i="1"/>
  <c r="G1853" i="1"/>
  <c r="F1259" i="1"/>
  <c r="J1260" i="1" s="1"/>
  <c r="E1855" i="1" l="1"/>
  <c r="H1854" i="1"/>
  <c r="G1854" i="1"/>
  <c r="I1259" i="1"/>
  <c r="K1259" i="1" s="1"/>
  <c r="M1259" i="1" s="1"/>
  <c r="F1260" i="1"/>
  <c r="J1261" i="1" s="1"/>
  <c r="E1856" i="1" l="1"/>
  <c r="H1855" i="1"/>
  <c r="G1855" i="1"/>
  <c r="I1260" i="1"/>
  <c r="K1260" i="1" s="1"/>
  <c r="M1260" i="1" s="1"/>
  <c r="F1261" i="1"/>
  <c r="J1262" i="1" s="1"/>
  <c r="E1857" i="1" l="1"/>
  <c r="H1856" i="1"/>
  <c r="G1856" i="1"/>
  <c r="I1261" i="1"/>
  <c r="K1261" i="1" s="1"/>
  <c r="M1261" i="1" s="1"/>
  <c r="F1262" i="1"/>
  <c r="J1263" i="1" s="1"/>
  <c r="E1858" i="1" l="1"/>
  <c r="H1857" i="1"/>
  <c r="G1857" i="1"/>
  <c r="I1262" i="1"/>
  <c r="K1262" i="1" s="1"/>
  <c r="M1262" i="1" s="1"/>
  <c r="F1263" i="1"/>
  <c r="J1264" i="1" s="1"/>
  <c r="E1859" i="1" l="1"/>
  <c r="H1858" i="1"/>
  <c r="G1858" i="1"/>
  <c r="I1263" i="1"/>
  <c r="K1263" i="1" s="1"/>
  <c r="M1263" i="1" s="1"/>
  <c r="F1264" i="1"/>
  <c r="J1265" i="1" s="1"/>
  <c r="E1860" i="1" l="1"/>
  <c r="H1859" i="1"/>
  <c r="G1859" i="1"/>
  <c r="I1264" i="1"/>
  <c r="K1264" i="1" s="1"/>
  <c r="M1264" i="1" s="1"/>
  <c r="E1861" i="1" l="1"/>
  <c r="H1860" i="1"/>
  <c r="G1860" i="1"/>
  <c r="F1265" i="1"/>
  <c r="J1266" i="1" s="1"/>
  <c r="E1862" i="1" l="1"/>
  <c r="H1861" i="1"/>
  <c r="G1861" i="1"/>
  <c r="I1265" i="1"/>
  <c r="K1265" i="1" s="1"/>
  <c r="M1265" i="1" s="1"/>
  <c r="F1266" i="1"/>
  <c r="J1267" i="1" s="1"/>
  <c r="E1863" i="1" l="1"/>
  <c r="H1862" i="1"/>
  <c r="G1862" i="1"/>
  <c r="I1266" i="1"/>
  <c r="K1266" i="1" s="1"/>
  <c r="M1266" i="1" s="1"/>
  <c r="E1864" i="1" l="1"/>
  <c r="H1863" i="1"/>
  <c r="G1863" i="1"/>
  <c r="F1267" i="1"/>
  <c r="J1268" i="1" s="1"/>
  <c r="E1865" i="1" l="1"/>
  <c r="H1864" i="1"/>
  <c r="G1864" i="1"/>
  <c r="I1267" i="1"/>
  <c r="K1267" i="1" s="1"/>
  <c r="M1267" i="1" s="1"/>
  <c r="F1268" i="1"/>
  <c r="J1269" i="1" s="1"/>
  <c r="E1866" i="1" l="1"/>
  <c r="H1865" i="1"/>
  <c r="G1865" i="1"/>
  <c r="I1268" i="1"/>
  <c r="K1268" i="1" s="1"/>
  <c r="M1268" i="1" s="1"/>
  <c r="E1867" i="1" l="1"/>
  <c r="H1866" i="1"/>
  <c r="G1866" i="1"/>
  <c r="F1269" i="1"/>
  <c r="J1270" i="1" s="1"/>
  <c r="E1868" i="1" l="1"/>
  <c r="H1867" i="1"/>
  <c r="G1867" i="1"/>
  <c r="I1269" i="1"/>
  <c r="K1269" i="1" s="1"/>
  <c r="M1269" i="1" s="1"/>
  <c r="E1869" i="1" l="1"/>
  <c r="H1868" i="1"/>
  <c r="G1868" i="1"/>
  <c r="F1270" i="1"/>
  <c r="J1271" i="1" s="1"/>
  <c r="E1870" i="1" l="1"/>
  <c r="H1869" i="1"/>
  <c r="G1869" i="1"/>
  <c r="I1270" i="1"/>
  <c r="K1270" i="1" s="1"/>
  <c r="M1270" i="1" s="1"/>
  <c r="E1871" i="1" l="1"/>
  <c r="H1870" i="1"/>
  <c r="G1870" i="1"/>
  <c r="F1271" i="1"/>
  <c r="J1272" i="1" s="1"/>
  <c r="E1872" i="1" l="1"/>
  <c r="H1871" i="1"/>
  <c r="G1871" i="1"/>
  <c r="I1271" i="1"/>
  <c r="K1271" i="1" s="1"/>
  <c r="M1271" i="1" s="1"/>
  <c r="F1272" i="1"/>
  <c r="J1273" i="1" s="1"/>
  <c r="E1873" i="1" l="1"/>
  <c r="H1872" i="1"/>
  <c r="G1872" i="1"/>
  <c r="I1272" i="1"/>
  <c r="K1272" i="1" s="1"/>
  <c r="M1272" i="1" s="1"/>
  <c r="F1273" i="1"/>
  <c r="J1274" i="1" s="1"/>
  <c r="E1874" i="1" l="1"/>
  <c r="H1873" i="1"/>
  <c r="G1873" i="1"/>
  <c r="I1273" i="1"/>
  <c r="K1273" i="1" s="1"/>
  <c r="M1273" i="1" s="1"/>
  <c r="F1274" i="1"/>
  <c r="J1275" i="1" s="1"/>
  <c r="E1875" i="1" l="1"/>
  <c r="H1874" i="1"/>
  <c r="G1874" i="1"/>
  <c r="I1274" i="1"/>
  <c r="K1274" i="1" s="1"/>
  <c r="M1274" i="1" s="1"/>
  <c r="E1876" i="1" l="1"/>
  <c r="H1875" i="1"/>
  <c r="G1875" i="1"/>
  <c r="F1275" i="1"/>
  <c r="J1276" i="1" s="1"/>
  <c r="E1877" i="1" l="1"/>
  <c r="H1876" i="1"/>
  <c r="G1876" i="1"/>
  <c r="I1275" i="1"/>
  <c r="K1275" i="1" s="1"/>
  <c r="M1275" i="1" s="1"/>
  <c r="F1276" i="1"/>
  <c r="J1277" i="1" s="1"/>
  <c r="E1878" i="1" l="1"/>
  <c r="H1877" i="1"/>
  <c r="G1877" i="1"/>
  <c r="I1276" i="1"/>
  <c r="K1276" i="1" s="1"/>
  <c r="M1276" i="1" s="1"/>
  <c r="F1277" i="1"/>
  <c r="J1278" i="1" s="1"/>
  <c r="E1879" i="1" l="1"/>
  <c r="H1878" i="1"/>
  <c r="G1878" i="1"/>
  <c r="I1277" i="1"/>
  <c r="K1277" i="1" s="1"/>
  <c r="M1277" i="1" s="1"/>
  <c r="F1278" i="1"/>
  <c r="J1279" i="1" s="1"/>
  <c r="E1880" i="1" l="1"/>
  <c r="H1879" i="1"/>
  <c r="G1879" i="1"/>
  <c r="I1278" i="1"/>
  <c r="K1278" i="1" s="1"/>
  <c r="M1278" i="1" s="1"/>
  <c r="F1279" i="1"/>
  <c r="J1280" i="1" s="1"/>
  <c r="E1881" i="1" l="1"/>
  <c r="H1880" i="1"/>
  <c r="G1880" i="1"/>
  <c r="I1279" i="1"/>
  <c r="K1279" i="1" s="1"/>
  <c r="M1279" i="1" s="1"/>
  <c r="F1280" i="1"/>
  <c r="J1281" i="1" s="1"/>
  <c r="E1882" i="1" l="1"/>
  <c r="H1881" i="1"/>
  <c r="G1881" i="1"/>
  <c r="I1280" i="1"/>
  <c r="K1280" i="1" s="1"/>
  <c r="M1280" i="1" s="1"/>
  <c r="E1883" i="1" l="1"/>
  <c r="H1882" i="1"/>
  <c r="G1882" i="1"/>
  <c r="F1281" i="1"/>
  <c r="J1282" i="1" s="1"/>
  <c r="E1884" i="1" l="1"/>
  <c r="H1883" i="1"/>
  <c r="G1883" i="1"/>
  <c r="I1281" i="1"/>
  <c r="K1281" i="1" s="1"/>
  <c r="M1281" i="1" s="1"/>
  <c r="F1282" i="1"/>
  <c r="J1283" i="1" s="1"/>
  <c r="E1885" i="1" l="1"/>
  <c r="H1884" i="1"/>
  <c r="G1884" i="1"/>
  <c r="I1282" i="1"/>
  <c r="K1282" i="1" s="1"/>
  <c r="M1282" i="1" s="1"/>
  <c r="E1886" i="1" l="1"/>
  <c r="H1885" i="1"/>
  <c r="G1885" i="1"/>
  <c r="F1283" i="1"/>
  <c r="J1284" i="1" s="1"/>
  <c r="E1887" i="1" l="1"/>
  <c r="H1886" i="1"/>
  <c r="G1886" i="1"/>
  <c r="I1283" i="1"/>
  <c r="K1283" i="1" s="1"/>
  <c r="M1283" i="1" s="1"/>
  <c r="E1888" i="1" l="1"/>
  <c r="H1887" i="1"/>
  <c r="G1887" i="1"/>
  <c r="F1284" i="1"/>
  <c r="J1285" i="1" s="1"/>
  <c r="E1889" i="1" l="1"/>
  <c r="H1888" i="1"/>
  <c r="G1888" i="1"/>
  <c r="I1284" i="1"/>
  <c r="K1284" i="1" s="1"/>
  <c r="M1284" i="1" s="1"/>
  <c r="E1890" i="1" l="1"/>
  <c r="H1889" i="1"/>
  <c r="G1889" i="1"/>
  <c r="F1285" i="1"/>
  <c r="J1286" i="1" s="1"/>
  <c r="E1891" i="1" l="1"/>
  <c r="H1890" i="1"/>
  <c r="G1890" i="1"/>
  <c r="I1285" i="1"/>
  <c r="K1285" i="1" s="1"/>
  <c r="M1285" i="1" s="1"/>
  <c r="F1286" i="1"/>
  <c r="J1287" i="1" s="1"/>
  <c r="E1892" i="1" l="1"/>
  <c r="H1891" i="1"/>
  <c r="G1891" i="1"/>
  <c r="I1286" i="1"/>
  <c r="K1286" i="1" s="1"/>
  <c r="M1286" i="1" s="1"/>
  <c r="E1893" i="1" l="1"/>
  <c r="H1892" i="1"/>
  <c r="G1892" i="1"/>
  <c r="F1287" i="1"/>
  <c r="J1288" i="1" s="1"/>
  <c r="E1894" i="1" l="1"/>
  <c r="H1893" i="1"/>
  <c r="G1893" i="1"/>
  <c r="I1287" i="1"/>
  <c r="K1287" i="1" s="1"/>
  <c r="M1287" i="1" s="1"/>
  <c r="F1288" i="1"/>
  <c r="J1289" i="1" s="1"/>
  <c r="E1895" i="1" l="1"/>
  <c r="H1894" i="1"/>
  <c r="G1894" i="1"/>
  <c r="I1288" i="1"/>
  <c r="K1288" i="1" s="1"/>
  <c r="M1288" i="1" s="1"/>
  <c r="E1896" i="1" l="1"/>
  <c r="H1895" i="1"/>
  <c r="G1895" i="1"/>
  <c r="F1289" i="1"/>
  <c r="J1290" i="1" s="1"/>
  <c r="E1897" i="1" l="1"/>
  <c r="H1896" i="1"/>
  <c r="G1896" i="1"/>
  <c r="I1289" i="1"/>
  <c r="K1289" i="1" s="1"/>
  <c r="M1289" i="1" s="1"/>
  <c r="E1898" i="1" l="1"/>
  <c r="H1897" i="1"/>
  <c r="G1897" i="1"/>
  <c r="F1290" i="1"/>
  <c r="J1291" i="1" s="1"/>
  <c r="E1899" i="1" l="1"/>
  <c r="H1898" i="1"/>
  <c r="G1898" i="1"/>
  <c r="I1290" i="1"/>
  <c r="K1290" i="1" s="1"/>
  <c r="M1290" i="1" s="1"/>
  <c r="F1291" i="1"/>
  <c r="J1292" i="1" s="1"/>
  <c r="E1900" i="1" l="1"/>
  <c r="H1899" i="1"/>
  <c r="G1899" i="1"/>
  <c r="I1291" i="1"/>
  <c r="K1291" i="1" s="1"/>
  <c r="M1291" i="1" s="1"/>
  <c r="F1292" i="1"/>
  <c r="J1293" i="1" s="1"/>
  <c r="E1901" i="1" l="1"/>
  <c r="H1900" i="1"/>
  <c r="G1900" i="1"/>
  <c r="I1292" i="1"/>
  <c r="K1292" i="1" s="1"/>
  <c r="M1292" i="1" s="1"/>
  <c r="E1902" i="1" l="1"/>
  <c r="H1901" i="1"/>
  <c r="G1901" i="1"/>
  <c r="F1293" i="1"/>
  <c r="J1294" i="1" s="1"/>
  <c r="E1903" i="1" l="1"/>
  <c r="H1902" i="1"/>
  <c r="G1902" i="1"/>
  <c r="I1293" i="1"/>
  <c r="K1293" i="1" s="1"/>
  <c r="M1293" i="1" s="1"/>
  <c r="E1904" i="1" l="1"/>
  <c r="H1903" i="1"/>
  <c r="G1903" i="1"/>
  <c r="F1294" i="1"/>
  <c r="J1295" i="1" s="1"/>
  <c r="E1905" i="1" l="1"/>
  <c r="H1904" i="1"/>
  <c r="G1904" i="1"/>
  <c r="I1294" i="1"/>
  <c r="K1294" i="1" s="1"/>
  <c r="M1294" i="1" s="1"/>
  <c r="F1295" i="1"/>
  <c r="J1296" i="1" s="1"/>
  <c r="E1906" i="1" l="1"/>
  <c r="H1905" i="1"/>
  <c r="G1905" i="1"/>
  <c r="I1295" i="1"/>
  <c r="K1295" i="1" s="1"/>
  <c r="M1295" i="1" s="1"/>
  <c r="E1907" i="1" l="1"/>
  <c r="H1906" i="1"/>
  <c r="G1906" i="1"/>
  <c r="F1296" i="1"/>
  <c r="J1297" i="1" s="1"/>
  <c r="E1908" i="1" l="1"/>
  <c r="H1907" i="1"/>
  <c r="G1907" i="1"/>
  <c r="I1296" i="1"/>
  <c r="K1296" i="1" s="1"/>
  <c r="M1296" i="1" s="1"/>
  <c r="E1909" i="1" l="1"/>
  <c r="H1908" i="1"/>
  <c r="G1908" i="1"/>
  <c r="F1297" i="1"/>
  <c r="J1298" i="1" s="1"/>
  <c r="E1910" i="1" l="1"/>
  <c r="H1909" i="1"/>
  <c r="G1909" i="1"/>
  <c r="I1297" i="1"/>
  <c r="K1297" i="1" s="1"/>
  <c r="M1297" i="1" s="1"/>
  <c r="F1298" i="1"/>
  <c r="J1299" i="1" s="1"/>
  <c r="E1911" i="1" l="1"/>
  <c r="H1910" i="1"/>
  <c r="G1910" i="1"/>
  <c r="I1298" i="1"/>
  <c r="K1298" i="1" s="1"/>
  <c r="M1298" i="1" s="1"/>
  <c r="E1912" i="1" l="1"/>
  <c r="H1911" i="1"/>
  <c r="G1911" i="1"/>
  <c r="F1299" i="1"/>
  <c r="J1300" i="1" s="1"/>
  <c r="E1913" i="1" l="1"/>
  <c r="H1912" i="1"/>
  <c r="G1912" i="1"/>
  <c r="I1299" i="1"/>
  <c r="K1299" i="1" s="1"/>
  <c r="M1299" i="1" s="1"/>
  <c r="E1914" i="1" l="1"/>
  <c r="H1913" i="1"/>
  <c r="G1913" i="1"/>
  <c r="F1300" i="1"/>
  <c r="J1301" i="1" s="1"/>
  <c r="E1915" i="1" l="1"/>
  <c r="H1914" i="1"/>
  <c r="G1914" i="1"/>
  <c r="I1300" i="1"/>
  <c r="K1300" i="1" s="1"/>
  <c r="M1300" i="1" s="1"/>
  <c r="E1916" i="1" l="1"/>
  <c r="H1915" i="1"/>
  <c r="G1915" i="1"/>
  <c r="F1301" i="1"/>
  <c r="J1302" i="1" s="1"/>
  <c r="E1917" i="1" l="1"/>
  <c r="H1916" i="1"/>
  <c r="G1916" i="1"/>
  <c r="I1301" i="1"/>
  <c r="K1301" i="1" s="1"/>
  <c r="M1301" i="1" s="1"/>
  <c r="F1302" i="1"/>
  <c r="J1303" i="1" s="1"/>
  <c r="E1918" i="1" l="1"/>
  <c r="H1917" i="1"/>
  <c r="G1917" i="1"/>
  <c r="I1302" i="1"/>
  <c r="K1302" i="1" s="1"/>
  <c r="M1302" i="1" s="1"/>
  <c r="E1919" i="1" l="1"/>
  <c r="H1918" i="1"/>
  <c r="G1918" i="1"/>
  <c r="F1303" i="1"/>
  <c r="J1304" i="1" s="1"/>
  <c r="E1920" i="1" l="1"/>
  <c r="H1919" i="1"/>
  <c r="G1919" i="1"/>
  <c r="I1303" i="1"/>
  <c r="K1303" i="1" s="1"/>
  <c r="M1303" i="1" s="1"/>
  <c r="E1921" i="1" l="1"/>
  <c r="H1920" i="1"/>
  <c r="G1920" i="1"/>
  <c r="F1304" i="1"/>
  <c r="J1305" i="1" s="1"/>
  <c r="E1922" i="1" l="1"/>
  <c r="H1921" i="1"/>
  <c r="G1921" i="1"/>
  <c r="I1304" i="1"/>
  <c r="K1304" i="1" s="1"/>
  <c r="M1304" i="1" s="1"/>
  <c r="E1923" i="1" l="1"/>
  <c r="H1922" i="1"/>
  <c r="G1922" i="1"/>
  <c r="F1305" i="1"/>
  <c r="J1306" i="1" s="1"/>
  <c r="E1924" i="1" l="1"/>
  <c r="H1923" i="1"/>
  <c r="G1923" i="1"/>
  <c r="I1305" i="1"/>
  <c r="K1305" i="1" s="1"/>
  <c r="M1305" i="1" s="1"/>
  <c r="F1306" i="1"/>
  <c r="J1307" i="1" s="1"/>
  <c r="E1925" i="1" l="1"/>
  <c r="H1924" i="1"/>
  <c r="G1924" i="1"/>
  <c r="I1306" i="1"/>
  <c r="K1306" i="1" s="1"/>
  <c r="M1306" i="1" s="1"/>
  <c r="E1926" i="1" l="1"/>
  <c r="H1925" i="1"/>
  <c r="G1925" i="1"/>
  <c r="F1307" i="1"/>
  <c r="J1308" i="1" s="1"/>
  <c r="E1927" i="1" l="1"/>
  <c r="H1926" i="1"/>
  <c r="G1926" i="1"/>
  <c r="I1307" i="1"/>
  <c r="K1307" i="1" s="1"/>
  <c r="M1307" i="1" s="1"/>
  <c r="E1928" i="1" l="1"/>
  <c r="H1927" i="1"/>
  <c r="G1927" i="1"/>
  <c r="F1308" i="1"/>
  <c r="J1309" i="1" s="1"/>
  <c r="E1929" i="1" l="1"/>
  <c r="H1928" i="1"/>
  <c r="G1928" i="1"/>
  <c r="I1308" i="1"/>
  <c r="K1308" i="1" s="1"/>
  <c r="M1308" i="1" s="1"/>
  <c r="E1930" i="1" l="1"/>
  <c r="H1929" i="1"/>
  <c r="G1929" i="1"/>
  <c r="F1309" i="1"/>
  <c r="J1310" i="1" s="1"/>
  <c r="E1931" i="1" l="1"/>
  <c r="H1930" i="1"/>
  <c r="G1930" i="1"/>
  <c r="I1309" i="1"/>
  <c r="K1309" i="1" s="1"/>
  <c r="M1309" i="1" s="1"/>
  <c r="F1310" i="1"/>
  <c r="J1311" i="1" s="1"/>
  <c r="E1932" i="1" l="1"/>
  <c r="H1931" i="1"/>
  <c r="G1931" i="1"/>
  <c r="I1310" i="1"/>
  <c r="K1310" i="1" s="1"/>
  <c r="M1310" i="1" s="1"/>
  <c r="E1933" i="1" l="1"/>
  <c r="H1932" i="1"/>
  <c r="G1932" i="1"/>
  <c r="F1311" i="1"/>
  <c r="J1312" i="1" s="1"/>
  <c r="E1934" i="1" l="1"/>
  <c r="H1933" i="1"/>
  <c r="G1933" i="1"/>
  <c r="I1311" i="1"/>
  <c r="K1311" i="1" s="1"/>
  <c r="M1311" i="1" s="1"/>
  <c r="E1935" i="1" l="1"/>
  <c r="H1934" i="1"/>
  <c r="G1934" i="1"/>
  <c r="F1312" i="1"/>
  <c r="J1313" i="1" s="1"/>
  <c r="E1936" i="1" l="1"/>
  <c r="H1935" i="1"/>
  <c r="G1935" i="1"/>
  <c r="I1312" i="1"/>
  <c r="K1312" i="1" s="1"/>
  <c r="M1312" i="1" s="1"/>
  <c r="E1937" i="1" l="1"/>
  <c r="H1936" i="1"/>
  <c r="G1936" i="1"/>
  <c r="F1313" i="1"/>
  <c r="J1314" i="1" s="1"/>
  <c r="E1938" i="1" l="1"/>
  <c r="H1937" i="1"/>
  <c r="G1937" i="1"/>
  <c r="I1313" i="1"/>
  <c r="K1313" i="1" s="1"/>
  <c r="M1313" i="1" s="1"/>
  <c r="E1939" i="1" l="1"/>
  <c r="H1938" i="1"/>
  <c r="G1938" i="1"/>
  <c r="F1314" i="1"/>
  <c r="J1315" i="1" s="1"/>
  <c r="E1940" i="1" l="1"/>
  <c r="H1939" i="1"/>
  <c r="G1939" i="1"/>
  <c r="I1314" i="1"/>
  <c r="K1314" i="1" s="1"/>
  <c r="M1314" i="1" s="1"/>
  <c r="E1941" i="1" l="1"/>
  <c r="H1940" i="1"/>
  <c r="G1940" i="1"/>
  <c r="F1315" i="1"/>
  <c r="J1316" i="1" s="1"/>
  <c r="E1942" i="1" l="1"/>
  <c r="H1941" i="1"/>
  <c r="G1941" i="1"/>
  <c r="I1315" i="1"/>
  <c r="K1315" i="1" s="1"/>
  <c r="M1315" i="1" s="1"/>
  <c r="E1943" i="1" l="1"/>
  <c r="H1942" i="1"/>
  <c r="G1942" i="1"/>
  <c r="F1316" i="1"/>
  <c r="J1317" i="1" s="1"/>
  <c r="E1944" i="1" l="1"/>
  <c r="H1943" i="1"/>
  <c r="G1943" i="1"/>
  <c r="I1316" i="1"/>
  <c r="K1316" i="1" s="1"/>
  <c r="M1316" i="1" s="1"/>
  <c r="E1945" i="1" l="1"/>
  <c r="H1944" i="1"/>
  <c r="G1944" i="1"/>
  <c r="F1317" i="1"/>
  <c r="J1318" i="1" s="1"/>
  <c r="E1946" i="1" l="1"/>
  <c r="H1945" i="1"/>
  <c r="G1945" i="1"/>
  <c r="I1317" i="1"/>
  <c r="K1317" i="1" s="1"/>
  <c r="M1317" i="1" s="1"/>
  <c r="E1947" i="1" l="1"/>
  <c r="H1946" i="1"/>
  <c r="G1946" i="1"/>
  <c r="F1318" i="1"/>
  <c r="J1319" i="1" s="1"/>
  <c r="E1948" i="1" l="1"/>
  <c r="H1947" i="1"/>
  <c r="G1947" i="1"/>
  <c r="I1318" i="1"/>
  <c r="K1318" i="1" s="1"/>
  <c r="M1318" i="1" s="1"/>
  <c r="E1949" i="1" l="1"/>
  <c r="H1948" i="1"/>
  <c r="G1948" i="1"/>
  <c r="F1319" i="1"/>
  <c r="J1320" i="1" s="1"/>
  <c r="E1950" i="1" l="1"/>
  <c r="H1949" i="1"/>
  <c r="G1949" i="1"/>
  <c r="I1319" i="1"/>
  <c r="K1319" i="1" s="1"/>
  <c r="M1319" i="1" s="1"/>
  <c r="E1951" i="1" l="1"/>
  <c r="H1950" i="1"/>
  <c r="G1950" i="1"/>
  <c r="F1320" i="1"/>
  <c r="J1321" i="1" s="1"/>
  <c r="E1952" i="1" l="1"/>
  <c r="H1951" i="1"/>
  <c r="G1951" i="1"/>
  <c r="I1320" i="1"/>
  <c r="K1320" i="1" s="1"/>
  <c r="M1320" i="1" s="1"/>
  <c r="E1953" i="1" l="1"/>
  <c r="H1952" i="1"/>
  <c r="G1952" i="1"/>
  <c r="F1321" i="1"/>
  <c r="J1322" i="1" s="1"/>
  <c r="E1954" i="1" l="1"/>
  <c r="H1953" i="1"/>
  <c r="G1953" i="1"/>
  <c r="I1321" i="1"/>
  <c r="K1321" i="1" s="1"/>
  <c r="M1321" i="1" s="1"/>
  <c r="E1955" i="1" l="1"/>
  <c r="H1954" i="1"/>
  <c r="G1954" i="1"/>
  <c r="F1322" i="1"/>
  <c r="J1323" i="1" s="1"/>
  <c r="E1956" i="1" l="1"/>
  <c r="H1955" i="1"/>
  <c r="G1955" i="1"/>
  <c r="I1322" i="1"/>
  <c r="K1322" i="1" s="1"/>
  <c r="M1322" i="1" s="1"/>
  <c r="E1957" i="1" l="1"/>
  <c r="H1956" i="1"/>
  <c r="G1956" i="1"/>
  <c r="F1323" i="1"/>
  <c r="J1324" i="1" s="1"/>
  <c r="E1958" i="1" l="1"/>
  <c r="H1957" i="1"/>
  <c r="G1957" i="1"/>
  <c r="I1323" i="1"/>
  <c r="K1323" i="1" s="1"/>
  <c r="M1323" i="1" s="1"/>
  <c r="E1959" i="1" l="1"/>
  <c r="H1958" i="1"/>
  <c r="G1958" i="1"/>
  <c r="F1324" i="1"/>
  <c r="J1325" i="1" s="1"/>
  <c r="E1960" i="1" l="1"/>
  <c r="H1959" i="1"/>
  <c r="G1959" i="1"/>
  <c r="I1324" i="1"/>
  <c r="K1324" i="1" s="1"/>
  <c r="M1324" i="1" s="1"/>
  <c r="F1325" i="1"/>
  <c r="J1326" i="1" s="1"/>
  <c r="E1961" i="1" l="1"/>
  <c r="H1960" i="1"/>
  <c r="G1960" i="1"/>
  <c r="I1325" i="1"/>
  <c r="K1325" i="1" s="1"/>
  <c r="M1325" i="1" s="1"/>
  <c r="F1326" i="1"/>
  <c r="J1327" i="1" s="1"/>
  <c r="E1962" i="1" l="1"/>
  <c r="H1961" i="1"/>
  <c r="G1961" i="1"/>
  <c r="I1326" i="1"/>
  <c r="K1326" i="1" s="1"/>
  <c r="M1326" i="1" s="1"/>
  <c r="E1963" i="1" l="1"/>
  <c r="H1962" i="1"/>
  <c r="G1962" i="1"/>
  <c r="F1327" i="1"/>
  <c r="J1328" i="1" s="1"/>
  <c r="E1964" i="1" l="1"/>
  <c r="H1963" i="1"/>
  <c r="G1963" i="1"/>
  <c r="I1327" i="1"/>
  <c r="K1327" i="1" s="1"/>
  <c r="M1327" i="1" s="1"/>
  <c r="F1328" i="1"/>
  <c r="J1329" i="1" s="1"/>
  <c r="E1965" i="1" l="1"/>
  <c r="H1964" i="1"/>
  <c r="G1964" i="1"/>
  <c r="I1328" i="1"/>
  <c r="K1328" i="1" s="1"/>
  <c r="M1328" i="1" s="1"/>
  <c r="F1329" i="1"/>
  <c r="J1330" i="1" s="1"/>
  <c r="E1966" i="1" l="1"/>
  <c r="H1965" i="1"/>
  <c r="G1965" i="1"/>
  <c r="I1329" i="1"/>
  <c r="K1329" i="1" s="1"/>
  <c r="M1329" i="1" s="1"/>
  <c r="F1330" i="1"/>
  <c r="J1331" i="1" s="1"/>
  <c r="E1967" i="1" l="1"/>
  <c r="H1966" i="1"/>
  <c r="G1966" i="1"/>
  <c r="I1330" i="1"/>
  <c r="K1330" i="1" s="1"/>
  <c r="M1330" i="1" s="1"/>
  <c r="E1968" i="1" l="1"/>
  <c r="H1967" i="1"/>
  <c r="G1967" i="1"/>
  <c r="F1331" i="1"/>
  <c r="J1332" i="1" s="1"/>
  <c r="E1969" i="1" l="1"/>
  <c r="H1968" i="1"/>
  <c r="G1968" i="1"/>
  <c r="I1331" i="1"/>
  <c r="K1331" i="1" s="1"/>
  <c r="M1331" i="1" s="1"/>
  <c r="F1332" i="1"/>
  <c r="J1333" i="1" s="1"/>
  <c r="E1970" i="1" l="1"/>
  <c r="H1969" i="1"/>
  <c r="G1969" i="1"/>
  <c r="I1332" i="1"/>
  <c r="K1332" i="1" s="1"/>
  <c r="M1332" i="1" s="1"/>
  <c r="F1333" i="1"/>
  <c r="J1334" i="1" s="1"/>
  <c r="E1971" i="1" l="1"/>
  <c r="H1970" i="1"/>
  <c r="G1970" i="1"/>
  <c r="I1333" i="1"/>
  <c r="K1333" i="1" s="1"/>
  <c r="M1333" i="1" s="1"/>
  <c r="E1972" i="1" l="1"/>
  <c r="H1971" i="1"/>
  <c r="G1971" i="1"/>
  <c r="F1334" i="1"/>
  <c r="J1335" i="1" s="1"/>
  <c r="E1973" i="1" l="1"/>
  <c r="H1972" i="1"/>
  <c r="G1972" i="1"/>
  <c r="I1334" i="1"/>
  <c r="K1334" i="1" s="1"/>
  <c r="M1334" i="1" s="1"/>
  <c r="E1974" i="1" l="1"/>
  <c r="H1973" i="1"/>
  <c r="G1973" i="1"/>
  <c r="F1335" i="1"/>
  <c r="J1336" i="1" s="1"/>
  <c r="E1975" i="1" l="1"/>
  <c r="H1974" i="1"/>
  <c r="G1974" i="1"/>
  <c r="I1335" i="1"/>
  <c r="K1335" i="1" s="1"/>
  <c r="M1335" i="1" s="1"/>
  <c r="E1976" i="1" l="1"/>
  <c r="H1975" i="1"/>
  <c r="G1975" i="1"/>
  <c r="F1336" i="1"/>
  <c r="J1337" i="1" s="1"/>
  <c r="E1977" i="1" l="1"/>
  <c r="H1976" i="1"/>
  <c r="G1976" i="1"/>
  <c r="I1336" i="1"/>
  <c r="K1336" i="1" s="1"/>
  <c r="M1336" i="1" s="1"/>
  <c r="E1978" i="1" l="1"/>
  <c r="H1977" i="1"/>
  <c r="G1977" i="1"/>
  <c r="F1337" i="1"/>
  <c r="J1338" i="1" s="1"/>
  <c r="E1979" i="1" l="1"/>
  <c r="H1978" i="1"/>
  <c r="G1978" i="1"/>
  <c r="I1337" i="1"/>
  <c r="K1337" i="1" s="1"/>
  <c r="M1337" i="1" s="1"/>
  <c r="F1338" i="1"/>
  <c r="J1339" i="1" s="1"/>
  <c r="E1980" i="1" l="1"/>
  <c r="H1979" i="1"/>
  <c r="G1979" i="1"/>
  <c r="I1338" i="1"/>
  <c r="K1338" i="1" s="1"/>
  <c r="M1338" i="1" s="1"/>
  <c r="F1339" i="1"/>
  <c r="J1340" i="1" s="1"/>
  <c r="E1981" i="1" l="1"/>
  <c r="H1980" i="1"/>
  <c r="G1980" i="1"/>
  <c r="I1339" i="1"/>
  <c r="K1339" i="1" s="1"/>
  <c r="M1339" i="1" s="1"/>
  <c r="F1340" i="1"/>
  <c r="J1341" i="1" s="1"/>
  <c r="E1982" i="1" l="1"/>
  <c r="H1981" i="1"/>
  <c r="G1981" i="1"/>
  <c r="I1340" i="1"/>
  <c r="K1340" i="1" s="1"/>
  <c r="M1340" i="1" s="1"/>
  <c r="F1341" i="1"/>
  <c r="J1342" i="1" s="1"/>
  <c r="E1983" i="1" l="1"/>
  <c r="H1982" i="1"/>
  <c r="G1982" i="1"/>
  <c r="I1341" i="1"/>
  <c r="K1341" i="1" s="1"/>
  <c r="M1341" i="1" s="1"/>
  <c r="F1342" i="1"/>
  <c r="J1343" i="1" s="1"/>
  <c r="E1984" i="1" l="1"/>
  <c r="H1983" i="1"/>
  <c r="G1983" i="1"/>
  <c r="I1342" i="1"/>
  <c r="K1342" i="1" s="1"/>
  <c r="M1342" i="1" s="1"/>
  <c r="F1343" i="1"/>
  <c r="J1344" i="1" s="1"/>
  <c r="E1985" i="1" l="1"/>
  <c r="H1984" i="1"/>
  <c r="G1984" i="1"/>
  <c r="I1343" i="1"/>
  <c r="K1343" i="1" s="1"/>
  <c r="M1343" i="1" s="1"/>
  <c r="F1344" i="1"/>
  <c r="J1345" i="1" s="1"/>
  <c r="E1986" i="1" l="1"/>
  <c r="H1985" i="1"/>
  <c r="G1985" i="1"/>
  <c r="I1344" i="1"/>
  <c r="K1344" i="1" s="1"/>
  <c r="M1344" i="1" s="1"/>
  <c r="E1987" i="1" l="1"/>
  <c r="H1986" i="1"/>
  <c r="G1986" i="1"/>
  <c r="F1345" i="1"/>
  <c r="J1346" i="1" s="1"/>
  <c r="E1988" i="1" l="1"/>
  <c r="H1987" i="1"/>
  <c r="G1987" i="1"/>
  <c r="I1345" i="1"/>
  <c r="K1345" i="1" s="1"/>
  <c r="M1345" i="1" s="1"/>
  <c r="F1346" i="1"/>
  <c r="J1347" i="1" s="1"/>
  <c r="E1989" i="1" l="1"/>
  <c r="H1988" i="1"/>
  <c r="G1988" i="1"/>
  <c r="I1346" i="1"/>
  <c r="K1346" i="1" s="1"/>
  <c r="M1346" i="1" s="1"/>
  <c r="F1347" i="1"/>
  <c r="J1348" i="1" s="1"/>
  <c r="E1990" i="1" l="1"/>
  <c r="H1989" i="1"/>
  <c r="G1989" i="1"/>
  <c r="I1347" i="1"/>
  <c r="K1347" i="1" s="1"/>
  <c r="M1347" i="1" s="1"/>
  <c r="E1991" i="1" l="1"/>
  <c r="H1990" i="1"/>
  <c r="G1990" i="1"/>
  <c r="F1348" i="1"/>
  <c r="J1349" i="1" s="1"/>
  <c r="E1992" i="1" l="1"/>
  <c r="H1991" i="1"/>
  <c r="G1991" i="1"/>
  <c r="I1348" i="1"/>
  <c r="K1348" i="1" s="1"/>
  <c r="M1348" i="1" s="1"/>
  <c r="F1349" i="1"/>
  <c r="J1350" i="1" s="1"/>
  <c r="E1993" i="1" l="1"/>
  <c r="H1992" i="1"/>
  <c r="G1992" i="1"/>
  <c r="I1349" i="1"/>
  <c r="K1349" i="1" s="1"/>
  <c r="M1349" i="1" s="1"/>
  <c r="E1994" i="1" l="1"/>
  <c r="H1993" i="1"/>
  <c r="G1993" i="1"/>
  <c r="F1350" i="1"/>
  <c r="J1351" i="1" s="1"/>
  <c r="E1995" i="1" l="1"/>
  <c r="H1994" i="1"/>
  <c r="G1994" i="1"/>
  <c r="I1350" i="1"/>
  <c r="K1350" i="1" s="1"/>
  <c r="M1350" i="1" s="1"/>
  <c r="F1351" i="1"/>
  <c r="J1352" i="1" s="1"/>
  <c r="E1996" i="1" l="1"/>
  <c r="H1995" i="1"/>
  <c r="G1995" i="1"/>
  <c r="I1351" i="1"/>
  <c r="K1351" i="1" s="1"/>
  <c r="M1351" i="1" s="1"/>
  <c r="F1352" i="1"/>
  <c r="J1353" i="1" s="1"/>
  <c r="E1997" i="1" l="1"/>
  <c r="H1996" i="1"/>
  <c r="G1996" i="1"/>
  <c r="I1352" i="1"/>
  <c r="K1352" i="1" s="1"/>
  <c r="M1352" i="1" s="1"/>
  <c r="F1353" i="1"/>
  <c r="J1354" i="1" s="1"/>
  <c r="E1998" i="1" l="1"/>
  <c r="H1997" i="1"/>
  <c r="G1997" i="1"/>
  <c r="I1353" i="1"/>
  <c r="K1353" i="1" s="1"/>
  <c r="M1353" i="1" s="1"/>
  <c r="E1999" i="1" l="1"/>
  <c r="H1998" i="1"/>
  <c r="G1998" i="1"/>
  <c r="F1354" i="1"/>
  <c r="J1355" i="1" s="1"/>
  <c r="E2000" i="1" l="1"/>
  <c r="H1999" i="1"/>
  <c r="G1999" i="1"/>
  <c r="I1354" i="1"/>
  <c r="K1354" i="1" s="1"/>
  <c r="M1354" i="1" s="1"/>
  <c r="F1355" i="1"/>
  <c r="J1356" i="1" s="1"/>
  <c r="E2001" i="1" l="1"/>
  <c r="H2000" i="1"/>
  <c r="G2000" i="1"/>
  <c r="I1355" i="1"/>
  <c r="K1355" i="1" s="1"/>
  <c r="M1355" i="1" s="1"/>
  <c r="E2002" i="1" l="1"/>
  <c r="H2001" i="1"/>
  <c r="G2001" i="1"/>
  <c r="F1356" i="1"/>
  <c r="J1357" i="1" s="1"/>
  <c r="E2003" i="1" l="1"/>
  <c r="H2002" i="1"/>
  <c r="G2002" i="1"/>
  <c r="I1356" i="1"/>
  <c r="K1356" i="1" s="1"/>
  <c r="M1356" i="1" s="1"/>
  <c r="E2004" i="1" l="1"/>
  <c r="H2003" i="1"/>
  <c r="G2003" i="1"/>
  <c r="F1357" i="1"/>
  <c r="J1358" i="1" s="1"/>
  <c r="E2005" i="1" l="1"/>
  <c r="H2004" i="1"/>
  <c r="G2004" i="1"/>
  <c r="I1357" i="1"/>
  <c r="K1357" i="1" s="1"/>
  <c r="M1357" i="1" s="1"/>
  <c r="F1358" i="1"/>
  <c r="J1359" i="1" s="1"/>
  <c r="E2006" i="1" l="1"/>
  <c r="H2005" i="1"/>
  <c r="G2005" i="1"/>
  <c r="I1358" i="1"/>
  <c r="K1358" i="1" s="1"/>
  <c r="M1358" i="1" s="1"/>
  <c r="F1359" i="1"/>
  <c r="J1360" i="1" s="1"/>
  <c r="E2007" i="1" l="1"/>
  <c r="H2006" i="1"/>
  <c r="G2006" i="1"/>
  <c r="I1359" i="1"/>
  <c r="K1359" i="1" s="1"/>
  <c r="M1359" i="1" s="1"/>
  <c r="F1360" i="1"/>
  <c r="J1361" i="1" s="1"/>
  <c r="E2008" i="1" l="1"/>
  <c r="H2007" i="1"/>
  <c r="G2007" i="1"/>
  <c r="I1360" i="1"/>
  <c r="K1360" i="1" s="1"/>
  <c r="M1360" i="1" s="1"/>
  <c r="F1361" i="1"/>
  <c r="J1362" i="1" s="1"/>
  <c r="E2009" i="1" l="1"/>
  <c r="H2008" i="1"/>
  <c r="G2008" i="1"/>
  <c r="I1361" i="1"/>
  <c r="K1361" i="1" s="1"/>
  <c r="M1361" i="1" s="1"/>
  <c r="E2010" i="1" l="1"/>
  <c r="H2009" i="1"/>
  <c r="G2009" i="1"/>
  <c r="F1362" i="1"/>
  <c r="J1363" i="1" s="1"/>
  <c r="E2011" i="1" l="1"/>
  <c r="H2010" i="1"/>
  <c r="G2010" i="1"/>
  <c r="I1362" i="1"/>
  <c r="K1362" i="1" s="1"/>
  <c r="M1362" i="1" s="1"/>
  <c r="F1363" i="1"/>
  <c r="J1364" i="1" s="1"/>
  <c r="E2012" i="1" l="1"/>
  <c r="H2011" i="1"/>
  <c r="G2011" i="1"/>
  <c r="I1363" i="1"/>
  <c r="K1363" i="1" s="1"/>
  <c r="M1363" i="1" s="1"/>
  <c r="F1364" i="1"/>
  <c r="J1365" i="1" s="1"/>
  <c r="E2013" i="1" l="1"/>
  <c r="H2012" i="1"/>
  <c r="G2012" i="1"/>
  <c r="I1364" i="1"/>
  <c r="K1364" i="1" s="1"/>
  <c r="M1364" i="1" s="1"/>
  <c r="F1365" i="1"/>
  <c r="J1366" i="1" s="1"/>
  <c r="E2014" i="1" l="1"/>
  <c r="H2013" i="1"/>
  <c r="G2013" i="1"/>
  <c r="I1365" i="1"/>
  <c r="K1365" i="1" s="1"/>
  <c r="M1365" i="1" s="1"/>
  <c r="E2015" i="1" l="1"/>
  <c r="H2014" i="1"/>
  <c r="G2014" i="1"/>
  <c r="F1366" i="1"/>
  <c r="J1367" i="1" s="1"/>
  <c r="E2016" i="1" l="1"/>
  <c r="H2015" i="1"/>
  <c r="G2015" i="1"/>
  <c r="I1366" i="1"/>
  <c r="K1366" i="1" s="1"/>
  <c r="M1366" i="1" s="1"/>
  <c r="F1367" i="1"/>
  <c r="J1368" i="1" s="1"/>
  <c r="E2017" i="1" l="1"/>
  <c r="H2016" i="1"/>
  <c r="G2016" i="1"/>
  <c r="I1367" i="1"/>
  <c r="K1367" i="1" s="1"/>
  <c r="M1367" i="1" s="1"/>
  <c r="E2018" i="1" l="1"/>
  <c r="H2017" i="1"/>
  <c r="G2017" i="1"/>
  <c r="F1368" i="1"/>
  <c r="J1369" i="1" s="1"/>
  <c r="E2019" i="1" l="1"/>
  <c r="H2018" i="1"/>
  <c r="G2018" i="1"/>
  <c r="I1368" i="1"/>
  <c r="K1368" i="1" s="1"/>
  <c r="M1368" i="1" s="1"/>
  <c r="F1369" i="1"/>
  <c r="J1370" i="1" s="1"/>
  <c r="E2020" i="1" l="1"/>
  <c r="H2019" i="1"/>
  <c r="G2019" i="1"/>
  <c r="I1369" i="1"/>
  <c r="K1369" i="1" s="1"/>
  <c r="M1369" i="1" s="1"/>
  <c r="E2021" i="1" l="1"/>
  <c r="H2020" i="1"/>
  <c r="G2020" i="1"/>
  <c r="F1370" i="1"/>
  <c r="J1371" i="1" s="1"/>
  <c r="E2022" i="1" l="1"/>
  <c r="H2021" i="1"/>
  <c r="G2021" i="1"/>
  <c r="I1370" i="1"/>
  <c r="K1370" i="1" s="1"/>
  <c r="M1370" i="1" s="1"/>
  <c r="F1371" i="1"/>
  <c r="J1372" i="1" s="1"/>
  <c r="E2023" i="1" l="1"/>
  <c r="H2022" i="1"/>
  <c r="G2022" i="1"/>
  <c r="I1371" i="1"/>
  <c r="K1371" i="1" s="1"/>
  <c r="M1371" i="1" s="1"/>
  <c r="F1372" i="1"/>
  <c r="J1373" i="1" s="1"/>
  <c r="E2024" i="1" l="1"/>
  <c r="H2023" i="1"/>
  <c r="G2023" i="1"/>
  <c r="I1372" i="1"/>
  <c r="K1372" i="1" s="1"/>
  <c r="M1372" i="1" s="1"/>
  <c r="E2025" i="1" l="1"/>
  <c r="H2024" i="1"/>
  <c r="G2024" i="1"/>
  <c r="F1373" i="1"/>
  <c r="J1374" i="1" s="1"/>
  <c r="E2026" i="1" l="1"/>
  <c r="H2025" i="1"/>
  <c r="G2025" i="1"/>
  <c r="I1373" i="1"/>
  <c r="K1373" i="1" s="1"/>
  <c r="M1373" i="1" s="1"/>
  <c r="F1374" i="1"/>
  <c r="J1375" i="1" s="1"/>
  <c r="E2027" i="1" l="1"/>
  <c r="H2026" i="1"/>
  <c r="G2026" i="1"/>
  <c r="I1374" i="1"/>
  <c r="K1374" i="1" s="1"/>
  <c r="M1374" i="1" s="1"/>
  <c r="F1375" i="1"/>
  <c r="J1376" i="1" s="1"/>
  <c r="E2028" i="1" l="1"/>
  <c r="H2027" i="1"/>
  <c r="G2027" i="1"/>
  <c r="I1375" i="1"/>
  <c r="K1375" i="1" s="1"/>
  <c r="M1375" i="1" s="1"/>
  <c r="F1376" i="1"/>
  <c r="J1377" i="1" s="1"/>
  <c r="E2029" i="1" l="1"/>
  <c r="H2028" i="1"/>
  <c r="G2028" i="1"/>
  <c r="I1376" i="1"/>
  <c r="K1376" i="1" s="1"/>
  <c r="M1376" i="1" s="1"/>
  <c r="E2030" i="1" l="1"/>
  <c r="H2029" i="1"/>
  <c r="G2029" i="1"/>
  <c r="F1377" i="1"/>
  <c r="J1378" i="1" s="1"/>
  <c r="E2031" i="1" l="1"/>
  <c r="H2030" i="1"/>
  <c r="G2030" i="1"/>
  <c r="I1377" i="1"/>
  <c r="K1377" i="1" s="1"/>
  <c r="M1377" i="1" s="1"/>
  <c r="F1378" i="1"/>
  <c r="J1379" i="1" s="1"/>
  <c r="E2032" i="1" l="1"/>
  <c r="H2031" i="1"/>
  <c r="G2031" i="1"/>
  <c r="I1378" i="1"/>
  <c r="K1378" i="1" s="1"/>
  <c r="M1378" i="1" s="1"/>
  <c r="E2033" i="1" l="1"/>
  <c r="H2032" i="1"/>
  <c r="G2032" i="1"/>
  <c r="F1379" i="1"/>
  <c r="J1380" i="1" s="1"/>
  <c r="E2034" i="1" l="1"/>
  <c r="H2033" i="1"/>
  <c r="G2033" i="1"/>
  <c r="I1379" i="1"/>
  <c r="K1379" i="1" s="1"/>
  <c r="M1379" i="1" s="1"/>
  <c r="F1380" i="1"/>
  <c r="J1381" i="1" s="1"/>
  <c r="E2035" i="1" l="1"/>
  <c r="H2034" i="1"/>
  <c r="G2034" i="1"/>
  <c r="I1380" i="1"/>
  <c r="K1380" i="1" s="1"/>
  <c r="M1380" i="1" s="1"/>
  <c r="F1381" i="1"/>
  <c r="J1382" i="1" s="1"/>
  <c r="E2036" i="1" l="1"/>
  <c r="H2035" i="1"/>
  <c r="G2035" i="1"/>
  <c r="I1381" i="1"/>
  <c r="K1381" i="1" s="1"/>
  <c r="M1381" i="1" s="1"/>
  <c r="E2037" i="1" l="1"/>
  <c r="H2036" i="1"/>
  <c r="G2036" i="1"/>
  <c r="F1382" i="1"/>
  <c r="J1383" i="1" s="1"/>
  <c r="E2038" i="1" l="1"/>
  <c r="H2037" i="1"/>
  <c r="G2037" i="1"/>
  <c r="I1382" i="1"/>
  <c r="K1382" i="1" s="1"/>
  <c r="M1382" i="1" s="1"/>
  <c r="F1383" i="1"/>
  <c r="J1384" i="1" s="1"/>
  <c r="E2039" i="1" l="1"/>
  <c r="H2038" i="1"/>
  <c r="G2038" i="1"/>
  <c r="I1383" i="1"/>
  <c r="K1383" i="1" s="1"/>
  <c r="M1383" i="1" s="1"/>
  <c r="E2040" i="1" l="1"/>
  <c r="H2039" i="1"/>
  <c r="G2039" i="1"/>
  <c r="F1384" i="1"/>
  <c r="J1385" i="1" s="1"/>
  <c r="E2041" i="1" l="1"/>
  <c r="H2040" i="1"/>
  <c r="G2040" i="1"/>
  <c r="I1384" i="1"/>
  <c r="K1384" i="1" s="1"/>
  <c r="M1384" i="1" s="1"/>
  <c r="E2042" i="1" l="1"/>
  <c r="H2041" i="1"/>
  <c r="G2041" i="1"/>
  <c r="F1385" i="1"/>
  <c r="J1386" i="1" s="1"/>
  <c r="E2043" i="1" l="1"/>
  <c r="H2042" i="1"/>
  <c r="G2042" i="1"/>
  <c r="I1385" i="1"/>
  <c r="K1385" i="1" s="1"/>
  <c r="M1385" i="1" s="1"/>
  <c r="F1386" i="1"/>
  <c r="J1387" i="1" s="1"/>
  <c r="E2044" i="1" l="1"/>
  <c r="H2043" i="1"/>
  <c r="G2043" i="1"/>
  <c r="I1386" i="1"/>
  <c r="K1386" i="1" s="1"/>
  <c r="M1386" i="1" s="1"/>
  <c r="F1387" i="1"/>
  <c r="J1388" i="1" s="1"/>
  <c r="E2045" i="1" l="1"/>
  <c r="H2044" i="1"/>
  <c r="G2044" i="1"/>
  <c r="I1387" i="1"/>
  <c r="K1387" i="1" s="1"/>
  <c r="M1387" i="1" s="1"/>
  <c r="E2046" i="1" l="1"/>
  <c r="H2045" i="1"/>
  <c r="G2045" i="1"/>
  <c r="F1388" i="1"/>
  <c r="J1389" i="1" s="1"/>
  <c r="E2047" i="1" l="1"/>
  <c r="H2046" i="1"/>
  <c r="G2046" i="1"/>
  <c r="I1388" i="1"/>
  <c r="K1388" i="1" s="1"/>
  <c r="M1388" i="1" s="1"/>
  <c r="F1389" i="1"/>
  <c r="J1390" i="1" s="1"/>
  <c r="E2048" i="1" l="1"/>
  <c r="H2047" i="1"/>
  <c r="G2047" i="1"/>
  <c r="I1389" i="1"/>
  <c r="K1389" i="1" s="1"/>
  <c r="M1389" i="1" s="1"/>
  <c r="E2049" i="1" l="1"/>
  <c r="H2048" i="1"/>
  <c r="G2048" i="1"/>
  <c r="F1390" i="1"/>
  <c r="J1391" i="1" s="1"/>
  <c r="E2050" i="1" l="1"/>
  <c r="H2049" i="1"/>
  <c r="G2049" i="1"/>
  <c r="I1390" i="1"/>
  <c r="K1390" i="1" s="1"/>
  <c r="M1390" i="1" s="1"/>
  <c r="F1391" i="1"/>
  <c r="J1392" i="1" s="1"/>
  <c r="E2051" i="1" l="1"/>
  <c r="H2050" i="1"/>
  <c r="G2050" i="1"/>
  <c r="I1391" i="1"/>
  <c r="K1391" i="1" s="1"/>
  <c r="M1391" i="1" s="1"/>
  <c r="E2052" i="1" l="1"/>
  <c r="H2051" i="1"/>
  <c r="G2051" i="1"/>
  <c r="F1392" i="1"/>
  <c r="J1393" i="1" s="1"/>
  <c r="E2053" i="1" l="1"/>
  <c r="H2052" i="1"/>
  <c r="G2052" i="1"/>
  <c r="I1392" i="1"/>
  <c r="K1392" i="1" s="1"/>
  <c r="M1392" i="1" s="1"/>
  <c r="F1393" i="1"/>
  <c r="J1394" i="1" s="1"/>
  <c r="E2054" i="1" l="1"/>
  <c r="H2053" i="1"/>
  <c r="G2053" i="1"/>
  <c r="I1393" i="1"/>
  <c r="K1393" i="1" s="1"/>
  <c r="M1393" i="1" s="1"/>
  <c r="E2055" i="1" l="1"/>
  <c r="H2054" i="1"/>
  <c r="G2054" i="1"/>
  <c r="F1394" i="1"/>
  <c r="J1395" i="1" s="1"/>
  <c r="E2056" i="1" l="1"/>
  <c r="H2055" i="1"/>
  <c r="G2055" i="1"/>
  <c r="I1394" i="1"/>
  <c r="K1394" i="1" s="1"/>
  <c r="M1394" i="1" s="1"/>
  <c r="F1395" i="1"/>
  <c r="J1396" i="1" s="1"/>
  <c r="E2057" i="1" l="1"/>
  <c r="H2056" i="1"/>
  <c r="G2056" i="1"/>
  <c r="I1395" i="1"/>
  <c r="K1395" i="1" s="1"/>
  <c r="M1395" i="1" s="1"/>
  <c r="F1396" i="1"/>
  <c r="J1397" i="1" s="1"/>
  <c r="E2058" i="1" l="1"/>
  <c r="H2057" i="1"/>
  <c r="G2057" i="1"/>
  <c r="I1396" i="1"/>
  <c r="K1396" i="1" s="1"/>
  <c r="M1396" i="1" s="1"/>
  <c r="E2059" i="1" l="1"/>
  <c r="H2058" i="1"/>
  <c r="G2058" i="1"/>
  <c r="F1397" i="1"/>
  <c r="J1398" i="1" s="1"/>
  <c r="E2060" i="1" l="1"/>
  <c r="H2059" i="1"/>
  <c r="G2059" i="1"/>
  <c r="I1397" i="1"/>
  <c r="K1397" i="1" s="1"/>
  <c r="M1397" i="1" s="1"/>
  <c r="F1398" i="1"/>
  <c r="J1399" i="1" s="1"/>
  <c r="E2061" i="1" l="1"/>
  <c r="H2060" i="1"/>
  <c r="G2060" i="1"/>
  <c r="I1398" i="1"/>
  <c r="K1398" i="1" s="1"/>
  <c r="M1398" i="1" s="1"/>
  <c r="F1399" i="1"/>
  <c r="J1400" i="1" s="1"/>
  <c r="E2062" i="1" l="1"/>
  <c r="H2061" i="1"/>
  <c r="G2061" i="1"/>
  <c r="I1399" i="1"/>
  <c r="K1399" i="1" s="1"/>
  <c r="M1399" i="1" s="1"/>
  <c r="E2063" i="1" l="1"/>
  <c r="H2062" i="1"/>
  <c r="G2062" i="1"/>
  <c r="F1400" i="1"/>
  <c r="J1401" i="1" s="1"/>
  <c r="E2064" i="1" l="1"/>
  <c r="H2063" i="1"/>
  <c r="G2063" i="1"/>
  <c r="I1400" i="1"/>
  <c r="K1400" i="1" s="1"/>
  <c r="M1400" i="1" s="1"/>
  <c r="F1401" i="1"/>
  <c r="J1402" i="1" s="1"/>
  <c r="E2065" i="1" l="1"/>
  <c r="H2064" i="1"/>
  <c r="G2064" i="1"/>
  <c r="I1401" i="1"/>
  <c r="K1401" i="1" s="1"/>
  <c r="M1401" i="1" s="1"/>
  <c r="E2066" i="1" l="1"/>
  <c r="H2065" i="1"/>
  <c r="G2065" i="1"/>
  <c r="F1402" i="1"/>
  <c r="J1403" i="1" s="1"/>
  <c r="E2067" i="1" l="1"/>
  <c r="H2066" i="1"/>
  <c r="G2066" i="1"/>
  <c r="I1402" i="1"/>
  <c r="K1402" i="1" s="1"/>
  <c r="M1402" i="1" s="1"/>
  <c r="E2068" i="1" l="1"/>
  <c r="H2067" i="1"/>
  <c r="G2067" i="1"/>
  <c r="F1403" i="1"/>
  <c r="J1404" i="1" s="1"/>
  <c r="E2069" i="1" l="1"/>
  <c r="H2068" i="1"/>
  <c r="G2068" i="1"/>
  <c r="I1403" i="1"/>
  <c r="K1403" i="1" s="1"/>
  <c r="M1403" i="1" s="1"/>
  <c r="F1404" i="1"/>
  <c r="J1405" i="1" s="1"/>
  <c r="E2070" i="1" l="1"/>
  <c r="H2069" i="1"/>
  <c r="G2069" i="1"/>
  <c r="I1404" i="1"/>
  <c r="K1404" i="1" s="1"/>
  <c r="M1404" i="1" s="1"/>
  <c r="E2071" i="1" l="1"/>
  <c r="H2070" i="1"/>
  <c r="G2070" i="1"/>
  <c r="F1405" i="1"/>
  <c r="J1406" i="1" s="1"/>
  <c r="E2072" i="1" l="1"/>
  <c r="H2071" i="1"/>
  <c r="G2071" i="1"/>
  <c r="I1405" i="1"/>
  <c r="K1405" i="1" s="1"/>
  <c r="M1405" i="1" s="1"/>
  <c r="E2073" i="1" l="1"/>
  <c r="H2072" i="1"/>
  <c r="G2072" i="1"/>
  <c r="F1406" i="1"/>
  <c r="J1407" i="1" s="1"/>
  <c r="E2074" i="1" l="1"/>
  <c r="H2073" i="1"/>
  <c r="G2073" i="1"/>
  <c r="I1406" i="1"/>
  <c r="K1406" i="1" s="1"/>
  <c r="M1406" i="1" s="1"/>
  <c r="E2075" i="1" l="1"/>
  <c r="H2074" i="1"/>
  <c r="G2074" i="1"/>
  <c r="F1407" i="1"/>
  <c r="J1408" i="1" s="1"/>
  <c r="E2076" i="1" l="1"/>
  <c r="H2075" i="1"/>
  <c r="G2075" i="1"/>
  <c r="I1407" i="1"/>
  <c r="K1407" i="1" s="1"/>
  <c r="M1407" i="1" s="1"/>
  <c r="E2077" i="1" l="1"/>
  <c r="H2076" i="1"/>
  <c r="G2076" i="1"/>
  <c r="F1408" i="1"/>
  <c r="J1409" i="1" s="1"/>
  <c r="E2078" i="1" l="1"/>
  <c r="H2077" i="1"/>
  <c r="G2077" i="1"/>
  <c r="I1408" i="1"/>
  <c r="K1408" i="1" s="1"/>
  <c r="M1408" i="1" s="1"/>
  <c r="F1409" i="1"/>
  <c r="J1410" i="1" s="1"/>
  <c r="E2079" i="1" l="1"/>
  <c r="H2078" i="1"/>
  <c r="G2078" i="1"/>
  <c r="I1409" i="1"/>
  <c r="K1409" i="1" s="1"/>
  <c r="M1409" i="1" s="1"/>
  <c r="F1410" i="1"/>
  <c r="J1411" i="1" s="1"/>
  <c r="E2080" i="1" l="1"/>
  <c r="H2079" i="1"/>
  <c r="G2079" i="1"/>
  <c r="I1410" i="1"/>
  <c r="K1410" i="1" s="1"/>
  <c r="M1410" i="1" s="1"/>
  <c r="F1411" i="1"/>
  <c r="J1412" i="1" s="1"/>
  <c r="E2081" i="1" l="1"/>
  <c r="H2080" i="1"/>
  <c r="G2080" i="1"/>
  <c r="I1411" i="1"/>
  <c r="K1411" i="1" s="1"/>
  <c r="M1411" i="1" s="1"/>
  <c r="E2082" i="1" l="1"/>
  <c r="H2081" i="1"/>
  <c r="G2081" i="1"/>
  <c r="F1412" i="1"/>
  <c r="J1413" i="1" s="1"/>
  <c r="E2083" i="1" l="1"/>
  <c r="H2082" i="1"/>
  <c r="G2082" i="1"/>
  <c r="I1412" i="1"/>
  <c r="K1412" i="1" s="1"/>
  <c r="M1412" i="1" s="1"/>
  <c r="F1413" i="1"/>
  <c r="J1414" i="1" s="1"/>
  <c r="E2084" i="1" l="1"/>
  <c r="H2083" i="1"/>
  <c r="G2083" i="1"/>
  <c r="I1413" i="1"/>
  <c r="K1413" i="1" s="1"/>
  <c r="M1413" i="1" s="1"/>
  <c r="F1414" i="1"/>
  <c r="J1415" i="1" s="1"/>
  <c r="E2085" i="1" l="1"/>
  <c r="H2084" i="1"/>
  <c r="G2084" i="1"/>
  <c r="I1414" i="1"/>
  <c r="K1414" i="1" s="1"/>
  <c r="M1414" i="1" s="1"/>
  <c r="F1415" i="1"/>
  <c r="J1416" i="1" s="1"/>
  <c r="E2086" i="1" l="1"/>
  <c r="H2085" i="1"/>
  <c r="G2085" i="1"/>
  <c r="I1415" i="1"/>
  <c r="K1415" i="1" s="1"/>
  <c r="M1415" i="1" s="1"/>
  <c r="F1416" i="1"/>
  <c r="J1417" i="1" s="1"/>
  <c r="E2087" i="1" l="1"/>
  <c r="H2086" i="1"/>
  <c r="G2086" i="1"/>
  <c r="I1416" i="1"/>
  <c r="K1416" i="1" s="1"/>
  <c r="M1416" i="1" s="1"/>
  <c r="F1417" i="1"/>
  <c r="J1418" i="1" s="1"/>
  <c r="E2088" i="1" l="1"/>
  <c r="H2087" i="1"/>
  <c r="G2087" i="1"/>
  <c r="I1417" i="1"/>
  <c r="K1417" i="1" s="1"/>
  <c r="M1417" i="1" s="1"/>
  <c r="E2089" i="1" l="1"/>
  <c r="H2088" i="1"/>
  <c r="G2088" i="1"/>
  <c r="F1418" i="1"/>
  <c r="J1419" i="1" s="1"/>
  <c r="E2090" i="1" l="1"/>
  <c r="H2089" i="1"/>
  <c r="G2089" i="1"/>
  <c r="I1418" i="1"/>
  <c r="K1418" i="1" s="1"/>
  <c r="M1418" i="1" s="1"/>
  <c r="E2091" i="1" l="1"/>
  <c r="H2090" i="1"/>
  <c r="G2090" i="1"/>
  <c r="F1419" i="1"/>
  <c r="J1420" i="1" s="1"/>
  <c r="E2092" i="1" l="1"/>
  <c r="H2091" i="1"/>
  <c r="G2091" i="1"/>
  <c r="I1419" i="1"/>
  <c r="K1419" i="1" s="1"/>
  <c r="M1419" i="1" s="1"/>
  <c r="F1420" i="1"/>
  <c r="J1421" i="1" s="1"/>
  <c r="E2093" i="1" l="1"/>
  <c r="H2092" i="1"/>
  <c r="G2092" i="1"/>
  <c r="I1420" i="1"/>
  <c r="K1420" i="1" s="1"/>
  <c r="M1420" i="1" s="1"/>
  <c r="E2094" i="1" l="1"/>
  <c r="H2093" i="1"/>
  <c r="G2093" i="1"/>
  <c r="F1421" i="1"/>
  <c r="J1422" i="1" s="1"/>
  <c r="E2095" i="1" l="1"/>
  <c r="H2094" i="1"/>
  <c r="G2094" i="1"/>
  <c r="I1421" i="1"/>
  <c r="K1421" i="1" s="1"/>
  <c r="M1421" i="1" s="1"/>
  <c r="E2096" i="1" l="1"/>
  <c r="H2095" i="1"/>
  <c r="G2095" i="1"/>
  <c r="F1422" i="1"/>
  <c r="J1423" i="1" s="1"/>
  <c r="E2097" i="1" l="1"/>
  <c r="H2096" i="1"/>
  <c r="G2096" i="1"/>
  <c r="I1422" i="1"/>
  <c r="K1422" i="1" s="1"/>
  <c r="M1422" i="1" s="1"/>
  <c r="F1423" i="1"/>
  <c r="J1424" i="1" s="1"/>
  <c r="E2098" i="1" l="1"/>
  <c r="H2097" i="1"/>
  <c r="G2097" i="1"/>
  <c r="I1423" i="1"/>
  <c r="K1423" i="1" s="1"/>
  <c r="M1423" i="1" s="1"/>
  <c r="F1424" i="1"/>
  <c r="J1425" i="1" s="1"/>
  <c r="E2099" i="1" l="1"/>
  <c r="H2098" i="1"/>
  <c r="G2098" i="1"/>
  <c r="I1424" i="1"/>
  <c r="K1424" i="1" s="1"/>
  <c r="M1424" i="1" s="1"/>
  <c r="E2100" i="1" l="1"/>
  <c r="H2099" i="1"/>
  <c r="G2099" i="1"/>
  <c r="F1425" i="1"/>
  <c r="J1426" i="1" s="1"/>
  <c r="E2101" i="1" l="1"/>
  <c r="H2100" i="1"/>
  <c r="G2100" i="1"/>
  <c r="I1425" i="1"/>
  <c r="K1425" i="1" s="1"/>
  <c r="M1425" i="1" s="1"/>
  <c r="F1426" i="1"/>
  <c r="J1427" i="1" s="1"/>
  <c r="E2102" i="1" l="1"/>
  <c r="H2101" i="1"/>
  <c r="G2101" i="1"/>
  <c r="I1426" i="1"/>
  <c r="K1426" i="1" s="1"/>
  <c r="M1426" i="1" s="1"/>
  <c r="F1427" i="1"/>
  <c r="J1428" i="1" s="1"/>
  <c r="E2103" i="1" l="1"/>
  <c r="H2102" i="1"/>
  <c r="G2102" i="1"/>
  <c r="I1427" i="1"/>
  <c r="K1427" i="1" s="1"/>
  <c r="M1427" i="1" s="1"/>
  <c r="E2104" i="1" l="1"/>
  <c r="H2103" i="1"/>
  <c r="G2103" i="1"/>
  <c r="F1428" i="1"/>
  <c r="J1429" i="1" s="1"/>
  <c r="E2105" i="1" l="1"/>
  <c r="H2104" i="1"/>
  <c r="G2104" i="1"/>
  <c r="I1428" i="1"/>
  <c r="K1428" i="1" s="1"/>
  <c r="M1428" i="1" s="1"/>
  <c r="F1429" i="1"/>
  <c r="J1430" i="1" s="1"/>
  <c r="E2106" i="1" l="1"/>
  <c r="H2105" i="1"/>
  <c r="G2105" i="1"/>
  <c r="I1429" i="1"/>
  <c r="K1429" i="1" s="1"/>
  <c r="M1429" i="1" s="1"/>
  <c r="F1430" i="1"/>
  <c r="J1431" i="1" s="1"/>
  <c r="E2107" i="1" l="1"/>
  <c r="H2106" i="1"/>
  <c r="G2106" i="1"/>
  <c r="I1430" i="1"/>
  <c r="K1430" i="1" s="1"/>
  <c r="M1430" i="1" s="1"/>
  <c r="F1431" i="1"/>
  <c r="J1432" i="1" s="1"/>
  <c r="E2108" i="1" l="1"/>
  <c r="H2107" i="1"/>
  <c r="G2107" i="1"/>
  <c r="I1431" i="1"/>
  <c r="K1431" i="1" s="1"/>
  <c r="M1431" i="1" s="1"/>
  <c r="E2109" i="1" l="1"/>
  <c r="H2108" i="1"/>
  <c r="G2108" i="1"/>
  <c r="F1432" i="1"/>
  <c r="J1433" i="1" s="1"/>
  <c r="E2110" i="1" l="1"/>
  <c r="H2109" i="1"/>
  <c r="G2109" i="1"/>
  <c r="I1432" i="1"/>
  <c r="K1432" i="1" s="1"/>
  <c r="M1432" i="1" s="1"/>
  <c r="F1433" i="1"/>
  <c r="J1434" i="1" s="1"/>
  <c r="E2111" i="1" l="1"/>
  <c r="H2110" i="1"/>
  <c r="G2110" i="1"/>
  <c r="I1433" i="1"/>
  <c r="K1433" i="1" s="1"/>
  <c r="M1433" i="1" s="1"/>
  <c r="F1434" i="1"/>
  <c r="J1435" i="1" s="1"/>
  <c r="E2112" i="1" l="1"/>
  <c r="H2111" i="1"/>
  <c r="G2111" i="1"/>
  <c r="I1434" i="1"/>
  <c r="K1434" i="1" s="1"/>
  <c r="M1434" i="1" s="1"/>
  <c r="E2113" i="1" l="1"/>
  <c r="H2112" i="1"/>
  <c r="G2112" i="1"/>
  <c r="F1435" i="1"/>
  <c r="J1436" i="1" s="1"/>
  <c r="E2114" i="1" l="1"/>
  <c r="H2113" i="1"/>
  <c r="G2113" i="1"/>
  <c r="I1435" i="1"/>
  <c r="K1435" i="1" s="1"/>
  <c r="M1435" i="1" s="1"/>
  <c r="E2115" i="1" l="1"/>
  <c r="H2114" i="1"/>
  <c r="G2114" i="1"/>
  <c r="F1436" i="1"/>
  <c r="J1437" i="1" s="1"/>
  <c r="E2116" i="1" l="1"/>
  <c r="H2115" i="1"/>
  <c r="G2115" i="1"/>
  <c r="I1436" i="1"/>
  <c r="K1436" i="1" s="1"/>
  <c r="M1436" i="1" s="1"/>
  <c r="E2117" i="1" l="1"/>
  <c r="H2116" i="1"/>
  <c r="G2116" i="1"/>
  <c r="F1437" i="1"/>
  <c r="J1438" i="1" s="1"/>
  <c r="E2118" i="1" l="1"/>
  <c r="H2117" i="1"/>
  <c r="G2117" i="1"/>
  <c r="I1437" i="1"/>
  <c r="K1437" i="1" s="1"/>
  <c r="M1437" i="1" s="1"/>
  <c r="F1438" i="1"/>
  <c r="J1439" i="1" s="1"/>
  <c r="E2119" i="1" l="1"/>
  <c r="H2118" i="1"/>
  <c r="G2118" i="1"/>
  <c r="I1438" i="1"/>
  <c r="K1438" i="1" s="1"/>
  <c r="M1438" i="1" s="1"/>
  <c r="F1439" i="1"/>
  <c r="J1440" i="1" s="1"/>
  <c r="E2120" i="1" l="1"/>
  <c r="H2119" i="1"/>
  <c r="G2119" i="1"/>
  <c r="I1439" i="1"/>
  <c r="K1439" i="1" s="1"/>
  <c r="M1439" i="1" s="1"/>
  <c r="E2121" i="1" l="1"/>
  <c r="H2120" i="1"/>
  <c r="G2120" i="1"/>
  <c r="F1440" i="1"/>
  <c r="J1441" i="1" s="1"/>
  <c r="E2122" i="1" l="1"/>
  <c r="H2121" i="1"/>
  <c r="G2121" i="1"/>
  <c r="I1440" i="1"/>
  <c r="K1440" i="1" s="1"/>
  <c r="M1440" i="1" s="1"/>
  <c r="F1441" i="1"/>
  <c r="J1442" i="1" s="1"/>
  <c r="E2123" i="1" l="1"/>
  <c r="H2122" i="1"/>
  <c r="G2122" i="1"/>
  <c r="I1441" i="1"/>
  <c r="K1441" i="1" s="1"/>
  <c r="M1441" i="1" s="1"/>
  <c r="F1442" i="1"/>
  <c r="J1443" i="1" s="1"/>
  <c r="E2124" i="1" l="1"/>
  <c r="H2123" i="1"/>
  <c r="G2123" i="1"/>
  <c r="I1442" i="1"/>
  <c r="K1442" i="1" s="1"/>
  <c r="M1442" i="1" s="1"/>
  <c r="E2125" i="1" l="1"/>
  <c r="H2124" i="1"/>
  <c r="G2124" i="1"/>
  <c r="F1443" i="1"/>
  <c r="J1444" i="1" s="1"/>
  <c r="E2126" i="1" l="1"/>
  <c r="H2125" i="1"/>
  <c r="G2125" i="1"/>
  <c r="I1443" i="1"/>
  <c r="K1443" i="1" s="1"/>
  <c r="M1443" i="1" s="1"/>
  <c r="E2127" i="1" l="1"/>
  <c r="H2126" i="1"/>
  <c r="G2126" i="1"/>
  <c r="F1444" i="1"/>
  <c r="J1445" i="1" s="1"/>
  <c r="E2128" i="1" l="1"/>
  <c r="H2127" i="1"/>
  <c r="G2127" i="1"/>
  <c r="I1444" i="1"/>
  <c r="K1444" i="1" s="1"/>
  <c r="M1444" i="1" s="1"/>
  <c r="F1445" i="1"/>
  <c r="J1446" i="1" s="1"/>
  <c r="E2129" i="1" l="1"/>
  <c r="H2128" i="1"/>
  <c r="G2128" i="1"/>
  <c r="I1445" i="1"/>
  <c r="K1445" i="1" s="1"/>
  <c r="M1445" i="1" s="1"/>
  <c r="F1446" i="1"/>
  <c r="J1447" i="1" s="1"/>
  <c r="E2130" i="1" l="1"/>
  <c r="H2129" i="1"/>
  <c r="G2129" i="1"/>
  <c r="I1446" i="1"/>
  <c r="K1446" i="1" s="1"/>
  <c r="M1446" i="1" s="1"/>
  <c r="E2131" i="1" l="1"/>
  <c r="H2130" i="1"/>
  <c r="G2130" i="1"/>
  <c r="F1447" i="1"/>
  <c r="J1448" i="1" s="1"/>
  <c r="E2132" i="1" l="1"/>
  <c r="H2131" i="1"/>
  <c r="G2131" i="1"/>
  <c r="I1447" i="1"/>
  <c r="K1447" i="1" s="1"/>
  <c r="M1447" i="1" s="1"/>
  <c r="E2133" i="1" l="1"/>
  <c r="H2132" i="1"/>
  <c r="G2132" i="1"/>
  <c r="F1448" i="1"/>
  <c r="J1449" i="1" s="1"/>
  <c r="E2134" i="1" l="1"/>
  <c r="H2133" i="1"/>
  <c r="G2133" i="1"/>
  <c r="I1448" i="1"/>
  <c r="K1448" i="1" s="1"/>
  <c r="M1448" i="1" s="1"/>
  <c r="F1449" i="1"/>
  <c r="J1450" i="1" s="1"/>
  <c r="E2135" i="1" l="1"/>
  <c r="H2134" i="1"/>
  <c r="G2134" i="1"/>
  <c r="I1449" i="1"/>
  <c r="K1449" i="1" s="1"/>
  <c r="M1449" i="1" s="1"/>
  <c r="E2136" i="1" l="1"/>
  <c r="H2135" i="1"/>
  <c r="G2135" i="1"/>
  <c r="F1450" i="1"/>
  <c r="J1451" i="1" s="1"/>
  <c r="E2137" i="1" l="1"/>
  <c r="H2136" i="1"/>
  <c r="G2136" i="1"/>
  <c r="I1450" i="1"/>
  <c r="K1450" i="1" s="1"/>
  <c r="M1450" i="1" s="1"/>
  <c r="E2138" i="1" l="1"/>
  <c r="H2137" i="1"/>
  <c r="G2137" i="1"/>
  <c r="F1451" i="1"/>
  <c r="J1452" i="1" s="1"/>
  <c r="E2139" i="1" l="1"/>
  <c r="H2138" i="1"/>
  <c r="G2138" i="1"/>
  <c r="I1451" i="1"/>
  <c r="K1451" i="1" s="1"/>
  <c r="M1451" i="1" s="1"/>
  <c r="E2140" i="1" l="1"/>
  <c r="H2139" i="1"/>
  <c r="G2139" i="1"/>
  <c r="F1452" i="1"/>
  <c r="J1453" i="1" s="1"/>
  <c r="E2141" i="1" l="1"/>
  <c r="H2140" i="1"/>
  <c r="G2140" i="1"/>
  <c r="I1452" i="1"/>
  <c r="K1452" i="1" s="1"/>
  <c r="M1452" i="1" s="1"/>
  <c r="F1453" i="1"/>
  <c r="J1454" i="1" s="1"/>
  <c r="E2142" i="1" l="1"/>
  <c r="H2141" i="1"/>
  <c r="G2141" i="1"/>
  <c r="I1453" i="1"/>
  <c r="K1453" i="1" s="1"/>
  <c r="M1453" i="1" s="1"/>
  <c r="F1454" i="1"/>
  <c r="J1455" i="1" s="1"/>
  <c r="E2143" i="1" l="1"/>
  <c r="H2142" i="1"/>
  <c r="G2142" i="1"/>
  <c r="I1454" i="1"/>
  <c r="K1454" i="1" s="1"/>
  <c r="M1454" i="1" s="1"/>
  <c r="F1455" i="1"/>
  <c r="J1456" i="1" s="1"/>
  <c r="E2144" i="1" l="1"/>
  <c r="H2143" i="1"/>
  <c r="G2143" i="1"/>
  <c r="I1455" i="1"/>
  <c r="K1455" i="1" s="1"/>
  <c r="M1455" i="1" s="1"/>
  <c r="E2145" i="1" l="1"/>
  <c r="H2144" i="1"/>
  <c r="G2144" i="1"/>
  <c r="F1456" i="1"/>
  <c r="J1457" i="1" s="1"/>
  <c r="E2146" i="1" l="1"/>
  <c r="H2145" i="1"/>
  <c r="G2145" i="1"/>
  <c r="I1456" i="1"/>
  <c r="K1456" i="1" s="1"/>
  <c r="M1456" i="1" s="1"/>
  <c r="F1457" i="1"/>
  <c r="J1458" i="1" s="1"/>
  <c r="E2147" i="1" l="1"/>
  <c r="H2146" i="1"/>
  <c r="G2146" i="1"/>
  <c r="I1457" i="1"/>
  <c r="K1457" i="1" s="1"/>
  <c r="M1457" i="1" s="1"/>
  <c r="F1458" i="1"/>
  <c r="J1459" i="1" s="1"/>
  <c r="E2148" i="1" l="1"/>
  <c r="H2147" i="1"/>
  <c r="G2147" i="1"/>
  <c r="I1458" i="1"/>
  <c r="K1458" i="1" s="1"/>
  <c r="M1458" i="1" s="1"/>
  <c r="F1459" i="1"/>
  <c r="J1460" i="1" s="1"/>
  <c r="H2148" i="1" l="1"/>
  <c r="G2148" i="1"/>
  <c r="I1459" i="1"/>
  <c r="K1459" i="1" s="1"/>
  <c r="M1459" i="1" s="1"/>
  <c r="F1460" i="1"/>
  <c r="J1461" i="1" s="1"/>
  <c r="I1460" i="1" l="1"/>
  <c r="K1460" i="1" s="1"/>
  <c r="M1460" i="1" s="1"/>
  <c r="F1461" i="1"/>
  <c r="J1462" i="1" s="1"/>
  <c r="I1461" i="1" l="1"/>
  <c r="K1461" i="1" s="1"/>
  <c r="M1461" i="1" s="1"/>
  <c r="F1462" i="1" l="1"/>
  <c r="J1463" i="1" s="1"/>
  <c r="I1462" i="1" l="1"/>
  <c r="K1462" i="1" s="1"/>
  <c r="M1462" i="1" s="1"/>
  <c r="F1463" i="1"/>
  <c r="J1464" i="1" s="1"/>
  <c r="I1463" i="1" l="1"/>
  <c r="K1463" i="1" s="1"/>
  <c r="M1463" i="1" s="1"/>
  <c r="F1464" i="1" l="1"/>
  <c r="J1465" i="1" s="1"/>
  <c r="I1464" i="1" l="1"/>
  <c r="K1464" i="1" s="1"/>
  <c r="M1464" i="1" s="1"/>
  <c r="F1465" i="1" l="1"/>
  <c r="J1466" i="1" s="1"/>
  <c r="I1465" i="1" l="1"/>
  <c r="K1465" i="1" s="1"/>
  <c r="M1465" i="1" s="1"/>
  <c r="F1466" i="1"/>
  <c r="J1467" i="1" s="1"/>
  <c r="I1466" i="1" l="1"/>
  <c r="K1466" i="1" s="1"/>
  <c r="M1466" i="1" s="1"/>
  <c r="F1467" i="1" l="1"/>
  <c r="J1468" i="1" s="1"/>
  <c r="I1467" i="1" l="1"/>
  <c r="K1467" i="1" s="1"/>
  <c r="M1467" i="1" s="1"/>
  <c r="F1468" i="1" l="1"/>
  <c r="J1469" i="1" s="1"/>
  <c r="I1468" i="1" l="1"/>
  <c r="K1468" i="1" s="1"/>
  <c r="M1468" i="1" s="1"/>
  <c r="F1469" i="1"/>
  <c r="J1470" i="1" s="1"/>
  <c r="I1469" i="1" l="1"/>
  <c r="K1469" i="1" s="1"/>
  <c r="M1469" i="1" s="1"/>
  <c r="F1470" i="1" l="1"/>
  <c r="J1471" i="1" s="1"/>
  <c r="I1470" i="1" l="1"/>
  <c r="K1470" i="1" s="1"/>
  <c r="M1470" i="1" s="1"/>
  <c r="F1471" i="1"/>
  <c r="J1472" i="1" s="1"/>
  <c r="I1471" i="1" l="1"/>
  <c r="K1471" i="1" s="1"/>
  <c r="M1471" i="1" s="1"/>
  <c r="F1472" i="1"/>
  <c r="J1473" i="1" s="1"/>
  <c r="I1472" i="1" l="1"/>
  <c r="K1472" i="1" s="1"/>
  <c r="M1472" i="1" s="1"/>
  <c r="F1473" i="1" l="1"/>
  <c r="J1474" i="1" s="1"/>
  <c r="I1473" i="1" l="1"/>
  <c r="K1473" i="1" s="1"/>
  <c r="M1473" i="1" s="1"/>
  <c r="F1474" i="1" l="1"/>
  <c r="J1475" i="1" s="1"/>
  <c r="I1474" i="1" l="1"/>
  <c r="K1474" i="1" s="1"/>
  <c r="M1474" i="1" s="1"/>
  <c r="F1475" i="1" l="1"/>
  <c r="J1476" i="1" s="1"/>
  <c r="I1475" i="1" l="1"/>
  <c r="K1475" i="1" s="1"/>
  <c r="M1475" i="1" s="1"/>
  <c r="F1476" i="1" l="1"/>
  <c r="J1477" i="1" s="1"/>
  <c r="I1476" i="1" l="1"/>
  <c r="K1476" i="1" s="1"/>
  <c r="M1476" i="1" s="1"/>
  <c r="F1477" i="1"/>
  <c r="J1478" i="1" s="1"/>
  <c r="I1477" i="1" l="1"/>
  <c r="K1477" i="1" s="1"/>
  <c r="M1477" i="1" s="1"/>
  <c r="F1478" i="1" l="1"/>
  <c r="J1479" i="1" s="1"/>
  <c r="I1478" i="1" l="1"/>
  <c r="K1478" i="1" s="1"/>
  <c r="M1478" i="1" s="1"/>
  <c r="F1479" i="1" l="1"/>
  <c r="J1480" i="1" s="1"/>
  <c r="I1479" i="1" l="1"/>
  <c r="K1479" i="1" s="1"/>
  <c r="M1479" i="1" s="1"/>
  <c r="F1480" i="1" l="1"/>
  <c r="J1481" i="1" s="1"/>
  <c r="I1480" i="1" l="1"/>
  <c r="K1480" i="1" s="1"/>
  <c r="M1480" i="1" s="1"/>
  <c r="F1481" i="1"/>
  <c r="J1482" i="1" s="1"/>
  <c r="I1481" i="1" l="1"/>
  <c r="K1481" i="1" s="1"/>
  <c r="M1481" i="1" s="1"/>
  <c r="F1482" i="1"/>
  <c r="J1483" i="1" s="1"/>
  <c r="I1482" i="1" l="1"/>
  <c r="K1482" i="1" s="1"/>
  <c r="M1482" i="1" s="1"/>
  <c r="F1483" i="1"/>
  <c r="J1484" i="1" s="1"/>
  <c r="I1483" i="1" l="1"/>
  <c r="K1483" i="1" s="1"/>
  <c r="M1483" i="1" s="1"/>
  <c r="F1484" i="1" l="1"/>
  <c r="J1485" i="1" s="1"/>
  <c r="I1484" i="1" l="1"/>
  <c r="K1484" i="1" s="1"/>
  <c r="M1484" i="1" s="1"/>
  <c r="F1485" i="1" l="1"/>
  <c r="J1486" i="1" s="1"/>
  <c r="I1485" i="1" l="1"/>
  <c r="K1485" i="1" s="1"/>
  <c r="M1485" i="1" s="1"/>
  <c r="F1486" i="1"/>
  <c r="J1487" i="1" s="1"/>
  <c r="I1486" i="1" l="1"/>
  <c r="K1486" i="1" s="1"/>
  <c r="M1486" i="1" s="1"/>
  <c r="F1487" i="1" l="1"/>
  <c r="J1488" i="1" s="1"/>
  <c r="I1487" i="1" l="1"/>
  <c r="K1487" i="1" s="1"/>
  <c r="M1487" i="1" s="1"/>
  <c r="F1488" i="1" l="1"/>
  <c r="J1489" i="1" s="1"/>
  <c r="I1488" i="1" l="1"/>
  <c r="K1488" i="1" s="1"/>
  <c r="M1488" i="1" s="1"/>
  <c r="F1489" i="1" l="1"/>
  <c r="J1490" i="1" s="1"/>
  <c r="I1489" i="1" l="1"/>
  <c r="K1489" i="1" s="1"/>
  <c r="M1489" i="1" s="1"/>
  <c r="F1490" i="1"/>
  <c r="J1491" i="1" s="1"/>
  <c r="I1490" i="1" l="1"/>
  <c r="K1490" i="1" s="1"/>
  <c r="M1490" i="1" s="1"/>
  <c r="F1491" i="1"/>
  <c r="J1492" i="1" s="1"/>
  <c r="I1491" i="1" l="1"/>
  <c r="K1491" i="1" s="1"/>
  <c r="M1491" i="1" s="1"/>
  <c r="F1492" i="1"/>
  <c r="J1493" i="1" s="1"/>
  <c r="I1492" i="1" l="1"/>
  <c r="K1492" i="1" s="1"/>
  <c r="M1492" i="1" s="1"/>
  <c r="F1493" i="1"/>
  <c r="J1494" i="1" s="1"/>
  <c r="I1493" i="1" l="1"/>
  <c r="K1493" i="1" s="1"/>
  <c r="M1493" i="1" s="1"/>
  <c r="F1494" i="1" l="1"/>
  <c r="J1495" i="1" s="1"/>
  <c r="I1494" i="1" l="1"/>
  <c r="K1494" i="1" s="1"/>
  <c r="M1494" i="1" s="1"/>
  <c r="F1495" i="1" l="1"/>
  <c r="J1496" i="1" s="1"/>
  <c r="I1495" i="1" l="1"/>
  <c r="K1495" i="1" s="1"/>
  <c r="M1495" i="1" s="1"/>
  <c r="F1496" i="1" l="1"/>
  <c r="J1497" i="1" s="1"/>
  <c r="I1496" i="1" l="1"/>
  <c r="K1496" i="1" s="1"/>
  <c r="M1496" i="1" s="1"/>
  <c r="F1497" i="1"/>
  <c r="J1498" i="1" s="1"/>
  <c r="I1497" i="1" l="1"/>
  <c r="K1497" i="1" s="1"/>
  <c r="M1497" i="1" s="1"/>
  <c r="F1498" i="1" l="1"/>
  <c r="J1499" i="1" s="1"/>
  <c r="I1498" i="1" l="1"/>
  <c r="K1498" i="1" s="1"/>
  <c r="M1498" i="1" s="1"/>
  <c r="F1499" i="1"/>
  <c r="J1500" i="1" s="1"/>
  <c r="I1499" i="1" l="1"/>
  <c r="K1499" i="1" s="1"/>
  <c r="M1499" i="1" s="1"/>
  <c r="F1500" i="1"/>
  <c r="J1501" i="1" s="1"/>
  <c r="I1500" i="1" l="1"/>
  <c r="K1500" i="1" s="1"/>
  <c r="M1500" i="1" s="1"/>
  <c r="F1501" i="1"/>
  <c r="J1502" i="1" s="1"/>
  <c r="I1501" i="1" l="1"/>
  <c r="K1501" i="1" s="1"/>
  <c r="M1501" i="1" s="1"/>
  <c r="F1502" i="1" l="1"/>
  <c r="J1503" i="1" s="1"/>
  <c r="I1502" i="1" l="1"/>
  <c r="K1502" i="1" s="1"/>
  <c r="M1502" i="1" s="1"/>
  <c r="F1503" i="1" l="1"/>
  <c r="J1504" i="1" s="1"/>
  <c r="I1503" i="1" l="1"/>
  <c r="K1503" i="1" s="1"/>
  <c r="M1503" i="1" s="1"/>
  <c r="F1504" i="1" l="1"/>
  <c r="J1505" i="1" s="1"/>
  <c r="I1504" i="1" l="1"/>
  <c r="K1504" i="1" s="1"/>
  <c r="M1504" i="1" s="1"/>
  <c r="F1505" i="1"/>
  <c r="J1506" i="1" s="1"/>
  <c r="I1505" i="1" l="1"/>
  <c r="K1505" i="1" s="1"/>
  <c r="M1505" i="1" s="1"/>
  <c r="F1506" i="1"/>
  <c r="J1507" i="1" s="1"/>
  <c r="I1506" i="1" l="1"/>
  <c r="K1506" i="1" s="1"/>
  <c r="M1506" i="1" s="1"/>
  <c r="F1507" i="1"/>
  <c r="J1508" i="1" s="1"/>
  <c r="I1507" i="1" l="1"/>
  <c r="K1507" i="1" s="1"/>
  <c r="M1507" i="1" s="1"/>
  <c r="F1508" i="1" l="1"/>
  <c r="J1509" i="1" s="1"/>
  <c r="I1508" i="1" l="1"/>
  <c r="K1508" i="1" s="1"/>
  <c r="M1508" i="1" s="1"/>
  <c r="F1509" i="1"/>
  <c r="J1510" i="1" s="1"/>
  <c r="I1509" i="1" l="1"/>
  <c r="K1509" i="1" s="1"/>
  <c r="M1509" i="1" s="1"/>
  <c r="F1510" i="1" l="1"/>
  <c r="J1511" i="1" s="1"/>
  <c r="I1510" i="1" l="1"/>
  <c r="K1510" i="1" s="1"/>
  <c r="M1510" i="1" s="1"/>
  <c r="F1511" i="1"/>
  <c r="J1512" i="1" s="1"/>
  <c r="I1511" i="1" l="1"/>
  <c r="K1511" i="1" s="1"/>
  <c r="M1511" i="1" s="1"/>
  <c r="F1512" i="1"/>
  <c r="J1513" i="1" s="1"/>
  <c r="I1512" i="1" l="1"/>
  <c r="K1512" i="1" s="1"/>
  <c r="M1512" i="1" s="1"/>
  <c r="F1513" i="1" l="1"/>
  <c r="J1514" i="1" s="1"/>
  <c r="I1513" i="1" l="1"/>
  <c r="K1513" i="1" s="1"/>
  <c r="M1513" i="1" s="1"/>
  <c r="F1514" i="1" l="1"/>
  <c r="J1515" i="1" s="1"/>
  <c r="I1514" i="1" l="1"/>
  <c r="K1514" i="1" s="1"/>
  <c r="M1514" i="1" s="1"/>
  <c r="F1515" i="1" l="1"/>
  <c r="J1516" i="1" s="1"/>
  <c r="I1515" i="1" l="1"/>
  <c r="K1515" i="1" s="1"/>
  <c r="M1515" i="1" s="1"/>
  <c r="F1516" i="1"/>
  <c r="J1517" i="1" s="1"/>
  <c r="I1516" i="1" l="1"/>
  <c r="K1516" i="1" s="1"/>
  <c r="M1516" i="1" s="1"/>
  <c r="F1517" i="1"/>
  <c r="J1518" i="1" s="1"/>
  <c r="I1517" i="1" l="1"/>
  <c r="K1517" i="1" s="1"/>
  <c r="M1517" i="1" s="1"/>
  <c r="F1518" i="1" l="1"/>
  <c r="J1519" i="1" s="1"/>
  <c r="I1518" i="1" l="1"/>
  <c r="K1518" i="1" s="1"/>
  <c r="M1518" i="1" s="1"/>
  <c r="F1519" i="1"/>
  <c r="J1520" i="1" s="1"/>
  <c r="I1519" i="1" l="1"/>
  <c r="K1519" i="1" s="1"/>
  <c r="M1519" i="1" s="1"/>
  <c r="F1520" i="1" l="1"/>
  <c r="J1521" i="1" s="1"/>
  <c r="I1520" i="1" l="1"/>
  <c r="K1520" i="1" s="1"/>
  <c r="M1520" i="1" s="1"/>
  <c r="F1521" i="1" l="1"/>
  <c r="J1522" i="1" s="1"/>
  <c r="I1521" i="1" l="1"/>
  <c r="K1521" i="1" s="1"/>
  <c r="M1521" i="1" s="1"/>
  <c r="F1522" i="1"/>
  <c r="J1523" i="1" s="1"/>
  <c r="I1522" i="1" l="1"/>
  <c r="K1522" i="1" s="1"/>
  <c r="M1522" i="1" s="1"/>
  <c r="F1523" i="1" l="1"/>
  <c r="J1524" i="1" s="1"/>
  <c r="I1523" i="1" l="1"/>
  <c r="K1523" i="1" s="1"/>
  <c r="M1523" i="1" s="1"/>
  <c r="F1524" i="1" l="1"/>
  <c r="J1525" i="1" s="1"/>
  <c r="I1524" i="1" l="1"/>
  <c r="K1524" i="1" s="1"/>
  <c r="M1524" i="1" s="1"/>
  <c r="F1525" i="1" l="1"/>
  <c r="J1526" i="1" s="1"/>
  <c r="I1525" i="1" l="1"/>
  <c r="K1525" i="1" s="1"/>
  <c r="M1525" i="1" s="1"/>
  <c r="F1526" i="1" l="1"/>
  <c r="J1527" i="1" s="1"/>
  <c r="I1526" i="1" l="1"/>
  <c r="K1526" i="1" s="1"/>
  <c r="M1526" i="1" s="1"/>
  <c r="F1527" i="1" l="1"/>
  <c r="J1528" i="1" s="1"/>
  <c r="I1527" i="1" l="1"/>
  <c r="K1527" i="1" s="1"/>
  <c r="M1527" i="1" s="1"/>
  <c r="F1528" i="1"/>
  <c r="J1529" i="1" s="1"/>
  <c r="I1528" i="1" l="1"/>
  <c r="K1528" i="1" s="1"/>
  <c r="M1528" i="1" s="1"/>
  <c r="F1529" i="1"/>
  <c r="J1530" i="1" s="1"/>
  <c r="I1529" i="1" l="1"/>
  <c r="K1529" i="1" s="1"/>
  <c r="M1529" i="1" s="1"/>
  <c r="F1530" i="1" l="1"/>
  <c r="J1531" i="1" s="1"/>
  <c r="I1530" i="1" l="1"/>
  <c r="K1530" i="1" s="1"/>
  <c r="M1530" i="1" s="1"/>
  <c r="F1531" i="1" l="1"/>
  <c r="J1532" i="1" s="1"/>
  <c r="I1531" i="1" l="1"/>
  <c r="K1531" i="1" s="1"/>
  <c r="M1531" i="1" s="1"/>
  <c r="F1532" i="1"/>
  <c r="J1533" i="1" s="1"/>
  <c r="I1532" i="1" l="1"/>
  <c r="K1532" i="1" s="1"/>
  <c r="M1532" i="1" s="1"/>
  <c r="F1533" i="1"/>
  <c r="J1534" i="1" s="1"/>
  <c r="I1533" i="1" l="1"/>
  <c r="K1533" i="1" s="1"/>
  <c r="M1533" i="1" s="1"/>
  <c r="F1534" i="1"/>
  <c r="J1535" i="1" s="1"/>
  <c r="I1534" i="1" l="1"/>
  <c r="K1534" i="1" s="1"/>
  <c r="M1534" i="1" s="1"/>
  <c r="F1535" i="1" l="1"/>
  <c r="J1536" i="1" s="1"/>
  <c r="I1535" i="1" l="1"/>
  <c r="K1535" i="1" s="1"/>
  <c r="M1535" i="1" s="1"/>
  <c r="F1536" i="1" l="1"/>
  <c r="J1537" i="1" s="1"/>
  <c r="I1536" i="1" l="1"/>
  <c r="K1536" i="1" s="1"/>
  <c r="M1536" i="1" s="1"/>
  <c r="F1537" i="1"/>
  <c r="J1538" i="1" s="1"/>
  <c r="I1537" i="1" l="1"/>
  <c r="K1537" i="1" s="1"/>
  <c r="M1537" i="1" s="1"/>
  <c r="F1538" i="1" l="1"/>
  <c r="J1539" i="1" s="1"/>
  <c r="I1538" i="1" l="1"/>
  <c r="K1538" i="1" s="1"/>
  <c r="M1538" i="1" s="1"/>
  <c r="F1539" i="1"/>
  <c r="J1540" i="1" s="1"/>
  <c r="I1539" i="1" l="1"/>
  <c r="K1539" i="1" s="1"/>
  <c r="M1539" i="1" s="1"/>
  <c r="F1540" i="1" l="1"/>
  <c r="J1541" i="1" s="1"/>
  <c r="I1540" i="1" l="1"/>
  <c r="K1540" i="1" s="1"/>
  <c r="M1540" i="1" s="1"/>
  <c r="F1541" i="1" l="1"/>
  <c r="J1542" i="1" s="1"/>
  <c r="I1541" i="1" l="1"/>
  <c r="K1541" i="1" s="1"/>
  <c r="M1541" i="1" s="1"/>
  <c r="F1542" i="1"/>
  <c r="J1543" i="1" s="1"/>
  <c r="I1542" i="1" l="1"/>
  <c r="K1542" i="1" s="1"/>
  <c r="M1542" i="1" s="1"/>
  <c r="F1543" i="1"/>
  <c r="J1544" i="1" s="1"/>
  <c r="I1543" i="1" l="1"/>
  <c r="K1543" i="1" s="1"/>
  <c r="M1543" i="1" s="1"/>
  <c r="F1544" i="1"/>
  <c r="J1545" i="1" s="1"/>
  <c r="I1544" i="1" l="1"/>
  <c r="K1544" i="1" s="1"/>
  <c r="M1544" i="1" s="1"/>
  <c r="F1545" i="1"/>
  <c r="J1546" i="1" s="1"/>
  <c r="I1545" i="1" l="1"/>
  <c r="K1545" i="1" s="1"/>
  <c r="M1545" i="1" s="1"/>
  <c r="F1546" i="1" l="1"/>
  <c r="J1547" i="1" s="1"/>
  <c r="I1546" i="1" l="1"/>
  <c r="K1546" i="1" s="1"/>
  <c r="M1546" i="1" s="1"/>
  <c r="F1547" i="1" l="1"/>
  <c r="J1548" i="1" s="1"/>
  <c r="F1548" i="1" l="1"/>
  <c r="I1547" i="1"/>
  <c r="K1547" i="1" s="1"/>
  <c r="M1547" i="1" s="1"/>
  <c r="J1549" i="1" l="1"/>
  <c r="I1548" i="1"/>
  <c r="K1548" i="1" s="1"/>
  <c r="M1548" i="1" s="1"/>
  <c r="F1549" i="1"/>
  <c r="J1550" i="1" s="1"/>
  <c r="I1549" i="1" l="1"/>
  <c r="K1549" i="1" s="1"/>
  <c r="M1549" i="1" s="1"/>
  <c r="F1550" i="1"/>
  <c r="J1551" i="1" s="1"/>
  <c r="I1550" i="1" l="1"/>
  <c r="K1550" i="1" s="1"/>
  <c r="M1550" i="1" s="1"/>
  <c r="F1551" i="1" l="1"/>
  <c r="J1552" i="1" s="1"/>
  <c r="I1551" i="1" l="1"/>
  <c r="K1551" i="1" s="1"/>
  <c r="M1551" i="1" s="1"/>
  <c r="F1552" i="1" l="1"/>
  <c r="J1553" i="1" s="1"/>
  <c r="I1552" i="1" l="1"/>
  <c r="K1552" i="1" s="1"/>
  <c r="M1552" i="1" s="1"/>
  <c r="F1553" i="1"/>
  <c r="J1554" i="1" s="1"/>
  <c r="I1553" i="1" l="1"/>
  <c r="K1553" i="1" s="1"/>
  <c r="M1553" i="1" s="1"/>
  <c r="F1554" i="1" l="1"/>
  <c r="J1555" i="1" s="1"/>
  <c r="I1554" i="1" l="1"/>
  <c r="K1554" i="1" s="1"/>
  <c r="M1554" i="1" s="1"/>
  <c r="F1555" i="1" l="1"/>
  <c r="J1556" i="1" s="1"/>
  <c r="I1555" i="1" l="1"/>
  <c r="K1555" i="1" s="1"/>
  <c r="M1555" i="1" s="1"/>
  <c r="F1556" i="1"/>
  <c r="J1557" i="1" s="1"/>
  <c r="I1556" i="1" l="1"/>
  <c r="K1556" i="1" s="1"/>
  <c r="M1556" i="1" s="1"/>
  <c r="F1557" i="1"/>
  <c r="J1558" i="1" s="1"/>
  <c r="I1557" i="1" l="1"/>
  <c r="K1557" i="1" s="1"/>
  <c r="M1557" i="1" s="1"/>
  <c r="F1558" i="1" l="1"/>
  <c r="J1559" i="1" s="1"/>
  <c r="I1558" i="1" l="1"/>
  <c r="K1558" i="1" s="1"/>
  <c r="M1558" i="1" s="1"/>
  <c r="F1559" i="1"/>
  <c r="J1560" i="1" s="1"/>
  <c r="I1559" i="1" l="1"/>
  <c r="K1559" i="1" s="1"/>
  <c r="M1559" i="1" s="1"/>
  <c r="F1560" i="1"/>
  <c r="J1561" i="1" s="1"/>
  <c r="I1560" i="1" l="1"/>
  <c r="K1560" i="1" s="1"/>
  <c r="M1560" i="1" s="1"/>
  <c r="F1561" i="1" l="1"/>
  <c r="J1562" i="1" s="1"/>
  <c r="I1561" i="1" l="1"/>
  <c r="K1561" i="1" s="1"/>
  <c r="M1561" i="1" s="1"/>
  <c r="F1562" i="1"/>
  <c r="J1563" i="1" s="1"/>
  <c r="I1562" i="1" l="1"/>
  <c r="K1562" i="1" s="1"/>
  <c r="M1562" i="1" s="1"/>
  <c r="F1563" i="1" l="1"/>
  <c r="J1564" i="1" s="1"/>
  <c r="I1563" i="1" l="1"/>
  <c r="K1563" i="1" s="1"/>
  <c r="M1563" i="1" s="1"/>
  <c r="F1564" i="1" l="1"/>
  <c r="J1565" i="1" s="1"/>
  <c r="I1564" i="1" l="1"/>
  <c r="K1564" i="1" s="1"/>
  <c r="M1564" i="1" s="1"/>
  <c r="F1565" i="1" l="1"/>
  <c r="J1566" i="1" s="1"/>
  <c r="I1565" i="1" l="1"/>
  <c r="K1565" i="1" s="1"/>
  <c r="M1565" i="1" s="1"/>
  <c r="F1566" i="1"/>
  <c r="J1567" i="1" s="1"/>
  <c r="I1566" i="1" l="1"/>
  <c r="K1566" i="1" s="1"/>
  <c r="M1566" i="1" s="1"/>
  <c r="F1567" i="1"/>
  <c r="J1568" i="1" s="1"/>
  <c r="I1567" i="1" l="1"/>
  <c r="K1567" i="1" s="1"/>
  <c r="M1567" i="1" s="1"/>
  <c r="F1568" i="1" l="1"/>
  <c r="J1569" i="1" s="1"/>
  <c r="I1568" i="1" l="1"/>
  <c r="K1568" i="1" s="1"/>
  <c r="M1568" i="1" s="1"/>
  <c r="F1569" i="1"/>
  <c r="J1570" i="1" s="1"/>
  <c r="I1569" i="1" l="1"/>
  <c r="K1569" i="1" s="1"/>
  <c r="M1569" i="1" s="1"/>
  <c r="F1570" i="1" l="1"/>
  <c r="J1571" i="1" s="1"/>
  <c r="I1570" i="1" l="1"/>
  <c r="K1570" i="1" s="1"/>
  <c r="M1570" i="1" s="1"/>
  <c r="F1571" i="1"/>
  <c r="J1572" i="1" s="1"/>
  <c r="I1571" i="1" l="1"/>
  <c r="K1571" i="1" s="1"/>
  <c r="M1571" i="1" s="1"/>
  <c r="F1572" i="1" l="1"/>
  <c r="J1573" i="1" s="1"/>
  <c r="I1572" i="1" l="1"/>
  <c r="K1572" i="1" s="1"/>
  <c r="M1572" i="1" s="1"/>
  <c r="F1573" i="1"/>
  <c r="J1574" i="1" s="1"/>
  <c r="I1573" i="1" l="1"/>
  <c r="K1573" i="1" s="1"/>
  <c r="M1573" i="1" s="1"/>
  <c r="F1574" i="1" l="1"/>
  <c r="J1575" i="1" s="1"/>
  <c r="I1574" i="1" l="1"/>
  <c r="K1574" i="1" s="1"/>
  <c r="M1574" i="1" s="1"/>
  <c r="F1575" i="1" l="1"/>
  <c r="J1576" i="1" s="1"/>
  <c r="I1575" i="1" l="1"/>
  <c r="K1575" i="1" s="1"/>
  <c r="M1575" i="1" s="1"/>
  <c r="F1576" i="1" l="1"/>
  <c r="J1577" i="1" s="1"/>
  <c r="I1576" i="1" l="1"/>
  <c r="K1576" i="1" s="1"/>
  <c r="M1576" i="1" s="1"/>
  <c r="F1577" i="1" l="1"/>
  <c r="J1578" i="1" s="1"/>
  <c r="F1578" i="1" l="1"/>
  <c r="J1579" i="1" s="1"/>
  <c r="I1577" i="1"/>
  <c r="K1577" i="1" s="1"/>
  <c r="M1577" i="1" s="1"/>
  <c r="I1578" i="1" l="1"/>
  <c r="K1578" i="1" s="1"/>
  <c r="M1578" i="1" s="1"/>
  <c r="F1579" i="1"/>
  <c r="J1580" i="1" s="1"/>
  <c r="F1580" i="1"/>
  <c r="J1581" i="1" s="1"/>
  <c r="I1579" i="1" l="1"/>
  <c r="K1579" i="1" s="1"/>
  <c r="M1579" i="1" s="1"/>
  <c r="I1580" i="1"/>
  <c r="K1580" i="1" s="1"/>
  <c r="M1580" i="1" s="1"/>
  <c r="F1581" i="1" l="1"/>
  <c r="J1582" i="1" s="1"/>
  <c r="I1581" i="1" l="1"/>
  <c r="K1581" i="1" s="1"/>
  <c r="M1581" i="1" s="1"/>
  <c r="F1582" i="1" l="1"/>
  <c r="J1583" i="1" s="1"/>
  <c r="I1582" i="1" l="1"/>
  <c r="K1582" i="1" s="1"/>
  <c r="M1582" i="1" s="1"/>
  <c r="F1583" i="1" l="1"/>
  <c r="J1584" i="1" s="1"/>
  <c r="I1583" i="1" l="1"/>
  <c r="K1583" i="1" s="1"/>
  <c r="M1583" i="1" s="1"/>
  <c r="F1584" i="1" l="1"/>
  <c r="J1585" i="1" s="1"/>
  <c r="I1584" i="1" l="1"/>
  <c r="K1584" i="1" s="1"/>
  <c r="M1584" i="1" s="1"/>
  <c r="F1585" i="1" l="1"/>
  <c r="J1586" i="1" s="1"/>
  <c r="I1585" i="1" l="1"/>
  <c r="K1585" i="1" s="1"/>
  <c r="M1585" i="1" s="1"/>
  <c r="F1586" i="1" l="1"/>
  <c r="J1587" i="1" s="1"/>
  <c r="I1586" i="1" l="1"/>
  <c r="K1586" i="1" s="1"/>
  <c r="M1586" i="1" s="1"/>
  <c r="F1587" i="1"/>
  <c r="J1588" i="1" s="1"/>
  <c r="I1587" i="1" l="1"/>
  <c r="K1587" i="1" s="1"/>
  <c r="M1587" i="1" s="1"/>
  <c r="F1588" i="1"/>
  <c r="J1589" i="1" s="1"/>
  <c r="I1588" i="1" l="1"/>
  <c r="K1588" i="1" s="1"/>
  <c r="M1588" i="1" s="1"/>
  <c r="F1589" i="1"/>
  <c r="J1590" i="1" s="1"/>
  <c r="I1589" i="1" l="1"/>
  <c r="K1589" i="1" s="1"/>
  <c r="M1589" i="1" s="1"/>
  <c r="F1590" i="1" l="1"/>
  <c r="J1591" i="1" s="1"/>
  <c r="I1590" i="1" l="1"/>
  <c r="K1590" i="1" s="1"/>
  <c r="M1590" i="1" s="1"/>
  <c r="F1591" i="1" l="1"/>
  <c r="J1592" i="1" s="1"/>
  <c r="I1591" i="1" l="1"/>
  <c r="K1591" i="1" s="1"/>
  <c r="M1591" i="1" s="1"/>
  <c r="F1592" i="1" l="1"/>
  <c r="J1593" i="1" s="1"/>
  <c r="I1592" i="1" l="1"/>
  <c r="K1592" i="1" s="1"/>
  <c r="M1592" i="1" s="1"/>
  <c r="F1593" i="1"/>
  <c r="J1594" i="1" s="1"/>
  <c r="I1593" i="1" l="1"/>
  <c r="K1593" i="1" s="1"/>
  <c r="M1593" i="1" s="1"/>
  <c r="F1594" i="1" l="1"/>
  <c r="J1595" i="1" s="1"/>
  <c r="F1595" i="1" l="1"/>
  <c r="J1596" i="1" s="1"/>
  <c r="I1594" i="1"/>
  <c r="K1594" i="1" s="1"/>
  <c r="M1594" i="1" s="1"/>
  <c r="I1595" i="1" l="1"/>
  <c r="K1595" i="1" s="1"/>
  <c r="M1595" i="1" s="1"/>
  <c r="F1596" i="1"/>
  <c r="J1597" i="1" s="1"/>
  <c r="I1596" i="1" l="1"/>
  <c r="K1596" i="1" s="1"/>
  <c r="M1596" i="1" s="1"/>
  <c r="F1597" i="1"/>
  <c r="J1598" i="1" s="1"/>
  <c r="I1597" i="1" l="1"/>
  <c r="K1597" i="1" s="1"/>
  <c r="M1597" i="1" s="1"/>
  <c r="F1598" i="1" l="1"/>
  <c r="J1599" i="1" s="1"/>
  <c r="I1598" i="1" l="1"/>
  <c r="K1598" i="1" s="1"/>
  <c r="M1598" i="1" s="1"/>
  <c r="F1599" i="1" l="1"/>
  <c r="J1600" i="1" s="1"/>
  <c r="I1599" i="1" l="1"/>
  <c r="K1599" i="1" s="1"/>
  <c r="M1599" i="1" s="1"/>
  <c r="F1600" i="1" l="1"/>
  <c r="J1601" i="1" s="1"/>
  <c r="I1600" i="1" l="1"/>
  <c r="K1600" i="1" s="1"/>
  <c r="M1600" i="1" s="1"/>
  <c r="F1601" i="1"/>
  <c r="J1602" i="1" s="1"/>
  <c r="I1601" i="1" l="1"/>
  <c r="K1601" i="1" s="1"/>
  <c r="M1601" i="1" s="1"/>
  <c r="F1602" i="1" l="1"/>
  <c r="J1603" i="1" s="1"/>
  <c r="I1602" i="1" l="1"/>
  <c r="K1602" i="1" s="1"/>
  <c r="M1602" i="1" s="1"/>
  <c r="F1603" i="1" l="1"/>
  <c r="J1604" i="1" s="1"/>
  <c r="I1603" i="1" l="1"/>
  <c r="K1603" i="1" s="1"/>
  <c r="M1603" i="1" s="1"/>
  <c r="F1604" i="1" l="1"/>
  <c r="J1605" i="1" s="1"/>
  <c r="I1604" i="1" l="1"/>
  <c r="K1604" i="1" s="1"/>
  <c r="M1604" i="1" s="1"/>
  <c r="F1605" i="1"/>
  <c r="J1606" i="1" s="1"/>
  <c r="I1605" i="1" l="1"/>
  <c r="K1605" i="1" s="1"/>
  <c r="M1605" i="1" s="1"/>
  <c r="F1606" i="1" l="1"/>
  <c r="J1607" i="1" s="1"/>
  <c r="I1606" i="1" l="1"/>
  <c r="K1606" i="1" s="1"/>
  <c r="M1606" i="1" s="1"/>
  <c r="F1607" i="1"/>
  <c r="J1608" i="1" s="1"/>
  <c r="I1607" i="1" l="1"/>
  <c r="K1607" i="1" s="1"/>
  <c r="M1607" i="1" s="1"/>
  <c r="F1608" i="1" l="1"/>
  <c r="J1609" i="1" s="1"/>
  <c r="I1608" i="1" l="1"/>
  <c r="K1608" i="1" s="1"/>
  <c r="M1608" i="1" s="1"/>
  <c r="F1609" i="1"/>
  <c r="J1610" i="1" s="1"/>
  <c r="I1609" i="1" l="1"/>
  <c r="K1609" i="1" s="1"/>
  <c r="M1609" i="1" s="1"/>
  <c r="F1610" i="1" l="1"/>
  <c r="J1611" i="1" s="1"/>
  <c r="I1610" i="1" l="1"/>
  <c r="K1610" i="1" s="1"/>
  <c r="M1610" i="1" s="1"/>
  <c r="F1611" i="1"/>
  <c r="J1612" i="1" s="1"/>
  <c r="I1611" i="1" l="1"/>
  <c r="K1611" i="1" s="1"/>
  <c r="M1611" i="1" s="1"/>
  <c r="F1612" i="1"/>
  <c r="J1613" i="1" s="1"/>
  <c r="I1612" i="1" l="1"/>
  <c r="K1612" i="1" s="1"/>
  <c r="M1612" i="1" s="1"/>
  <c r="F1613" i="1"/>
  <c r="J1614" i="1" s="1"/>
  <c r="I1613" i="1" l="1"/>
  <c r="K1613" i="1" s="1"/>
  <c r="M1613" i="1" s="1"/>
  <c r="F1614" i="1" l="1"/>
  <c r="J1615" i="1" s="1"/>
  <c r="I1614" i="1" l="1"/>
  <c r="K1614" i="1" s="1"/>
  <c r="M1614" i="1" s="1"/>
  <c r="F1615" i="1"/>
  <c r="J1616" i="1" s="1"/>
  <c r="I1615" i="1" l="1"/>
  <c r="K1615" i="1" s="1"/>
  <c r="M1615" i="1" s="1"/>
  <c r="F1616" i="1" l="1"/>
  <c r="J1617" i="1" s="1"/>
  <c r="I1616" i="1" l="1"/>
  <c r="K1616" i="1" s="1"/>
  <c r="M1616" i="1" s="1"/>
  <c r="F1617" i="1"/>
  <c r="J1618" i="1" s="1"/>
  <c r="I1617" i="1" l="1"/>
  <c r="K1617" i="1" s="1"/>
  <c r="M1617" i="1" s="1"/>
  <c r="F1618" i="1"/>
  <c r="J1619" i="1" s="1"/>
  <c r="I1618" i="1" l="1"/>
  <c r="K1618" i="1" s="1"/>
  <c r="M1618" i="1" s="1"/>
  <c r="F1619" i="1"/>
  <c r="J1620" i="1" s="1"/>
  <c r="I1619" i="1" l="1"/>
  <c r="K1619" i="1" s="1"/>
  <c r="M1619" i="1" s="1"/>
  <c r="F1620" i="1"/>
  <c r="J1621" i="1" s="1"/>
  <c r="I1620" i="1" l="1"/>
  <c r="K1620" i="1" s="1"/>
  <c r="M1620" i="1" s="1"/>
  <c r="F1621" i="1"/>
  <c r="J1622" i="1" s="1"/>
  <c r="I1621" i="1" l="1"/>
  <c r="K1621" i="1" s="1"/>
  <c r="M1621" i="1" s="1"/>
  <c r="F1622" i="1" l="1"/>
  <c r="J1623" i="1" s="1"/>
  <c r="I1622" i="1" l="1"/>
  <c r="K1622" i="1" s="1"/>
  <c r="M1622" i="1" s="1"/>
  <c r="F1623" i="1"/>
  <c r="J1624" i="1" s="1"/>
  <c r="I1623" i="1" l="1"/>
  <c r="K1623" i="1" s="1"/>
  <c r="M1623" i="1" s="1"/>
  <c r="F1624" i="1" l="1"/>
  <c r="J1625" i="1" s="1"/>
  <c r="I1624" i="1" l="1"/>
  <c r="K1624" i="1" s="1"/>
  <c r="M1624" i="1" s="1"/>
  <c r="F1625" i="1"/>
  <c r="J1626" i="1" s="1"/>
  <c r="I1625" i="1" l="1"/>
  <c r="K1625" i="1" s="1"/>
  <c r="M1625" i="1" s="1"/>
  <c r="F1626" i="1"/>
  <c r="J1627" i="1" s="1"/>
  <c r="I1626" i="1" l="1"/>
  <c r="K1626" i="1" s="1"/>
  <c r="M1626" i="1" s="1"/>
  <c r="F1627" i="1"/>
  <c r="J1628" i="1" s="1"/>
  <c r="I1627" i="1" l="1"/>
  <c r="K1627" i="1" s="1"/>
  <c r="M1627" i="1" s="1"/>
  <c r="F1628" i="1" l="1"/>
  <c r="J1629" i="1" s="1"/>
  <c r="I1628" i="1" l="1"/>
  <c r="K1628" i="1" s="1"/>
  <c r="M1628" i="1" s="1"/>
  <c r="F1629" i="1"/>
  <c r="J1630" i="1" s="1"/>
  <c r="I1629" i="1" l="1"/>
  <c r="K1629" i="1" s="1"/>
  <c r="M1629" i="1" s="1"/>
  <c r="F1630" i="1"/>
  <c r="J1631" i="1" s="1"/>
  <c r="I1630" i="1" l="1"/>
  <c r="K1630" i="1" s="1"/>
  <c r="M1630" i="1" s="1"/>
  <c r="F1631" i="1"/>
  <c r="J1632" i="1" s="1"/>
  <c r="I1631" i="1" l="1"/>
  <c r="K1631" i="1" s="1"/>
  <c r="M1631" i="1" s="1"/>
  <c r="F1632" i="1" l="1"/>
  <c r="J1633" i="1" s="1"/>
  <c r="I1632" i="1" l="1"/>
  <c r="K1632" i="1" s="1"/>
  <c r="M1632" i="1" s="1"/>
  <c r="F1633" i="1"/>
  <c r="J1634" i="1" s="1"/>
  <c r="I1633" i="1" l="1"/>
  <c r="K1633" i="1" s="1"/>
  <c r="M1633" i="1" s="1"/>
  <c r="F1634" i="1"/>
  <c r="J1635" i="1" s="1"/>
  <c r="I1634" i="1" l="1"/>
  <c r="K1634" i="1" s="1"/>
  <c r="M1634" i="1" s="1"/>
  <c r="F1635" i="1" l="1"/>
  <c r="J1636" i="1" s="1"/>
  <c r="I1635" i="1" l="1"/>
  <c r="K1635" i="1" s="1"/>
  <c r="M1635" i="1" s="1"/>
  <c r="F1636" i="1" l="1"/>
  <c r="J1637" i="1" s="1"/>
  <c r="I1636" i="1" l="1"/>
  <c r="K1636" i="1" s="1"/>
  <c r="M1636" i="1" s="1"/>
  <c r="F1637" i="1"/>
  <c r="J1638" i="1" s="1"/>
  <c r="I1637" i="1" l="1"/>
  <c r="K1637" i="1" s="1"/>
  <c r="M1637" i="1" s="1"/>
  <c r="F1638" i="1"/>
  <c r="J1639" i="1" s="1"/>
  <c r="I1638" i="1" l="1"/>
  <c r="K1638" i="1" s="1"/>
  <c r="M1638" i="1" s="1"/>
  <c r="F1639" i="1" l="1"/>
  <c r="J1640" i="1" s="1"/>
  <c r="I1639" i="1" l="1"/>
  <c r="K1639" i="1" s="1"/>
  <c r="M1639" i="1" s="1"/>
  <c r="F1640" i="1" l="1"/>
  <c r="J1641" i="1" s="1"/>
  <c r="I1640" i="1" l="1"/>
  <c r="K1640" i="1" s="1"/>
  <c r="M1640" i="1" s="1"/>
  <c r="F1641" i="1"/>
  <c r="J1642" i="1" s="1"/>
  <c r="I1641" i="1" l="1"/>
  <c r="K1641" i="1" s="1"/>
  <c r="M1641" i="1" s="1"/>
  <c r="F1642" i="1"/>
  <c r="J1643" i="1" s="1"/>
  <c r="I1642" i="1" l="1"/>
  <c r="K1642" i="1" s="1"/>
  <c r="M1642" i="1" s="1"/>
  <c r="F1643" i="1" l="1"/>
  <c r="J1644" i="1" s="1"/>
  <c r="I1643" i="1" l="1"/>
  <c r="K1643" i="1" s="1"/>
  <c r="M1643" i="1" s="1"/>
  <c r="F1644" i="1" l="1"/>
  <c r="J1645" i="1" s="1"/>
  <c r="I1644" i="1" l="1"/>
  <c r="K1644" i="1" s="1"/>
  <c r="M1644" i="1" s="1"/>
  <c r="F1645" i="1" l="1"/>
  <c r="J1646" i="1" s="1"/>
  <c r="I1645" i="1" l="1"/>
  <c r="K1645" i="1" s="1"/>
  <c r="M1645" i="1" s="1"/>
  <c r="F1646" i="1" l="1"/>
  <c r="J1647" i="1" s="1"/>
  <c r="I1646" i="1" l="1"/>
  <c r="K1646" i="1" s="1"/>
  <c r="M1646" i="1" s="1"/>
  <c r="F1647" i="1" l="1"/>
  <c r="J1648" i="1" s="1"/>
  <c r="I1647" i="1" l="1"/>
  <c r="K1647" i="1" s="1"/>
  <c r="M1647" i="1" s="1"/>
  <c r="F1648" i="1"/>
  <c r="J1649" i="1" s="1"/>
  <c r="I1648" i="1" l="1"/>
  <c r="K1648" i="1" s="1"/>
  <c r="M1648" i="1" s="1"/>
  <c r="F1649" i="1"/>
  <c r="J1650" i="1" s="1"/>
  <c r="I1649" i="1" l="1"/>
  <c r="K1649" i="1" s="1"/>
  <c r="M1649" i="1" s="1"/>
  <c r="F1650" i="1" l="1"/>
  <c r="J1651" i="1" s="1"/>
  <c r="I1650" i="1" l="1"/>
  <c r="K1650" i="1" s="1"/>
  <c r="M1650" i="1" s="1"/>
  <c r="F1651" i="1" l="1"/>
  <c r="J1652" i="1" s="1"/>
  <c r="I1651" i="1" l="1"/>
  <c r="K1651" i="1" s="1"/>
  <c r="M1651" i="1" s="1"/>
  <c r="F1652" i="1"/>
  <c r="J1653" i="1" s="1"/>
  <c r="I1652" i="1" l="1"/>
  <c r="K1652" i="1" s="1"/>
  <c r="M1652" i="1" s="1"/>
  <c r="F1653" i="1" l="1"/>
  <c r="J1654" i="1" s="1"/>
  <c r="I1653" i="1" l="1"/>
  <c r="K1653" i="1" s="1"/>
  <c r="M1653" i="1" s="1"/>
  <c r="F1654" i="1" l="1"/>
  <c r="J1655" i="1" s="1"/>
  <c r="I1654" i="1" l="1"/>
  <c r="K1654" i="1" s="1"/>
  <c r="M1654" i="1" s="1"/>
  <c r="F1655" i="1"/>
  <c r="J1656" i="1" s="1"/>
  <c r="I1655" i="1" l="1"/>
  <c r="K1655" i="1" s="1"/>
  <c r="M1655" i="1" s="1"/>
  <c r="F1656" i="1"/>
  <c r="J1657" i="1" s="1"/>
  <c r="I1656" i="1" l="1"/>
  <c r="K1656" i="1" s="1"/>
  <c r="M1656" i="1" s="1"/>
  <c r="F1657" i="1"/>
  <c r="J1658" i="1" s="1"/>
  <c r="I1657" i="1" l="1"/>
  <c r="K1657" i="1" s="1"/>
  <c r="M1657" i="1" s="1"/>
  <c r="F1658" i="1" l="1"/>
  <c r="J1659" i="1" s="1"/>
  <c r="F1659" i="1" l="1"/>
  <c r="J1660" i="1" s="1"/>
  <c r="I1658" i="1"/>
  <c r="K1658" i="1" s="1"/>
  <c r="M1658" i="1" s="1"/>
  <c r="I1659" i="1" l="1"/>
  <c r="K1659" i="1" s="1"/>
  <c r="M1659" i="1" s="1"/>
  <c r="F1660" i="1"/>
  <c r="J1661" i="1" s="1"/>
  <c r="I1660" i="1" l="1"/>
  <c r="K1660" i="1" s="1"/>
  <c r="M1660" i="1" s="1"/>
  <c r="F1661" i="1"/>
  <c r="J1662" i="1" s="1"/>
  <c r="I1661" i="1" l="1"/>
  <c r="K1661" i="1" s="1"/>
  <c r="M1661" i="1" s="1"/>
  <c r="F1662" i="1" l="1"/>
  <c r="J1663" i="1" s="1"/>
  <c r="I1662" i="1" l="1"/>
  <c r="K1662" i="1" s="1"/>
  <c r="M1662" i="1" s="1"/>
  <c r="F1663" i="1" l="1"/>
  <c r="J1664" i="1" s="1"/>
  <c r="I1663" i="1" l="1"/>
  <c r="K1663" i="1" s="1"/>
  <c r="M1663" i="1" s="1"/>
  <c r="F1664" i="1"/>
  <c r="J1665" i="1" s="1"/>
  <c r="I1664" i="1" l="1"/>
  <c r="K1664" i="1" s="1"/>
  <c r="M1664" i="1" s="1"/>
  <c r="F1665" i="1"/>
  <c r="J1666" i="1" s="1"/>
  <c r="I1665" i="1" l="1"/>
  <c r="K1665" i="1" s="1"/>
  <c r="M1665" i="1" s="1"/>
  <c r="F1666" i="1"/>
  <c r="J1667" i="1" s="1"/>
  <c r="I1666" i="1" l="1"/>
  <c r="K1666" i="1" s="1"/>
  <c r="M1666" i="1" s="1"/>
  <c r="F1667" i="1"/>
  <c r="J1668" i="1" s="1"/>
  <c r="I1667" i="1" l="1"/>
  <c r="K1667" i="1" s="1"/>
  <c r="M1667" i="1" s="1"/>
  <c r="F1668" i="1" l="1"/>
  <c r="J1669" i="1" s="1"/>
  <c r="I1668" i="1" l="1"/>
  <c r="K1668" i="1" s="1"/>
  <c r="M1668" i="1" s="1"/>
  <c r="F1669" i="1" l="1"/>
  <c r="J1670" i="1" s="1"/>
  <c r="I1669" i="1" l="1"/>
  <c r="K1669" i="1" s="1"/>
  <c r="M1669" i="1" s="1"/>
  <c r="F1670" i="1"/>
  <c r="J1671" i="1" s="1"/>
  <c r="I1670" i="1" l="1"/>
  <c r="K1670" i="1" s="1"/>
  <c r="M1670" i="1" s="1"/>
  <c r="F1671" i="1"/>
  <c r="J1672" i="1" s="1"/>
  <c r="I1671" i="1" l="1"/>
  <c r="K1671" i="1" s="1"/>
  <c r="M1671" i="1" s="1"/>
  <c r="F1672" i="1"/>
  <c r="J1673" i="1" s="1"/>
  <c r="I1672" i="1" l="1"/>
  <c r="K1672" i="1" s="1"/>
  <c r="M1672" i="1" s="1"/>
  <c r="F1673" i="1"/>
  <c r="J1674" i="1" s="1"/>
  <c r="I1673" i="1" l="1"/>
  <c r="K1673" i="1" s="1"/>
  <c r="M1673" i="1" s="1"/>
  <c r="F1674" i="1" l="1"/>
  <c r="J1675" i="1" s="1"/>
  <c r="I1674" i="1" l="1"/>
  <c r="K1674" i="1" s="1"/>
  <c r="M1674" i="1" s="1"/>
  <c r="F1675" i="1"/>
  <c r="J1676" i="1" s="1"/>
  <c r="I1675" i="1" l="1"/>
  <c r="K1675" i="1" s="1"/>
  <c r="M1675" i="1" s="1"/>
  <c r="F1676" i="1" l="1"/>
  <c r="J1677" i="1" s="1"/>
  <c r="I1676" i="1" l="1"/>
  <c r="K1676" i="1" s="1"/>
  <c r="M1676" i="1" s="1"/>
  <c r="F1677" i="1" l="1"/>
  <c r="J1678" i="1" s="1"/>
  <c r="I1677" i="1" l="1"/>
  <c r="K1677" i="1" s="1"/>
  <c r="M1677" i="1" s="1"/>
  <c r="F1678" i="1"/>
  <c r="J1679" i="1" s="1"/>
  <c r="I1678" i="1" l="1"/>
  <c r="K1678" i="1" s="1"/>
  <c r="M1678" i="1" s="1"/>
  <c r="F1679" i="1"/>
  <c r="J1680" i="1" s="1"/>
  <c r="I1679" i="1" l="1"/>
  <c r="K1679" i="1" s="1"/>
  <c r="M1679" i="1" s="1"/>
  <c r="F1680" i="1" l="1"/>
  <c r="J1681" i="1" s="1"/>
  <c r="I1680" i="1" l="1"/>
  <c r="K1680" i="1" s="1"/>
  <c r="M1680" i="1" s="1"/>
  <c r="F1681" i="1" l="1"/>
  <c r="J1682" i="1" s="1"/>
  <c r="I1681" i="1" l="1"/>
  <c r="K1681" i="1" s="1"/>
  <c r="M1681" i="1" s="1"/>
  <c r="F1682" i="1" l="1"/>
  <c r="J1683" i="1" s="1"/>
  <c r="I1682" i="1" l="1"/>
  <c r="K1682" i="1" s="1"/>
  <c r="M1682" i="1" s="1"/>
  <c r="F1683" i="1" l="1"/>
  <c r="J1684" i="1" s="1"/>
  <c r="I1683" i="1" l="1"/>
  <c r="K1683" i="1" s="1"/>
  <c r="M1683" i="1" s="1"/>
  <c r="F1684" i="1" l="1"/>
  <c r="J1685" i="1" s="1"/>
  <c r="I1684" i="1" l="1"/>
  <c r="K1684" i="1" s="1"/>
  <c r="M1684" i="1" s="1"/>
  <c r="F1685" i="1"/>
  <c r="J1686" i="1" s="1"/>
  <c r="I1685" i="1" l="1"/>
  <c r="K1685" i="1" s="1"/>
  <c r="M1685" i="1" s="1"/>
  <c r="F1686" i="1" l="1"/>
  <c r="J1687" i="1" s="1"/>
  <c r="I1686" i="1" l="1"/>
  <c r="K1686" i="1" s="1"/>
  <c r="M1686" i="1" s="1"/>
  <c r="F1687" i="1"/>
  <c r="J1688" i="1" s="1"/>
  <c r="I1687" i="1" l="1"/>
  <c r="K1687" i="1" s="1"/>
  <c r="M1687" i="1" s="1"/>
  <c r="F1688" i="1" l="1"/>
  <c r="J1689" i="1" s="1"/>
  <c r="I1688" i="1" l="1"/>
  <c r="K1688" i="1" s="1"/>
  <c r="M1688" i="1" s="1"/>
  <c r="F1689" i="1"/>
  <c r="J1690" i="1" s="1"/>
  <c r="I1689" i="1" l="1"/>
  <c r="K1689" i="1" s="1"/>
  <c r="M1689" i="1" s="1"/>
  <c r="F1690" i="1" l="1"/>
  <c r="J1691" i="1" s="1"/>
  <c r="I1690" i="1" l="1"/>
  <c r="K1690" i="1" s="1"/>
  <c r="M1690" i="1" s="1"/>
  <c r="F1691" i="1"/>
  <c r="J1692" i="1" s="1"/>
  <c r="I1691" i="1" l="1"/>
  <c r="K1691" i="1" s="1"/>
  <c r="M1691" i="1" s="1"/>
  <c r="F1692" i="1"/>
  <c r="J1693" i="1" s="1"/>
  <c r="I1692" i="1" l="1"/>
  <c r="K1692" i="1" s="1"/>
  <c r="M1692" i="1" s="1"/>
  <c r="F1693" i="1" l="1"/>
  <c r="J1694" i="1" s="1"/>
  <c r="I1693" i="1" l="1"/>
  <c r="K1693" i="1" s="1"/>
  <c r="M1693" i="1" s="1"/>
  <c r="F1694" i="1" l="1"/>
  <c r="J1695" i="1" s="1"/>
  <c r="I1694" i="1" l="1"/>
  <c r="K1694" i="1" s="1"/>
  <c r="M1694" i="1" s="1"/>
  <c r="F1695" i="1"/>
  <c r="J1696" i="1" s="1"/>
  <c r="I1695" i="1" l="1"/>
  <c r="K1695" i="1" s="1"/>
  <c r="M1695" i="1" s="1"/>
  <c r="F1696" i="1" l="1"/>
  <c r="J1697" i="1" s="1"/>
  <c r="I1696" i="1" l="1"/>
  <c r="K1696" i="1" s="1"/>
  <c r="M1696" i="1" s="1"/>
  <c r="F1697" i="1"/>
  <c r="J1698" i="1" s="1"/>
  <c r="I1697" i="1" l="1"/>
  <c r="K1697" i="1" s="1"/>
  <c r="M1697" i="1" s="1"/>
  <c r="F1698" i="1" l="1"/>
  <c r="J1699" i="1" s="1"/>
  <c r="I1698" i="1" l="1"/>
  <c r="K1698" i="1" s="1"/>
  <c r="M1698" i="1" s="1"/>
  <c r="F1699" i="1" l="1"/>
  <c r="J1700" i="1" s="1"/>
  <c r="I1699" i="1" l="1"/>
  <c r="K1699" i="1" s="1"/>
  <c r="M1699" i="1" s="1"/>
  <c r="F1700" i="1" l="1"/>
  <c r="J1701" i="1" s="1"/>
  <c r="I1700" i="1" l="1"/>
  <c r="K1700" i="1" s="1"/>
  <c r="M1700" i="1" s="1"/>
  <c r="F1701" i="1"/>
  <c r="J1702" i="1" s="1"/>
  <c r="I1701" i="1" l="1"/>
  <c r="K1701" i="1" s="1"/>
  <c r="M1701" i="1" s="1"/>
  <c r="F1702" i="1" l="1"/>
  <c r="J1703" i="1" s="1"/>
  <c r="I1702" i="1" l="1"/>
  <c r="K1702" i="1" s="1"/>
  <c r="M1702" i="1" s="1"/>
  <c r="F1703" i="1"/>
  <c r="J1704" i="1" s="1"/>
  <c r="I1703" i="1" l="1"/>
  <c r="K1703" i="1" s="1"/>
  <c r="M1703" i="1" s="1"/>
  <c r="F1704" i="1" l="1"/>
  <c r="J1705" i="1" s="1"/>
  <c r="I1704" i="1" l="1"/>
  <c r="K1704" i="1" s="1"/>
  <c r="M1704" i="1" s="1"/>
  <c r="F1705" i="1"/>
  <c r="J1706" i="1" s="1"/>
  <c r="I1705" i="1" l="1"/>
  <c r="K1705" i="1" s="1"/>
  <c r="M1705" i="1" s="1"/>
  <c r="F1706" i="1" l="1"/>
  <c r="J1707" i="1" s="1"/>
  <c r="I1706" i="1" l="1"/>
  <c r="K1706" i="1" s="1"/>
  <c r="M1706" i="1" s="1"/>
  <c r="F1707" i="1" l="1"/>
  <c r="J1708" i="1" s="1"/>
  <c r="I1707" i="1" l="1"/>
  <c r="K1707" i="1" s="1"/>
  <c r="M1707" i="1" s="1"/>
  <c r="F1708" i="1" l="1"/>
  <c r="J1709" i="1" s="1"/>
  <c r="I1708" i="1" l="1"/>
  <c r="K1708" i="1" s="1"/>
  <c r="M1708" i="1" s="1"/>
  <c r="F1709" i="1" l="1"/>
  <c r="J1710" i="1" s="1"/>
  <c r="F1710" i="1" l="1"/>
  <c r="I1709" i="1"/>
  <c r="K1709" i="1" s="1"/>
  <c r="M1709" i="1" s="1"/>
  <c r="J1711" i="1" l="1"/>
  <c r="I1710" i="1"/>
  <c r="K1710" i="1" s="1"/>
  <c r="M1710" i="1" s="1"/>
  <c r="F1711" i="1"/>
  <c r="J1712" i="1" s="1"/>
  <c r="I1711" i="1" l="1"/>
  <c r="K1711" i="1" s="1"/>
  <c r="M1711" i="1" s="1"/>
  <c r="F1712" i="1" l="1"/>
  <c r="J1713" i="1" s="1"/>
  <c r="I1712" i="1" l="1"/>
  <c r="K1712" i="1" s="1"/>
  <c r="M1712" i="1" s="1"/>
  <c r="F1713" i="1" l="1"/>
  <c r="J1714" i="1" s="1"/>
  <c r="I1713" i="1" l="1"/>
  <c r="K1713" i="1" s="1"/>
  <c r="M1713" i="1" s="1"/>
  <c r="F1714" i="1"/>
  <c r="J1715" i="1" s="1"/>
  <c r="I1714" i="1" l="1"/>
  <c r="K1714" i="1" s="1"/>
  <c r="M1714" i="1" s="1"/>
  <c r="F1715" i="1"/>
  <c r="J1716" i="1" s="1"/>
  <c r="I1715" i="1" l="1"/>
  <c r="K1715" i="1" s="1"/>
  <c r="M1715" i="1" s="1"/>
  <c r="F1716" i="1" l="1"/>
  <c r="J1717" i="1" s="1"/>
  <c r="I1716" i="1" l="1"/>
  <c r="K1716" i="1" s="1"/>
  <c r="M1716" i="1" s="1"/>
  <c r="F1717" i="1"/>
  <c r="J1718" i="1" s="1"/>
  <c r="I1717" i="1" l="1"/>
  <c r="K1717" i="1" s="1"/>
  <c r="M1717" i="1" s="1"/>
  <c r="F1718" i="1"/>
  <c r="J1719" i="1" s="1"/>
  <c r="I1718" i="1" l="1"/>
  <c r="K1718" i="1" s="1"/>
  <c r="M1718" i="1" s="1"/>
  <c r="F1719" i="1"/>
  <c r="J1720" i="1" s="1"/>
  <c r="I1719" i="1" l="1"/>
  <c r="K1719" i="1" s="1"/>
  <c r="M1719" i="1" s="1"/>
  <c r="F1720" i="1" l="1"/>
  <c r="J1721" i="1" s="1"/>
  <c r="I1720" i="1" l="1"/>
  <c r="K1720" i="1" s="1"/>
  <c r="M1720" i="1" s="1"/>
  <c r="F1721" i="1"/>
  <c r="J1722" i="1" s="1"/>
  <c r="I1721" i="1" l="1"/>
  <c r="K1721" i="1" s="1"/>
  <c r="M1721" i="1" s="1"/>
  <c r="F1722" i="1" l="1"/>
  <c r="J1723" i="1" s="1"/>
  <c r="I1722" i="1" l="1"/>
  <c r="K1722" i="1" s="1"/>
  <c r="M1722" i="1" s="1"/>
  <c r="F1723" i="1" l="1"/>
  <c r="J1724" i="1" s="1"/>
  <c r="I1723" i="1" l="1"/>
  <c r="K1723" i="1" s="1"/>
  <c r="M1723" i="1" s="1"/>
  <c r="F1724" i="1"/>
  <c r="J1725" i="1" s="1"/>
  <c r="I1724" i="1" l="1"/>
  <c r="K1724" i="1" s="1"/>
  <c r="M1724" i="1" s="1"/>
  <c r="F1725" i="1"/>
  <c r="J1726" i="1" s="1"/>
  <c r="I1725" i="1" l="1"/>
  <c r="K1725" i="1" s="1"/>
  <c r="M1725" i="1" s="1"/>
  <c r="F1726" i="1"/>
  <c r="J1727" i="1" s="1"/>
  <c r="I1726" i="1" l="1"/>
  <c r="K1726" i="1" s="1"/>
  <c r="M1726" i="1" s="1"/>
  <c r="F1727" i="1" l="1"/>
  <c r="J1728" i="1" s="1"/>
  <c r="I1727" i="1" l="1"/>
  <c r="K1727" i="1" s="1"/>
  <c r="M1727" i="1" s="1"/>
  <c r="F1728" i="1"/>
  <c r="J1729" i="1" s="1"/>
  <c r="I1728" i="1" l="1"/>
  <c r="K1728" i="1" s="1"/>
  <c r="M1728" i="1" s="1"/>
  <c r="F1729" i="1" l="1"/>
  <c r="J1730" i="1" s="1"/>
  <c r="F1730" i="1" l="1"/>
  <c r="J1731" i="1" s="1"/>
  <c r="I1729" i="1"/>
  <c r="K1729" i="1" s="1"/>
  <c r="M1729" i="1" s="1"/>
  <c r="I1730" i="1" l="1"/>
  <c r="K1730" i="1" s="1"/>
  <c r="M1730" i="1" s="1"/>
  <c r="F1731" i="1"/>
  <c r="J1732" i="1" s="1"/>
  <c r="I1731" i="1" l="1"/>
  <c r="K1731" i="1" s="1"/>
  <c r="M1731" i="1" s="1"/>
  <c r="F1732" i="1"/>
  <c r="J1733" i="1" s="1"/>
  <c r="I1732" i="1" l="1"/>
  <c r="K1732" i="1" s="1"/>
  <c r="M1732" i="1" s="1"/>
  <c r="F1733" i="1" l="1"/>
  <c r="J1734" i="1" s="1"/>
  <c r="I1733" i="1" l="1"/>
  <c r="K1733" i="1" s="1"/>
  <c r="M1733" i="1" s="1"/>
  <c r="F1734" i="1"/>
  <c r="J1735" i="1" s="1"/>
  <c r="I1734" i="1" l="1"/>
  <c r="K1734" i="1" s="1"/>
  <c r="M1734" i="1" s="1"/>
  <c r="F1735" i="1" l="1"/>
  <c r="J1736" i="1" s="1"/>
  <c r="I1735" i="1" l="1"/>
  <c r="K1735" i="1" s="1"/>
  <c r="M1735" i="1" s="1"/>
  <c r="F1736" i="1" l="1"/>
  <c r="J1737" i="1" s="1"/>
  <c r="I1736" i="1" l="1"/>
  <c r="K1736" i="1" s="1"/>
  <c r="M1736" i="1" s="1"/>
  <c r="F1737" i="1"/>
  <c r="J1738" i="1" s="1"/>
  <c r="I1737" i="1" l="1"/>
  <c r="K1737" i="1" s="1"/>
  <c r="M1737" i="1" s="1"/>
  <c r="F1738" i="1"/>
  <c r="J1739" i="1" s="1"/>
  <c r="I1738" i="1" l="1"/>
  <c r="K1738" i="1" s="1"/>
  <c r="M1738" i="1" s="1"/>
  <c r="F1739" i="1" l="1"/>
  <c r="J1740" i="1" s="1"/>
  <c r="I1739" i="1" l="1"/>
  <c r="K1739" i="1" s="1"/>
  <c r="M1739" i="1" s="1"/>
  <c r="F1740" i="1"/>
  <c r="J1741" i="1" s="1"/>
  <c r="I1740" i="1" l="1"/>
  <c r="K1740" i="1" s="1"/>
  <c r="M1740" i="1" s="1"/>
  <c r="F1741" i="1" l="1"/>
  <c r="J1742" i="1" s="1"/>
  <c r="I1741" i="1" l="1"/>
  <c r="K1741" i="1" s="1"/>
  <c r="M1741" i="1" s="1"/>
  <c r="F1742" i="1"/>
  <c r="J1743" i="1" s="1"/>
  <c r="I1742" i="1" l="1"/>
  <c r="K1742" i="1" s="1"/>
  <c r="M1742" i="1" s="1"/>
  <c r="F1743" i="1"/>
  <c r="J1744" i="1" s="1"/>
  <c r="I1743" i="1" l="1"/>
  <c r="K1743" i="1" s="1"/>
  <c r="M1743" i="1" s="1"/>
  <c r="F1744" i="1" l="1"/>
  <c r="J1745" i="1" s="1"/>
  <c r="I1744" i="1" l="1"/>
  <c r="K1744" i="1" s="1"/>
  <c r="M1744" i="1" s="1"/>
  <c r="F1745" i="1"/>
  <c r="J1746" i="1" s="1"/>
  <c r="I1745" i="1" l="1"/>
  <c r="K1745" i="1" s="1"/>
  <c r="M1745" i="1" s="1"/>
  <c r="F1746" i="1" l="1"/>
  <c r="J1747" i="1" s="1"/>
  <c r="I1746" i="1" l="1"/>
  <c r="K1746" i="1" s="1"/>
  <c r="M1746" i="1" s="1"/>
  <c r="F1747" i="1"/>
  <c r="J1748" i="1" s="1"/>
  <c r="I1747" i="1" l="1"/>
  <c r="K1747" i="1" s="1"/>
  <c r="M1747" i="1" s="1"/>
  <c r="F1748" i="1"/>
  <c r="J1749" i="1" s="1"/>
  <c r="I1748" i="1" l="1"/>
  <c r="K1748" i="1" s="1"/>
  <c r="M1748" i="1" s="1"/>
  <c r="F1749" i="1" l="1"/>
  <c r="J1750" i="1" s="1"/>
  <c r="I1749" i="1" l="1"/>
  <c r="K1749" i="1" s="1"/>
  <c r="M1749" i="1" s="1"/>
  <c r="F1750" i="1"/>
  <c r="J1751" i="1" s="1"/>
  <c r="I1750" i="1" l="1"/>
  <c r="K1750" i="1" s="1"/>
  <c r="M1750" i="1" s="1"/>
  <c r="F1751" i="1" l="1"/>
  <c r="J1752" i="1" s="1"/>
  <c r="I1751" i="1" l="1"/>
  <c r="K1751" i="1" s="1"/>
  <c r="M1751" i="1" s="1"/>
  <c r="F1752" i="1" l="1"/>
  <c r="J1753" i="1" s="1"/>
  <c r="I1752" i="1" l="1"/>
  <c r="K1752" i="1" s="1"/>
  <c r="M1752" i="1" s="1"/>
  <c r="F1753" i="1"/>
  <c r="J1754" i="1" s="1"/>
  <c r="I1753" i="1" l="1"/>
  <c r="K1753" i="1" s="1"/>
  <c r="M1753" i="1" s="1"/>
  <c r="F1754" i="1" l="1"/>
  <c r="J1755" i="1" s="1"/>
  <c r="I1754" i="1" l="1"/>
  <c r="K1754" i="1" s="1"/>
  <c r="M1754" i="1" s="1"/>
  <c r="F1755" i="1"/>
  <c r="J1756" i="1" s="1"/>
  <c r="I1755" i="1" l="1"/>
  <c r="K1755" i="1" s="1"/>
  <c r="M1755" i="1" s="1"/>
  <c r="F1756" i="1"/>
  <c r="J1757" i="1" s="1"/>
  <c r="I1756" i="1" l="1"/>
  <c r="K1756" i="1" s="1"/>
  <c r="M1756" i="1" s="1"/>
  <c r="F1757" i="1"/>
  <c r="J1758" i="1" s="1"/>
  <c r="I1757" i="1" l="1"/>
  <c r="K1757" i="1" s="1"/>
  <c r="M1757" i="1" s="1"/>
  <c r="F1758" i="1"/>
  <c r="J1759" i="1" s="1"/>
  <c r="I1758" i="1" l="1"/>
  <c r="K1758" i="1" s="1"/>
  <c r="M1758" i="1" s="1"/>
  <c r="F1759" i="1" l="1"/>
  <c r="J1760" i="1" s="1"/>
  <c r="I1759" i="1" l="1"/>
  <c r="K1759" i="1" s="1"/>
  <c r="M1759" i="1" s="1"/>
  <c r="F1760" i="1" l="1"/>
  <c r="J1761" i="1" s="1"/>
  <c r="I1760" i="1" l="1"/>
  <c r="K1760" i="1" s="1"/>
  <c r="M1760" i="1" s="1"/>
  <c r="F1761" i="1"/>
  <c r="J1762" i="1" s="1"/>
  <c r="I1761" i="1" l="1"/>
  <c r="K1761" i="1" s="1"/>
  <c r="M1761" i="1" s="1"/>
  <c r="F1762" i="1"/>
  <c r="J1763" i="1" s="1"/>
  <c r="I1762" i="1" l="1"/>
  <c r="K1762" i="1" s="1"/>
  <c r="M1762" i="1" s="1"/>
  <c r="F1763" i="1"/>
  <c r="J1764" i="1" s="1"/>
  <c r="I1763" i="1" l="1"/>
  <c r="K1763" i="1" s="1"/>
  <c r="M1763" i="1" s="1"/>
  <c r="F1764" i="1"/>
  <c r="J1765" i="1" s="1"/>
  <c r="I1764" i="1" l="1"/>
  <c r="K1764" i="1" s="1"/>
  <c r="M1764" i="1" s="1"/>
  <c r="F1765" i="1" l="1"/>
  <c r="J1766" i="1" s="1"/>
  <c r="I1765" i="1" l="1"/>
  <c r="K1765" i="1" s="1"/>
  <c r="M1765" i="1" s="1"/>
  <c r="F1766" i="1" l="1"/>
  <c r="J1767" i="1" s="1"/>
  <c r="I1766" i="1" l="1"/>
  <c r="K1766" i="1" s="1"/>
  <c r="M1766" i="1" s="1"/>
  <c r="F1767" i="1" l="1"/>
  <c r="J1768" i="1" s="1"/>
  <c r="I1767" i="1" l="1"/>
  <c r="K1767" i="1" s="1"/>
  <c r="M1767" i="1" s="1"/>
  <c r="F1768" i="1"/>
  <c r="J1769" i="1" s="1"/>
  <c r="I1768" i="1" l="1"/>
  <c r="K1768" i="1" s="1"/>
  <c r="M1768" i="1" s="1"/>
  <c r="F1769" i="1" l="1"/>
  <c r="J1770" i="1" s="1"/>
  <c r="I1769" i="1" l="1"/>
  <c r="K1769" i="1" s="1"/>
  <c r="M1769" i="1" s="1"/>
  <c r="F1770" i="1" l="1"/>
  <c r="J1771" i="1" s="1"/>
  <c r="I1770" i="1" l="1"/>
  <c r="K1770" i="1" s="1"/>
  <c r="M1770" i="1" s="1"/>
  <c r="F1771" i="1" l="1"/>
  <c r="J1772" i="1" s="1"/>
  <c r="I1771" i="1" l="1"/>
  <c r="K1771" i="1" s="1"/>
  <c r="M1771" i="1" s="1"/>
  <c r="F1772" i="1"/>
  <c r="J1773" i="1" s="1"/>
  <c r="I1772" i="1" l="1"/>
  <c r="K1772" i="1" s="1"/>
  <c r="M1772" i="1" s="1"/>
  <c r="F1773" i="1" l="1"/>
  <c r="J1774" i="1" s="1"/>
  <c r="I1773" i="1" l="1"/>
  <c r="K1773" i="1" s="1"/>
  <c r="M1773" i="1" s="1"/>
  <c r="F1774" i="1" l="1"/>
  <c r="J1775" i="1" s="1"/>
  <c r="I1774" i="1" l="1"/>
  <c r="K1774" i="1" s="1"/>
  <c r="M1774" i="1" s="1"/>
  <c r="F1775" i="1"/>
  <c r="J1776" i="1" s="1"/>
  <c r="I1775" i="1" l="1"/>
  <c r="K1775" i="1" s="1"/>
  <c r="M1775" i="1" s="1"/>
  <c r="F1776" i="1"/>
  <c r="J1777" i="1" s="1"/>
  <c r="I1776" i="1" l="1"/>
  <c r="K1776" i="1" s="1"/>
  <c r="M1776" i="1" s="1"/>
  <c r="F1777" i="1"/>
  <c r="J1778" i="1" s="1"/>
  <c r="I1777" i="1" l="1"/>
  <c r="K1777" i="1" s="1"/>
  <c r="M1777" i="1" s="1"/>
  <c r="F1778" i="1" l="1"/>
  <c r="J1779" i="1" s="1"/>
  <c r="I1778" i="1" l="1"/>
  <c r="K1778" i="1" s="1"/>
  <c r="M1778" i="1" s="1"/>
  <c r="F1779" i="1" l="1"/>
  <c r="J1780" i="1" s="1"/>
  <c r="I1779" i="1" l="1"/>
  <c r="K1779" i="1" s="1"/>
  <c r="M1779" i="1" s="1"/>
  <c r="F1780" i="1" l="1"/>
  <c r="J1781" i="1" s="1"/>
  <c r="I1780" i="1" l="1"/>
  <c r="K1780" i="1" s="1"/>
  <c r="M1780" i="1" s="1"/>
  <c r="F1781" i="1"/>
  <c r="J1782" i="1" s="1"/>
  <c r="I1781" i="1" l="1"/>
  <c r="K1781" i="1" s="1"/>
  <c r="M1781" i="1" s="1"/>
  <c r="F1782" i="1" l="1"/>
  <c r="J1783" i="1" s="1"/>
  <c r="I1782" i="1" l="1"/>
  <c r="K1782" i="1" s="1"/>
  <c r="M1782" i="1" s="1"/>
  <c r="F1783" i="1"/>
  <c r="J1784" i="1" s="1"/>
  <c r="I1783" i="1" l="1"/>
  <c r="K1783" i="1" s="1"/>
  <c r="M1783" i="1" s="1"/>
  <c r="F1784" i="1" l="1"/>
  <c r="J1785" i="1" s="1"/>
  <c r="I1784" i="1" l="1"/>
  <c r="K1784" i="1" s="1"/>
  <c r="M1784" i="1" s="1"/>
  <c r="F1785" i="1"/>
  <c r="J1786" i="1" s="1"/>
  <c r="I1785" i="1" l="1"/>
  <c r="K1785" i="1" s="1"/>
  <c r="M1785" i="1" s="1"/>
  <c r="F1786" i="1" l="1"/>
  <c r="J1787" i="1" s="1"/>
  <c r="I1786" i="1" l="1"/>
  <c r="K1786" i="1" s="1"/>
  <c r="M1786" i="1" s="1"/>
  <c r="F1787" i="1" l="1"/>
  <c r="J1788" i="1" s="1"/>
  <c r="I1787" i="1" l="1"/>
  <c r="K1787" i="1" s="1"/>
  <c r="M1787" i="1" s="1"/>
  <c r="F1788" i="1"/>
  <c r="J1789" i="1" s="1"/>
  <c r="I1788" i="1" l="1"/>
  <c r="K1788" i="1" s="1"/>
  <c r="M1788" i="1" s="1"/>
  <c r="F1789" i="1" l="1"/>
  <c r="J1790" i="1" s="1"/>
  <c r="I1789" i="1" l="1"/>
  <c r="K1789" i="1" s="1"/>
  <c r="M1789" i="1" s="1"/>
  <c r="F1790" i="1" l="1"/>
  <c r="J1791" i="1" s="1"/>
  <c r="I1790" i="1" l="1"/>
  <c r="K1790" i="1" s="1"/>
  <c r="M1790" i="1" s="1"/>
  <c r="F1791" i="1" l="1"/>
  <c r="J1792" i="1" s="1"/>
  <c r="I1791" i="1" l="1"/>
  <c r="K1791" i="1" s="1"/>
  <c r="M1791" i="1" s="1"/>
  <c r="F1792" i="1" l="1"/>
  <c r="J1793" i="1" s="1"/>
  <c r="I1792" i="1" l="1"/>
  <c r="K1792" i="1" s="1"/>
  <c r="M1792" i="1" s="1"/>
  <c r="F1793" i="1" l="1"/>
  <c r="J1794" i="1" s="1"/>
  <c r="I1793" i="1" l="1"/>
  <c r="K1793" i="1" s="1"/>
  <c r="M1793" i="1" s="1"/>
  <c r="F1794" i="1"/>
  <c r="J1795" i="1" s="1"/>
  <c r="I1794" i="1" l="1"/>
  <c r="K1794" i="1" s="1"/>
  <c r="M1794" i="1" s="1"/>
  <c r="F1795" i="1"/>
  <c r="J1796" i="1" s="1"/>
  <c r="I1795" i="1" l="1"/>
  <c r="K1795" i="1" s="1"/>
  <c r="M1795" i="1" s="1"/>
  <c r="F1796" i="1"/>
  <c r="J1797" i="1" s="1"/>
  <c r="I1796" i="1" l="1"/>
  <c r="K1796" i="1" s="1"/>
  <c r="M1796" i="1" s="1"/>
  <c r="F1797" i="1" l="1"/>
  <c r="J1798" i="1" s="1"/>
  <c r="I1797" i="1" l="1"/>
  <c r="K1797" i="1" s="1"/>
  <c r="M1797" i="1" s="1"/>
  <c r="F1798" i="1"/>
  <c r="J1799" i="1" s="1"/>
  <c r="I1798" i="1" l="1"/>
  <c r="K1798" i="1" s="1"/>
  <c r="M1798" i="1" s="1"/>
  <c r="F1799" i="1" l="1"/>
  <c r="J1800" i="1" s="1"/>
  <c r="I1799" i="1" l="1"/>
  <c r="K1799" i="1" s="1"/>
  <c r="M1799" i="1" s="1"/>
  <c r="F1800" i="1" l="1"/>
  <c r="J1801" i="1" s="1"/>
  <c r="I1800" i="1" l="1"/>
  <c r="K1800" i="1" s="1"/>
  <c r="M1800" i="1" s="1"/>
  <c r="F1801" i="1" l="1"/>
  <c r="J1802" i="1" s="1"/>
  <c r="I1801" i="1" l="1"/>
  <c r="K1801" i="1" s="1"/>
  <c r="M1801" i="1" s="1"/>
  <c r="F1802" i="1" l="1"/>
  <c r="J1803" i="1" s="1"/>
  <c r="I1802" i="1" l="1"/>
  <c r="K1802" i="1" s="1"/>
  <c r="M1802" i="1" s="1"/>
  <c r="F1803" i="1" l="1"/>
  <c r="J1804" i="1" s="1"/>
  <c r="I1803" i="1" l="1"/>
  <c r="K1803" i="1" s="1"/>
  <c r="M1803" i="1" s="1"/>
  <c r="F1804" i="1" l="1"/>
  <c r="J1805" i="1" s="1"/>
  <c r="I1804" i="1" l="1"/>
  <c r="K1804" i="1" s="1"/>
  <c r="M1804" i="1" s="1"/>
  <c r="F1805" i="1"/>
  <c r="J1806" i="1" s="1"/>
  <c r="I1805" i="1" l="1"/>
  <c r="K1805" i="1" s="1"/>
  <c r="M1805" i="1" s="1"/>
  <c r="F1806" i="1"/>
  <c r="J1807" i="1" s="1"/>
  <c r="I1806" i="1" l="1"/>
  <c r="K1806" i="1" s="1"/>
  <c r="M1806" i="1" s="1"/>
  <c r="F1807" i="1" l="1"/>
  <c r="J1808" i="1" s="1"/>
  <c r="I1807" i="1" l="1"/>
  <c r="K1807" i="1" s="1"/>
  <c r="M1807" i="1" s="1"/>
  <c r="F1808" i="1" l="1"/>
  <c r="J1809" i="1" s="1"/>
  <c r="I1808" i="1" l="1"/>
  <c r="K1808" i="1" s="1"/>
  <c r="M1808" i="1" s="1"/>
  <c r="F1809" i="1"/>
  <c r="J1810" i="1" s="1"/>
  <c r="I1809" i="1" l="1"/>
  <c r="K1809" i="1" s="1"/>
  <c r="M1809" i="1" s="1"/>
  <c r="F1810" i="1" l="1"/>
  <c r="J1811" i="1" s="1"/>
  <c r="I1810" i="1" l="1"/>
  <c r="K1810" i="1" s="1"/>
  <c r="M1810" i="1" s="1"/>
  <c r="F1811" i="1"/>
  <c r="J1812" i="1" s="1"/>
  <c r="I1811" i="1" l="1"/>
  <c r="K1811" i="1" s="1"/>
  <c r="M1811" i="1" s="1"/>
  <c r="F1812" i="1" l="1"/>
  <c r="J1813" i="1" s="1"/>
  <c r="I1812" i="1" l="1"/>
  <c r="K1812" i="1" s="1"/>
  <c r="M1812" i="1" s="1"/>
  <c r="F1813" i="1"/>
  <c r="J1814" i="1" s="1"/>
  <c r="I1813" i="1" l="1"/>
  <c r="K1813" i="1" s="1"/>
  <c r="M1813" i="1" s="1"/>
  <c r="F1814" i="1" l="1"/>
  <c r="J1815" i="1" s="1"/>
  <c r="I1814" i="1" l="1"/>
  <c r="K1814" i="1" s="1"/>
  <c r="M1814" i="1" s="1"/>
  <c r="F1815" i="1"/>
  <c r="J1816" i="1" s="1"/>
  <c r="I1815" i="1" l="1"/>
  <c r="K1815" i="1" s="1"/>
  <c r="M1815" i="1" s="1"/>
  <c r="F1816" i="1"/>
  <c r="J1817" i="1" s="1"/>
  <c r="I1816" i="1" l="1"/>
  <c r="K1816" i="1" s="1"/>
  <c r="M1816" i="1" s="1"/>
  <c r="F1817" i="1"/>
  <c r="J1818" i="1" s="1"/>
  <c r="I1817" i="1" l="1"/>
  <c r="K1817" i="1" s="1"/>
  <c r="M1817" i="1" s="1"/>
  <c r="F1818" i="1"/>
  <c r="J1819" i="1" s="1"/>
  <c r="I1818" i="1" l="1"/>
  <c r="K1818" i="1" s="1"/>
  <c r="M1818" i="1" s="1"/>
  <c r="F1819" i="1"/>
  <c r="J1820" i="1" s="1"/>
  <c r="I1819" i="1" l="1"/>
  <c r="K1819" i="1" s="1"/>
  <c r="M1819" i="1" s="1"/>
  <c r="F1820" i="1" l="1"/>
  <c r="J1821" i="1" s="1"/>
  <c r="I1820" i="1" l="1"/>
  <c r="K1820" i="1" s="1"/>
  <c r="M1820" i="1" s="1"/>
  <c r="F1821" i="1"/>
  <c r="J1822" i="1" s="1"/>
  <c r="I1821" i="1" l="1"/>
  <c r="K1821" i="1" s="1"/>
  <c r="M1821" i="1" s="1"/>
  <c r="F1822" i="1" l="1"/>
  <c r="J1823" i="1" s="1"/>
  <c r="I1822" i="1" l="1"/>
  <c r="K1822" i="1" s="1"/>
  <c r="M1822" i="1" s="1"/>
  <c r="F1823" i="1"/>
  <c r="J1824" i="1" s="1"/>
  <c r="I1823" i="1" l="1"/>
  <c r="K1823" i="1" s="1"/>
  <c r="M1823" i="1" s="1"/>
  <c r="F1824" i="1" l="1"/>
  <c r="J1825" i="1" s="1"/>
  <c r="I1824" i="1" l="1"/>
  <c r="K1824" i="1" s="1"/>
  <c r="M1824" i="1" s="1"/>
  <c r="F1825" i="1"/>
  <c r="J1826" i="1" s="1"/>
  <c r="I1825" i="1" l="1"/>
  <c r="K1825" i="1" s="1"/>
  <c r="M1825" i="1" s="1"/>
  <c r="F1826" i="1" l="1"/>
  <c r="J1827" i="1" s="1"/>
  <c r="I1826" i="1" l="1"/>
  <c r="K1826" i="1" s="1"/>
  <c r="M1826" i="1" s="1"/>
  <c r="F1827" i="1"/>
  <c r="J1828" i="1" s="1"/>
  <c r="I1827" i="1" l="1"/>
  <c r="K1827" i="1" s="1"/>
  <c r="M1827" i="1" s="1"/>
  <c r="F1828" i="1" l="1"/>
  <c r="J1829" i="1" s="1"/>
  <c r="I1828" i="1" l="1"/>
  <c r="K1828" i="1" s="1"/>
  <c r="M1828" i="1" s="1"/>
  <c r="F1829" i="1"/>
  <c r="J1830" i="1" s="1"/>
  <c r="I1829" i="1" l="1"/>
  <c r="K1829" i="1" s="1"/>
  <c r="M1829" i="1" s="1"/>
  <c r="F1830" i="1" l="1"/>
  <c r="J1831" i="1" s="1"/>
  <c r="I1830" i="1" l="1"/>
  <c r="K1830" i="1" s="1"/>
  <c r="M1830" i="1" s="1"/>
  <c r="F1831" i="1"/>
  <c r="J1832" i="1" s="1"/>
  <c r="I1831" i="1" l="1"/>
  <c r="K1831" i="1" s="1"/>
  <c r="M1831" i="1" s="1"/>
  <c r="F1832" i="1" l="1"/>
  <c r="J1833" i="1" s="1"/>
  <c r="I1832" i="1" l="1"/>
  <c r="K1832" i="1" s="1"/>
  <c r="M1832" i="1" s="1"/>
  <c r="F1833" i="1"/>
  <c r="J1834" i="1" s="1"/>
  <c r="I1833" i="1" l="1"/>
  <c r="K1833" i="1" s="1"/>
  <c r="M1833" i="1" s="1"/>
  <c r="F1834" i="1"/>
  <c r="J1835" i="1" s="1"/>
  <c r="I1834" i="1" l="1"/>
  <c r="K1834" i="1" s="1"/>
  <c r="M1834" i="1" s="1"/>
  <c r="F1835" i="1"/>
  <c r="J1836" i="1" s="1"/>
  <c r="I1835" i="1" l="1"/>
  <c r="K1835" i="1" s="1"/>
  <c r="M1835" i="1" s="1"/>
  <c r="F1836" i="1" l="1"/>
  <c r="J1837" i="1" s="1"/>
  <c r="I1836" i="1" l="1"/>
  <c r="K1836" i="1" s="1"/>
  <c r="M1836" i="1" s="1"/>
  <c r="F1837" i="1"/>
  <c r="J1838" i="1" s="1"/>
  <c r="I1837" i="1" l="1"/>
  <c r="K1837" i="1" s="1"/>
  <c r="M1837" i="1" s="1"/>
  <c r="F1838" i="1" l="1"/>
  <c r="J1839" i="1" s="1"/>
  <c r="I1838" i="1" l="1"/>
  <c r="K1838" i="1" s="1"/>
  <c r="M1838" i="1" s="1"/>
  <c r="F1839" i="1"/>
  <c r="J1840" i="1" s="1"/>
  <c r="I1839" i="1" l="1"/>
  <c r="K1839" i="1" s="1"/>
  <c r="M1839" i="1" s="1"/>
  <c r="F1840" i="1" l="1"/>
  <c r="J1841" i="1" s="1"/>
  <c r="I1840" i="1" l="1"/>
  <c r="K1840" i="1" s="1"/>
  <c r="M1840" i="1" s="1"/>
  <c r="F1841" i="1" l="1"/>
  <c r="J1842" i="1" s="1"/>
  <c r="I1841" i="1" l="1"/>
  <c r="K1841" i="1" s="1"/>
  <c r="M1841" i="1" s="1"/>
  <c r="F1842" i="1" l="1"/>
  <c r="J1843" i="1" s="1"/>
  <c r="I1842" i="1" l="1"/>
  <c r="K1842" i="1" s="1"/>
  <c r="M1842" i="1" s="1"/>
  <c r="F1843" i="1"/>
  <c r="J1844" i="1" s="1"/>
  <c r="I1843" i="1" l="1"/>
  <c r="K1843" i="1" s="1"/>
  <c r="M1843" i="1" s="1"/>
  <c r="F1844" i="1" l="1"/>
  <c r="J1845" i="1" s="1"/>
  <c r="I1844" i="1" l="1"/>
  <c r="K1844" i="1" s="1"/>
  <c r="M1844" i="1" s="1"/>
  <c r="F1845" i="1"/>
  <c r="J1846" i="1" s="1"/>
  <c r="I1845" i="1" l="1"/>
  <c r="K1845" i="1" s="1"/>
  <c r="M1845" i="1" s="1"/>
  <c r="F1846" i="1" l="1"/>
  <c r="J1847" i="1" s="1"/>
  <c r="I1846" i="1" l="1"/>
  <c r="K1846" i="1" s="1"/>
  <c r="M1846" i="1" s="1"/>
  <c r="F1847" i="1"/>
  <c r="J1848" i="1" s="1"/>
  <c r="I1847" i="1" l="1"/>
  <c r="K1847" i="1" s="1"/>
  <c r="M1847" i="1" s="1"/>
  <c r="F1848" i="1"/>
  <c r="J1849" i="1" s="1"/>
  <c r="I1848" i="1" l="1"/>
  <c r="K1848" i="1" s="1"/>
  <c r="M1848" i="1" s="1"/>
  <c r="F1849" i="1"/>
  <c r="J1850" i="1" s="1"/>
  <c r="I1849" i="1" l="1"/>
  <c r="K1849" i="1" s="1"/>
  <c r="M1849" i="1" s="1"/>
  <c r="F1850" i="1" l="1"/>
  <c r="J1851" i="1" s="1"/>
  <c r="I1850" i="1" l="1"/>
  <c r="K1850" i="1" s="1"/>
  <c r="M1850" i="1" s="1"/>
  <c r="F1851" i="1"/>
  <c r="J1852" i="1" s="1"/>
  <c r="I1851" i="1" l="1"/>
  <c r="K1851" i="1" s="1"/>
  <c r="M1851" i="1" s="1"/>
  <c r="F1852" i="1" l="1"/>
  <c r="J1853" i="1" s="1"/>
  <c r="I1852" i="1" l="1"/>
  <c r="K1852" i="1" s="1"/>
  <c r="M1852" i="1" s="1"/>
  <c r="F1853" i="1"/>
  <c r="J1854" i="1" s="1"/>
  <c r="I1853" i="1" l="1"/>
  <c r="K1853" i="1" s="1"/>
  <c r="M1853" i="1" s="1"/>
  <c r="F1854" i="1" l="1"/>
  <c r="J1855" i="1" s="1"/>
  <c r="I1854" i="1" l="1"/>
  <c r="K1854" i="1" s="1"/>
  <c r="M1854" i="1" s="1"/>
  <c r="F1855" i="1"/>
  <c r="J1856" i="1" s="1"/>
  <c r="I1855" i="1" l="1"/>
  <c r="K1855" i="1" s="1"/>
  <c r="M1855" i="1" s="1"/>
  <c r="F1856" i="1"/>
  <c r="J1857" i="1" s="1"/>
  <c r="I1856" i="1" l="1"/>
  <c r="K1856" i="1" s="1"/>
  <c r="M1856" i="1" s="1"/>
  <c r="F1857" i="1"/>
  <c r="J1858" i="1" s="1"/>
  <c r="I1857" i="1" l="1"/>
  <c r="K1857" i="1" s="1"/>
  <c r="M1857" i="1" s="1"/>
  <c r="F1858" i="1" l="1"/>
  <c r="J1859" i="1" s="1"/>
  <c r="I1858" i="1" l="1"/>
  <c r="K1858" i="1" s="1"/>
  <c r="M1858" i="1" s="1"/>
  <c r="F1859" i="1"/>
  <c r="J1860" i="1" s="1"/>
  <c r="I1859" i="1" l="1"/>
  <c r="K1859" i="1" s="1"/>
  <c r="M1859" i="1" s="1"/>
  <c r="F1860" i="1" l="1"/>
  <c r="J1861" i="1" s="1"/>
  <c r="I1860" i="1" l="1"/>
  <c r="K1860" i="1" s="1"/>
  <c r="M1860" i="1" s="1"/>
  <c r="F1861" i="1"/>
  <c r="J1862" i="1" s="1"/>
  <c r="I1861" i="1" l="1"/>
  <c r="K1861" i="1" s="1"/>
  <c r="M1861" i="1" s="1"/>
  <c r="F1862" i="1" l="1"/>
  <c r="J1863" i="1" s="1"/>
  <c r="I1862" i="1" l="1"/>
  <c r="K1862" i="1" s="1"/>
  <c r="M1862" i="1" s="1"/>
  <c r="F1863" i="1"/>
  <c r="J1864" i="1" s="1"/>
  <c r="I1863" i="1" l="1"/>
  <c r="K1863" i="1" s="1"/>
  <c r="M1863" i="1" s="1"/>
  <c r="F1864" i="1" l="1"/>
  <c r="J1865" i="1" s="1"/>
  <c r="I1864" i="1" l="1"/>
  <c r="K1864" i="1" s="1"/>
  <c r="M1864" i="1" s="1"/>
  <c r="F1865" i="1"/>
  <c r="J1866" i="1" s="1"/>
  <c r="I1865" i="1" l="1"/>
  <c r="K1865" i="1" s="1"/>
  <c r="M1865" i="1" s="1"/>
  <c r="F1866" i="1" l="1"/>
  <c r="J1867" i="1" s="1"/>
  <c r="I1866" i="1" l="1"/>
  <c r="K1866" i="1" s="1"/>
  <c r="M1866" i="1" s="1"/>
  <c r="F1867" i="1"/>
  <c r="J1868" i="1" s="1"/>
  <c r="I1867" i="1" l="1"/>
  <c r="K1867" i="1" s="1"/>
  <c r="M1867" i="1" s="1"/>
  <c r="F1868" i="1" l="1"/>
  <c r="J1869" i="1" s="1"/>
  <c r="I1868" i="1" l="1"/>
  <c r="K1868" i="1" s="1"/>
  <c r="M1868" i="1" s="1"/>
  <c r="F1869" i="1"/>
  <c r="J1870" i="1" s="1"/>
  <c r="I1869" i="1" l="1"/>
  <c r="K1869" i="1" s="1"/>
  <c r="M1869" i="1" s="1"/>
  <c r="F1870" i="1"/>
  <c r="J1871" i="1" s="1"/>
  <c r="I1870" i="1" l="1"/>
  <c r="K1870" i="1" s="1"/>
  <c r="M1870" i="1" s="1"/>
  <c r="F1871" i="1"/>
  <c r="J1872" i="1" s="1"/>
  <c r="I1871" i="1" l="1"/>
  <c r="K1871" i="1" s="1"/>
  <c r="M1871" i="1" s="1"/>
  <c r="F1872" i="1" l="1"/>
  <c r="J1873" i="1" s="1"/>
  <c r="F1873" i="1"/>
  <c r="J1874" i="1" s="1"/>
  <c r="I1872" i="1" l="1"/>
  <c r="K1872" i="1" s="1"/>
  <c r="M1872" i="1" s="1"/>
  <c r="I1873" i="1"/>
  <c r="K1873" i="1" s="1"/>
  <c r="M1873" i="1" s="1"/>
  <c r="F1874" i="1" l="1"/>
  <c r="J1875" i="1" s="1"/>
  <c r="I1874" i="1" l="1"/>
  <c r="K1874" i="1" s="1"/>
  <c r="M1874" i="1" s="1"/>
  <c r="F1875" i="1"/>
  <c r="J1876" i="1" s="1"/>
  <c r="I1875" i="1" l="1"/>
  <c r="K1875" i="1" s="1"/>
  <c r="M1875" i="1" s="1"/>
  <c r="F1876" i="1" l="1"/>
  <c r="J1877" i="1" s="1"/>
  <c r="I1876" i="1" l="1"/>
  <c r="K1876" i="1" s="1"/>
  <c r="M1876" i="1" s="1"/>
  <c r="F1877" i="1"/>
  <c r="J1878" i="1" s="1"/>
  <c r="I1877" i="1" l="1"/>
  <c r="K1877" i="1" s="1"/>
  <c r="M1877" i="1" s="1"/>
  <c r="F1878" i="1"/>
  <c r="J1879" i="1" s="1"/>
  <c r="I1878" i="1" l="1"/>
  <c r="K1878" i="1" s="1"/>
  <c r="M1878" i="1" s="1"/>
  <c r="F1879" i="1"/>
  <c r="J1880" i="1" s="1"/>
  <c r="I1879" i="1" l="1"/>
  <c r="K1879" i="1" s="1"/>
  <c r="M1879" i="1" s="1"/>
  <c r="F1880" i="1" l="1"/>
  <c r="J1881" i="1" s="1"/>
  <c r="I1880" i="1" l="1"/>
  <c r="K1880" i="1" s="1"/>
  <c r="M1880" i="1" s="1"/>
  <c r="F1881" i="1" l="1"/>
  <c r="J1882" i="1" s="1"/>
  <c r="I1881" i="1" l="1"/>
  <c r="K1881" i="1" s="1"/>
  <c r="M1881" i="1" s="1"/>
  <c r="F1882" i="1"/>
  <c r="J1883" i="1" s="1"/>
  <c r="I1882" i="1" l="1"/>
  <c r="K1882" i="1" s="1"/>
  <c r="M1882" i="1" s="1"/>
  <c r="F1883" i="1"/>
  <c r="J1884" i="1" s="1"/>
  <c r="I1883" i="1" l="1"/>
  <c r="K1883" i="1" s="1"/>
  <c r="M1883" i="1" s="1"/>
  <c r="F1884" i="1" l="1"/>
  <c r="J1885" i="1" s="1"/>
  <c r="I1884" i="1" l="1"/>
  <c r="K1884" i="1" s="1"/>
  <c r="M1884" i="1" s="1"/>
  <c r="F1885" i="1"/>
  <c r="J1886" i="1" s="1"/>
  <c r="I1885" i="1" l="1"/>
  <c r="K1885" i="1" s="1"/>
  <c r="M1885" i="1" s="1"/>
  <c r="F1886" i="1"/>
  <c r="J1887" i="1" s="1"/>
  <c r="I1886" i="1" l="1"/>
  <c r="K1886" i="1" s="1"/>
  <c r="M1886" i="1" s="1"/>
  <c r="F1887" i="1" l="1"/>
  <c r="J1888" i="1" s="1"/>
  <c r="I1887" i="1" l="1"/>
  <c r="K1887" i="1" s="1"/>
  <c r="M1887" i="1" s="1"/>
  <c r="F1888" i="1" l="1"/>
  <c r="J1889" i="1" s="1"/>
  <c r="I1888" i="1" l="1"/>
  <c r="K1888" i="1" s="1"/>
  <c r="M1888" i="1" s="1"/>
  <c r="F1889" i="1"/>
  <c r="J1890" i="1" s="1"/>
  <c r="I1889" i="1" l="1"/>
  <c r="K1889" i="1" s="1"/>
  <c r="M1889" i="1" s="1"/>
  <c r="F1890" i="1" l="1"/>
  <c r="J1891" i="1" s="1"/>
  <c r="I1890" i="1" l="1"/>
  <c r="K1890" i="1" s="1"/>
  <c r="M1890" i="1" s="1"/>
  <c r="F1891" i="1"/>
  <c r="J1892" i="1" s="1"/>
  <c r="I1891" i="1" l="1"/>
  <c r="K1891" i="1" s="1"/>
  <c r="M1891" i="1" s="1"/>
  <c r="F1892" i="1" l="1"/>
  <c r="J1893" i="1" s="1"/>
  <c r="I1892" i="1" l="1"/>
  <c r="K1892" i="1" s="1"/>
  <c r="M1892" i="1" s="1"/>
  <c r="F1893" i="1"/>
  <c r="J1894" i="1" s="1"/>
  <c r="I1893" i="1" l="1"/>
  <c r="K1893" i="1" s="1"/>
  <c r="M1893" i="1" s="1"/>
  <c r="F1894" i="1" l="1"/>
  <c r="J1895" i="1" s="1"/>
  <c r="I1894" i="1" l="1"/>
  <c r="K1894" i="1" s="1"/>
  <c r="M1894" i="1" s="1"/>
  <c r="F1895" i="1"/>
  <c r="J1896" i="1" s="1"/>
  <c r="I1895" i="1" l="1"/>
  <c r="K1895" i="1" s="1"/>
  <c r="M1895" i="1" s="1"/>
  <c r="F1896" i="1"/>
  <c r="J1897" i="1" s="1"/>
  <c r="I1896" i="1" l="1"/>
  <c r="K1896" i="1" s="1"/>
  <c r="M1896" i="1" s="1"/>
  <c r="F1897" i="1" l="1"/>
  <c r="J1898" i="1" s="1"/>
  <c r="I1897" i="1" l="1"/>
  <c r="K1897" i="1" s="1"/>
  <c r="M1897" i="1" s="1"/>
  <c r="F1898" i="1"/>
  <c r="J1899" i="1" s="1"/>
  <c r="I1898" i="1" l="1"/>
  <c r="K1898" i="1" s="1"/>
  <c r="M1898" i="1" s="1"/>
  <c r="F1899" i="1" l="1"/>
  <c r="J1900" i="1" s="1"/>
  <c r="I1899" i="1" l="1"/>
  <c r="K1899" i="1" s="1"/>
  <c r="M1899" i="1" s="1"/>
  <c r="F1900" i="1"/>
  <c r="J1901" i="1" s="1"/>
  <c r="I1900" i="1" l="1"/>
  <c r="K1900" i="1" s="1"/>
  <c r="M1900" i="1" s="1"/>
  <c r="F1901" i="1"/>
  <c r="J1902" i="1" s="1"/>
  <c r="I1901" i="1" l="1"/>
  <c r="K1901" i="1" s="1"/>
  <c r="M1901" i="1" s="1"/>
  <c r="F1902" i="1"/>
  <c r="J1903" i="1" s="1"/>
  <c r="I1902" i="1" l="1"/>
  <c r="K1902" i="1" s="1"/>
  <c r="M1902" i="1" s="1"/>
  <c r="F1903" i="1"/>
  <c r="J1904" i="1" s="1"/>
  <c r="I1903" i="1" l="1"/>
  <c r="K1903" i="1" s="1"/>
  <c r="M1903" i="1" s="1"/>
  <c r="F1904" i="1"/>
  <c r="J1905" i="1" s="1"/>
  <c r="I1904" i="1" l="1"/>
  <c r="K1904" i="1" s="1"/>
  <c r="M1904" i="1" s="1"/>
  <c r="F1905" i="1" l="1"/>
  <c r="J1906" i="1" s="1"/>
  <c r="I1905" i="1" l="1"/>
  <c r="K1905" i="1" s="1"/>
  <c r="M1905" i="1" s="1"/>
  <c r="F1906" i="1" l="1"/>
  <c r="J1907" i="1" s="1"/>
  <c r="I1906" i="1" l="1"/>
  <c r="K1906" i="1" s="1"/>
  <c r="M1906" i="1" s="1"/>
  <c r="F1907" i="1"/>
  <c r="J1908" i="1" s="1"/>
  <c r="I1907" i="1" l="1"/>
  <c r="K1907" i="1" s="1"/>
  <c r="M1907" i="1" s="1"/>
  <c r="F1908" i="1" l="1"/>
  <c r="J1909" i="1" s="1"/>
  <c r="I1908" i="1" l="1"/>
  <c r="K1908" i="1" s="1"/>
  <c r="M1908" i="1" s="1"/>
  <c r="F1909" i="1" l="1"/>
  <c r="J1910" i="1" s="1"/>
  <c r="I1909" i="1" l="1"/>
  <c r="K1909" i="1" s="1"/>
  <c r="M1909" i="1" s="1"/>
  <c r="F1910" i="1" l="1"/>
  <c r="J1911" i="1" s="1"/>
  <c r="I1910" i="1" l="1"/>
  <c r="K1910" i="1" s="1"/>
  <c r="M1910" i="1" s="1"/>
  <c r="F1911" i="1"/>
  <c r="J1912" i="1" s="1"/>
  <c r="I1911" i="1" l="1"/>
  <c r="K1911" i="1" s="1"/>
  <c r="M1911" i="1" s="1"/>
  <c r="F1912" i="1" l="1"/>
  <c r="J1913" i="1" s="1"/>
  <c r="I1912" i="1" l="1"/>
  <c r="K1912" i="1" s="1"/>
  <c r="M1912" i="1" s="1"/>
  <c r="F1913" i="1" l="1"/>
  <c r="J1914" i="1" s="1"/>
  <c r="I1913" i="1" l="1"/>
  <c r="K1913" i="1" s="1"/>
  <c r="M1913" i="1" s="1"/>
  <c r="F1914" i="1"/>
  <c r="J1915" i="1" s="1"/>
  <c r="I1914" i="1" l="1"/>
  <c r="K1914" i="1" s="1"/>
  <c r="M1914" i="1" s="1"/>
  <c r="F1915" i="1"/>
  <c r="J1916" i="1" s="1"/>
  <c r="I1915" i="1" l="1"/>
  <c r="K1915" i="1" s="1"/>
  <c r="M1915" i="1" s="1"/>
  <c r="F1916" i="1" l="1"/>
  <c r="J1917" i="1" s="1"/>
  <c r="I1916" i="1" l="1"/>
  <c r="K1916" i="1" s="1"/>
  <c r="M1916" i="1" s="1"/>
  <c r="F1917" i="1" l="1"/>
  <c r="J1918" i="1" s="1"/>
  <c r="I1917" i="1" l="1"/>
  <c r="K1917" i="1" s="1"/>
  <c r="M1917" i="1" s="1"/>
  <c r="F1918" i="1"/>
  <c r="J1919" i="1" s="1"/>
  <c r="I1918" i="1" l="1"/>
  <c r="K1918" i="1" s="1"/>
  <c r="M1918" i="1" s="1"/>
  <c r="F1919" i="1"/>
  <c r="J1920" i="1" s="1"/>
  <c r="I1919" i="1" l="1"/>
  <c r="K1919" i="1" s="1"/>
  <c r="M1919" i="1" s="1"/>
  <c r="F1920" i="1" l="1"/>
  <c r="J1921" i="1" s="1"/>
  <c r="I1920" i="1" l="1"/>
  <c r="K1920" i="1" s="1"/>
  <c r="M1920" i="1" s="1"/>
  <c r="F1921" i="1"/>
  <c r="J1922" i="1" s="1"/>
  <c r="I1921" i="1" l="1"/>
  <c r="K1921" i="1" s="1"/>
  <c r="M1921" i="1" s="1"/>
  <c r="F1922" i="1"/>
  <c r="J1923" i="1" s="1"/>
  <c r="I1922" i="1" l="1"/>
  <c r="K1922" i="1" s="1"/>
  <c r="M1922" i="1" s="1"/>
  <c r="F1923" i="1"/>
  <c r="J1924" i="1" s="1"/>
  <c r="I1923" i="1" l="1"/>
  <c r="K1923" i="1" s="1"/>
  <c r="M1923" i="1" s="1"/>
  <c r="F1924" i="1"/>
  <c r="J1925" i="1" s="1"/>
  <c r="I1924" i="1" l="1"/>
  <c r="K1924" i="1" s="1"/>
  <c r="M1924" i="1" s="1"/>
  <c r="F1925" i="1"/>
  <c r="J1926" i="1" s="1"/>
  <c r="I1925" i="1" l="1"/>
  <c r="K1925" i="1" s="1"/>
  <c r="M1925" i="1" s="1"/>
  <c r="F1926" i="1" l="1"/>
  <c r="J1927" i="1" s="1"/>
  <c r="I1926" i="1" l="1"/>
  <c r="K1926" i="1" s="1"/>
  <c r="M1926" i="1" s="1"/>
  <c r="F1927" i="1"/>
  <c r="J1928" i="1" s="1"/>
  <c r="I1927" i="1" l="1"/>
  <c r="K1927" i="1" s="1"/>
  <c r="M1927" i="1" s="1"/>
  <c r="F1928" i="1" l="1"/>
  <c r="J1929" i="1" s="1"/>
  <c r="I1928" i="1" l="1"/>
  <c r="K1928" i="1" s="1"/>
  <c r="M1928" i="1" s="1"/>
  <c r="F1929" i="1" l="1"/>
  <c r="J1930" i="1" s="1"/>
  <c r="I1929" i="1" l="1"/>
  <c r="K1929" i="1" s="1"/>
  <c r="M1929" i="1" s="1"/>
  <c r="F1930" i="1"/>
  <c r="J1931" i="1" s="1"/>
  <c r="I1930" i="1" l="1"/>
  <c r="K1930" i="1" s="1"/>
  <c r="M1930" i="1" s="1"/>
  <c r="F1931" i="1"/>
  <c r="J1932" i="1" s="1"/>
  <c r="I1931" i="1" l="1"/>
  <c r="K1931" i="1" s="1"/>
  <c r="M1931" i="1" s="1"/>
  <c r="F1932" i="1" l="1"/>
  <c r="J1933" i="1" s="1"/>
  <c r="I1932" i="1" l="1"/>
  <c r="K1932" i="1" s="1"/>
  <c r="M1932" i="1" s="1"/>
  <c r="F1933" i="1"/>
  <c r="J1934" i="1" s="1"/>
  <c r="I1933" i="1" l="1"/>
  <c r="K1933" i="1" s="1"/>
  <c r="M1933" i="1" s="1"/>
  <c r="F1934" i="1" l="1"/>
  <c r="J1935" i="1" s="1"/>
  <c r="I1934" i="1" l="1"/>
  <c r="K1934" i="1" s="1"/>
  <c r="M1934" i="1" s="1"/>
  <c r="F1935" i="1"/>
  <c r="J1936" i="1" s="1"/>
  <c r="I1935" i="1" l="1"/>
  <c r="K1935" i="1" s="1"/>
  <c r="M1935" i="1" s="1"/>
  <c r="F1936" i="1"/>
  <c r="J1937" i="1" s="1"/>
  <c r="I1936" i="1" l="1"/>
  <c r="K1936" i="1" s="1"/>
  <c r="M1936" i="1" s="1"/>
  <c r="F1937" i="1"/>
  <c r="J1938" i="1" s="1"/>
  <c r="I1937" i="1" l="1"/>
  <c r="K1937" i="1" s="1"/>
  <c r="M1937" i="1" s="1"/>
  <c r="F1938" i="1" l="1"/>
  <c r="J1939" i="1" s="1"/>
  <c r="I1938" i="1" l="1"/>
  <c r="K1938" i="1" s="1"/>
  <c r="M1938" i="1" s="1"/>
  <c r="F1939" i="1"/>
  <c r="J1940" i="1" s="1"/>
  <c r="I1939" i="1" l="1"/>
  <c r="K1939" i="1" s="1"/>
  <c r="M1939" i="1" s="1"/>
  <c r="F1940" i="1"/>
  <c r="J1941" i="1" s="1"/>
  <c r="I1940" i="1" l="1"/>
  <c r="K1940" i="1" s="1"/>
  <c r="M1940" i="1" s="1"/>
  <c r="F1941" i="1"/>
  <c r="J1942" i="1" s="1"/>
  <c r="I1941" i="1" l="1"/>
  <c r="K1941" i="1" s="1"/>
  <c r="M1941" i="1" s="1"/>
  <c r="F1942" i="1" l="1"/>
  <c r="J1943" i="1" s="1"/>
  <c r="I1942" i="1" l="1"/>
  <c r="K1942" i="1" s="1"/>
  <c r="M1942" i="1" s="1"/>
  <c r="F1943" i="1" l="1"/>
  <c r="J1944" i="1" s="1"/>
  <c r="I1943" i="1" l="1"/>
  <c r="K1943" i="1" s="1"/>
  <c r="M1943" i="1" s="1"/>
  <c r="F1944" i="1" l="1"/>
  <c r="J1945" i="1" s="1"/>
  <c r="I1944" i="1" l="1"/>
  <c r="K1944" i="1" s="1"/>
  <c r="M1944" i="1" s="1"/>
  <c r="F1945" i="1" l="1"/>
  <c r="J1946" i="1" s="1"/>
  <c r="I1945" i="1" l="1"/>
  <c r="K1945" i="1" s="1"/>
  <c r="M1945" i="1" s="1"/>
  <c r="F1946" i="1" l="1"/>
  <c r="J1947" i="1" s="1"/>
  <c r="I1946" i="1" l="1"/>
  <c r="K1946" i="1" s="1"/>
  <c r="M1946" i="1" s="1"/>
  <c r="F1947" i="1"/>
  <c r="J1948" i="1" s="1"/>
  <c r="I1947" i="1" l="1"/>
  <c r="K1947" i="1" s="1"/>
  <c r="M1947" i="1" s="1"/>
  <c r="F1948" i="1"/>
  <c r="J1949" i="1" s="1"/>
  <c r="I1948" i="1" l="1"/>
  <c r="K1948" i="1" s="1"/>
  <c r="M1948" i="1" s="1"/>
  <c r="F1949" i="1"/>
  <c r="J1950" i="1" s="1"/>
  <c r="I1949" i="1" l="1"/>
  <c r="K1949" i="1" s="1"/>
  <c r="M1949" i="1" s="1"/>
  <c r="F1950" i="1" l="1"/>
  <c r="J1951" i="1" s="1"/>
  <c r="I1950" i="1" l="1"/>
  <c r="K1950" i="1" s="1"/>
  <c r="M1950" i="1" s="1"/>
  <c r="F1951" i="1"/>
  <c r="J1952" i="1" s="1"/>
  <c r="I1951" i="1" l="1"/>
  <c r="K1951" i="1" s="1"/>
  <c r="M1951" i="1" s="1"/>
  <c r="F1952" i="1"/>
  <c r="J1953" i="1" s="1"/>
  <c r="I1952" i="1" l="1"/>
  <c r="K1952" i="1" s="1"/>
  <c r="M1952" i="1" s="1"/>
  <c r="F1953" i="1"/>
  <c r="J1954" i="1" s="1"/>
  <c r="I1953" i="1" l="1"/>
  <c r="K1953" i="1" s="1"/>
  <c r="M1953" i="1" s="1"/>
  <c r="F1954" i="1" l="1"/>
  <c r="J1955" i="1" s="1"/>
  <c r="I1954" i="1" l="1"/>
  <c r="K1954" i="1" s="1"/>
  <c r="M1954" i="1" s="1"/>
  <c r="F1955" i="1" l="1"/>
  <c r="J1956" i="1" s="1"/>
  <c r="I1955" i="1" l="1"/>
  <c r="K1955" i="1" s="1"/>
  <c r="M1955" i="1" s="1"/>
  <c r="F1956" i="1" l="1"/>
  <c r="J1957" i="1" s="1"/>
  <c r="I1956" i="1" l="1"/>
  <c r="K1956" i="1" s="1"/>
  <c r="M1956" i="1" s="1"/>
  <c r="F1957" i="1"/>
  <c r="J1958" i="1" s="1"/>
  <c r="I1957" i="1" l="1"/>
  <c r="K1957" i="1" s="1"/>
  <c r="M1957" i="1" s="1"/>
  <c r="F1958" i="1"/>
  <c r="J1959" i="1" s="1"/>
  <c r="I1958" i="1" l="1"/>
  <c r="K1958" i="1" s="1"/>
  <c r="M1958" i="1" s="1"/>
  <c r="F1959" i="1"/>
  <c r="J1960" i="1" s="1"/>
  <c r="I1959" i="1" l="1"/>
  <c r="K1959" i="1" s="1"/>
  <c r="M1959" i="1" s="1"/>
  <c r="F1960" i="1"/>
  <c r="J1961" i="1" s="1"/>
  <c r="I1960" i="1" l="1"/>
  <c r="K1960" i="1" s="1"/>
  <c r="M1960" i="1" s="1"/>
  <c r="F1961" i="1" l="1"/>
  <c r="J1962" i="1" s="1"/>
  <c r="I1961" i="1" l="1"/>
  <c r="K1961" i="1" s="1"/>
  <c r="M1961" i="1" s="1"/>
  <c r="F1962" i="1" l="1"/>
  <c r="J1963" i="1" s="1"/>
  <c r="I1962" i="1" l="1"/>
  <c r="K1962" i="1" s="1"/>
  <c r="M1962" i="1" s="1"/>
  <c r="F1963" i="1"/>
  <c r="J1964" i="1" s="1"/>
  <c r="I1963" i="1" l="1"/>
  <c r="K1963" i="1" s="1"/>
  <c r="M1963" i="1" s="1"/>
  <c r="F1964" i="1"/>
  <c r="J1965" i="1" s="1"/>
  <c r="I1964" i="1" l="1"/>
  <c r="K1964" i="1" s="1"/>
  <c r="M1964" i="1" s="1"/>
  <c r="F1965" i="1"/>
  <c r="J1966" i="1" s="1"/>
  <c r="I1965" i="1" l="1"/>
  <c r="K1965" i="1" s="1"/>
  <c r="M1965" i="1" s="1"/>
  <c r="F1966" i="1"/>
  <c r="J1967" i="1" s="1"/>
  <c r="I1966" i="1" l="1"/>
  <c r="K1966" i="1" s="1"/>
  <c r="M1966" i="1" s="1"/>
  <c r="F1967" i="1" l="1"/>
  <c r="J1968" i="1" s="1"/>
  <c r="I1967" i="1" l="1"/>
  <c r="K1967" i="1" s="1"/>
  <c r="M1967" i="1" s="1"/>
  <c r="F1968" i="1" l="1"/>
  <c r="J1969" i="1" s="1"/>
  <c r="I1968" i="1" l="1"/>
  <c r="K1968" i="1" s="1"/>
  <c r="M1968" i="1" s="1"/>
  <c r="F1969" i="1"/>
  <c r="J1970" i="1" s="1"/>
  <c r="I1969" i="1" l="1"/>
  <c r="K1969" i="1" s="1"/>
  <c r="M1969" i="1" s="1"/>
  <c r="F1970" i="1"/>
  <c r="J1971" i="1" s="1"/>
  <c r="I1970" i="1" l="1"/>
  <c r="K1970" i="1" s="1"/>
  <c r="M1970" i="1" s="1"/>
  <c r="F1971" i="1"/>
  <c r="J1972" i="1" s="1"/>
  <c r="I1971" i="1" l="1"/>
  <c r="K1971" i="1" s="1"/>
  <c r="M1971" i="1" s="1"/>
  <c r="F1972" i="1" l="1"/>
  <c r="J1973" i="1" s="1"/>
  <c r="I1972" i="1" l="1"/>
  <c r="K1972" i="1" s="1"/>
  <c r="M1972" i="1" s="1"/>
  <c r="F1973" i="1"/>
  <c r="J1974" i="1" s="1"/>
  <c r="I1973" i="1" l="1"/>
  <c r="K1973" i="1" s="1"/>
  <c r="M1973" i="1" s="1"/>
  <c r="F1974" i="1"/>
  <c r="J1975" i="1" s="1"/>
  <c r="I1974" i="1" l="1"/>
  <c r="K1974" i="1" s="1"/>
  <c r="M1974" i="1" s="1"/>
  <c r="F1975" i="1"/>
  <c r="J1976" i="1" s="1"/>
  <c r="I1975" i="1" l="1"/>
  <c r="K1975" i="1" s="1"/>
  <c r="M1975" i="1" s="1"/>
  <c r="F1976" i="1" l="1"/>
  <c r="J1977" i="1" s="1"/>
  <c r="I1976" i="1" l="1"/>
  <c r="K1976" i="1" s="1"/>
  <c r="M1976" i="1" s="1"/>
  <c r="F1977" i="1" l="1"/>
  <c r="J1978" i="1" s="1"/>
  <c r="I1977" i="1" l="1"/>
  <c r="K1977" i="1" s="1"/>
  <c r="M1977" i="1" s="1"/>
  <c r="F1978" i="1"/>
  <c r="J1979" i="1" s="1"/>
  <c r="I1978" i="1" l="1"/>
  <c r="K1978" i="1" s="1"/>
  <c r="M1978" i="1" s="1"/>
  <c r="F1979" i="1"/>
  <c r="J1980" i="1" s="1"/>
  <c r="I1979" i="1" l="1"/>
  <c r="K1979" i="1" s="1"/>
  <c r="M1979" i="1" s="1"/>
  <c r="F1980" i="1" l="1"/>
  <c r="J1981" i="1" s="1"/>
  <c r="I1980" i="1" l="1"/>
  <c r="K1980" i="1" s="1"/>
  <c r="M1980" i="1" s="1"/>
  <c r="F1981" i="1"/>
  <c r="J1982" i="1" s="1"/>
  <c r="I1981" i="1" l="1"/>
  <c r="K1981" i="1" s="1"/>
  <c r="M1981" i="1" s="1"/>
  <c r="F1982" i="1" l="1"/>
  <c r="J1983" i="1" s="1"/>
  <c r="I1982" i="1" l="1"/>
  <c r="K1982" i="1" s="1"/>
  <c r="M1982" i="1" s="1"/>
  <c r="F1983" i="1"/>
  <c r="J1984" i="1" s="1"/>
  <c r="I1983" i="1" l="1"/>
  <c r="K1983" i="1" s="1"/>
  <c r="M1983" i="1" s="1"/>
  <c r="F1984" i="1" l="1"/>
  <c r="J1985" i="1" s="1"/>
  <c r="I1984" i="1" l="1"/>
  <c r="K1984" i="1" s="1"/>
  <c r="M1984" i="1" s="1"/>
  <c r="F1985" i="1"/>
  <c r="J1986" i="1" s="1"/>
  <c r="I1985" i="1" l="1"/>
  <c r="K1985" i="1" s="1"/>
  <c r="M1985" i="1" s="1"/>
  <c r="F1986" i="1"/>
  <c r="J1987" i="1" s="1"/>
  <c r="I1986" i="1" l="1"/>
  <c r="K1986" i="1" s="1"/>
  <c r="M1986" i="1" s="1"/>
  <c r="F1987" i="1"/>
  <c r="J1988" i="1" s="1"/>
  <c r="I1987" i="1" l="1"/>
  <c r="K1987" i="1" s="1"/>
  <c r="M1987" i="1" s="1"/>
  <c r="F1988" i="1" l="1"/>
  <c r="J1989" i="1" s="1"/>
  <c r="I1988" i="1" l="1"/>
  <c r="K1988" i="1" s="1"/>
  <c r="M1988" i="1" s="1"/>
  <c r="F1989" i="1"/>
  <c r="J1990" i="1" s="1"/>
  <c r="I1989" i="1" l="1"/>
  <c r="K1989" i="1" s="1"/>
  <c r="M1989" i="1" s="1"/>
  <c r="F1990" i="1" l="1"/>
  <c r="J1991" i="1" s="1"/>
  <c r="I1990" i="1" l="1"/>
  <c r="K1990" i="1" s="1"/>
  <c r="M1990" i="1" s="1"/>
  <c r="F1991" i="1"/>
  <c r="J1992" i="1" s="1"/>
  <c r="I1991" i="1" l="1"/>
  <c r="K1991" i="1" s="1"/>
  <c r="M1991" i="1" s="1"/>
  <c r="F1992" i="1" l="1"/>
  <c r="J1993" i="1" s="1"/>
  <c r="I1992" i="1" l="1"/>
  <c r="K1992" i="1" s="1"/>
  <c r="M1992" i="1" s="1"/>
  <c r="F1993" i="1"/>
  <c r="J1994" i="1" s="1"/>
  <c r="I1993" i="1" l="1"/>
  <c r="K1993" i="1" s="1"/>
  <c r="M1993" i="1" s="1"/>
  <c r="F1994" i="1" l="1"/>
  <c r="J1995" i="1" s="1"/>
  <c r="I1994" i="1" l="1"/>
  <c r="K1994" i="1" s="1"/>
  <c r="M1994" i="1" s="1"/>
  <c r="F1995" i="1"/>
  <c r="J1996" i="1" s="1"/>
  <c r="I1995" i="1" l="1"/>
  <c r="K1995" i="1" s="1"/>
  <c r="M1995" i="1" s="1"/>
  <c r="F1996" i="1"/>
  <c r="J1997" i="1" s="1"/>
  <c r="I1996" i="1" l="1"/>
  <c r="K1996" i="1" s="1"/>
  <c r="M1996" i="1" s="1"/>
  <c r="F1997" i="1"/>
  <c r="J1998" i="1" s="1"/>
  <c r="I1997" i="1" l="1"/>
  <c r="K1997" i="1" s="1"/>
  <c r="M1997" i="1" s="1"/>
  <c r="F1998" i="1" l="1"/>
  <c r="J1999" i="1" s="1"/>
  <c r="I1998" i="1" l="1"/>
  <c r="K1998" i="1" s="1"/>
  <c r="M1998" i="1" s="1"/>
  <c r="F1999" i="1"/>
  <c r="J2000" i="1" s="1"/>
  <c r="I1999" i="1" l="1"/>
  <c r="K1999" i="1" s="1"/>
  <c r="M1999" i="1" s="1"/>
  <c r="F2000" i="1" l="1"/>
  <c r="J2001" i="1" s="1"/>
  <c r="I2000" i="1" l="1"/>
  <c r="K2000" i="1" s="1"/>
  <c r="M2000" i="1" s="1"/>
  <c r="F2001" i="1" l="1"/>
  <c r="J2002" i="1" s="1"/>
  <c r="I2001" i="1" l="1"/>
  <c r="K2001" i="1" s="1"/>
  <c r="M2001" i="1" s="1"/>
  <c r="F2002" i="1" l="1"/>
  <c r="J2003" i="1" s="1"/>
  <c r="I2002" i="1" l="1"/>
  <c r="K2002" i="1" s="1"/>
  <c r="M2002" i="1" s="1"/>
  <c r="F2003" i="1" l="1"/>
  <c r="J2004" i="1" s="1"/>
  <c r="I2003" i="1" l="1"/>
  <c r="K2003" i="1" s="1"/>
  <c r="M2003" i="1" s="1"/>
  <c r="F2004" i="1"/>
  <c r="J2005" i="1" s="1"/>
  <c r="I2004" i="1" l="1"/>
  <c r="K2004" i="1" s="1"/>
  <c r="M2004" i="1" s="1"/>
  <c r="F2005" i="1"/>
  <c r="J2006" i="1" s="1"/>
  <c r="I2005" i="1" l="1"/>
  <c r="K2005" i="1" s="1"/>
  <c r="M2005" i="1" s="1"/>
  <c r="F2006" i="1" l="1"/>
  <c r="J2007" i="1" s="1"/>
  <c r="I2006" i="1" l="1"/>
  <c r="K2006" i="1" s="1"/>
  <c r="M2006" i="1" s="1"/>
  <c r="F2007" i="1"/>
  <c r="J2008" i="1" s="1"/>
  <c r="I2007" i="1" l="1"/>
  <c r="K2007" i="1" s="1"/>
  <c r="M2007" i="1" s="1"/>
  <c r="F2008" i="1" l="1"/>
  <c r="J2009" i="1" s="1"/>
  <c r="I2008" i="1" l="1"/>
  <c r="K2008" i="1" s="1"/>
  <c r="M2008" i="1" s="1"/>
  <c r="F2009" i="1" l="1"/>
  <c r="J2010" i="1" s="1"/>
  <c r="I2009" i="1" l="1"/>
  <c r="K2009" i="1" s="1"/>
  <c r="M2009" i="1" s="1"/>
  <c r="F2010" i="1" l="1"/>
  <c r="J2011" i="1" s="1"/>
  <c r="I2010" i="1" l="1"/>
  <c r="K2010" i="1" s="1"/>
  <c r="M2010" i="1" s="1"/>
  <c r="F2011" i="1"/>
  <c r="J2012" i="1" s="1"/>
  <c r="I2011" i="1" l="1"/>
  <c r="K2011" i="1" s="1"/>
  <c r="M2011" i="1" s="1"/>
  <c r="F2012" i="1" l="1"/>
  <c r="J2013" i="1" s="1"/>
  <c r="I2012" i="1" l="1"/>
  <c r="K2012" i="1" s="1"/>
  <c r="M2012" i="1" s="1"/>
  <c r="F2013" i="1"/>
  <c r="J2014" i="1" s="1"/>
  <c r="I2013" i="1" l="1"/>
  <c r="K2013" i="1" s="1"/>
  <c r="M2013" i="1" s="1"/>
  <c r="F2014" i="1"/>
  <c r="J2015" i="1" s="1"/>
  <c r="I2014" i="1" l="1"/>
  <c r="K2014" i="1" s="1"/>
  <c r="M2014" i="1" s="1"/>
  <c r="F2015" i="1"/>
  <c r="J2016" i="1" s="1"/>
  <c r="I2015" i="1" l="1"/>
  <c r="K2015" i="1" s="1"/>
  <c r="M2015" i="1" s="1"/>
  <c r="F2016" i="1" l="1"/>
  <c r="J2017" i="1" s="1"/>
  <c r="I2016" i="1" l="1"/>
  <c r="K2016" i="1" s="1"/>
  <c r="M2016" i="1" s="1"/>
  <c r="F2017" i="1"/>
  <c r="J2018" i="1" s="1"/>
  <c r="I2017" i="1" l="1"/>
  <c r="K2017" i="1" s="1"/>
  <c r="M2017" i="1" s="1"/>
  <c r="F2018" i="1"/>
  <c r="J2019" i="1" s="1"/>
  <c r="I2018" i="1" l="1"/>
  <c r="K2018" i="1" s="1"/>
  <c r="M2018" i="1" s="1"/>
  <c r="F2019" i="1" l="1"/>
  <c r="J2020" i="1" s="1"/>
  <c r="I2019" i="1" l="1"/>
  <c r="K2019" i="1" s="1"/>
  <c r="M2019" i="1" s="1"/>
  <c r="F2020" i="1" l="1"/>
  <c r="J2021" i="1" s="1"/>
  <c r="I2020" i="1" l="1"/>
  <c r="K2020" i="1" s="1"/>
  <c r="M2020" i="1" s="1"/>
  <c r="F2021" i="1"/>
  <c r="J2022" i="1" s="1"/>
  <c r="I2021" i="1" l="1"/>
  <c r="K2021" i="1" s="1"/>
  <c r="M2021" i="1" s="1"/>
  <c r="F2022" i="1"/>
  <c r="J2023" i="1" s="1"/>
  <c r="I2022" i="1" l="1"/>
  <c r="K2022" i="1" s="1"/>
  <c r="M2022" i="1" s="1"/>
  <c r="F2023" i="1" l="1"/>
  <c r="J2024" i="1" s="1"/>
  <c r="I2023" i="1" l="1"/>
  <c r="K2023" i="1" s="1"/>
  <c r="M2023" i="1" s="1"/>
  <c r="F2024" i="1"/>
  <c r="J2025" i="1" s="1"/>
  <c r="I2024" i="1" l="1"/>
  <c r="K2024" i="1" s="1"/>
  <c r="M2024" i="1" s="1"/>
  <c r="F2025" i="1"/>
  <c r="J2026" i="1" s="1"/>
  <c r="I2025" i="1" l="1"/>
  <c r="K2025" i="1" s="1"/>
  <c r="M2025" i="1" s="1"/>
  <c r="F2026" i="1" l="1"/>
  <c r="J2027" i="1" s="1"/>
  <c r="I2026" i="1" l="1"/>
  <c r="K2026" i="1" s="1"/>
  <c r="M2026" i="1" s="1"/>
  <c r="F2027" i="1" l="1"/>
  <c r="J2028" i="1" s="1"/>
  <c r="I2027" i="1" l="1"/>
  <c r="K2027" i="1" s="1"/>
  <c r="M2027" i="1" s="1"/>
  <c r="F2028" i="1"/>
  <c r="J2029" i="1" s="1"/>
  <c r="I2028" i="1" l="1"/>
  <c r="K2028" i="1" s="1"/>
  <c r="M2028" i="1" s="1"/>
  <c r="F2029" i="1"/>
  <c r="J2030" i="1" s="1"/>
  <c r="I2029" i="1" l="1"/>
  <c r="K2029" i="1" s="1"/>
  <c r="M2029" i="1" s="1"/>
  <c r="F2030" i="1" l="1"/>
  <c r="J2031" i="1" s="1"/>
  <c r="I2030" i="1" l="1"/>
  <c r="K2030" i="1" s="1"/>
  <c r="M2030" i="1" s="1"/>
  <c r="F2031" i="1"/>
  <c r="J2032" i="1" s="1"/>
  <c r="I2031" i="1" l="1"/>
  <c r="K2031" i="1" s="1"/>
  <c r="M2031" i="1" s="1"/>
  <c r="F2032" i="1" l="1"/>
  <c r="J2033" i="1" s="1"/>
  <c r="I2032" i="1" l="1"/>
  <c r="K2032" i="1" s="1"/>
  <c r="M2032" i="1" s="1"/>
  <c r="F2033" i="1"/>
  <c r="J2034" i="1" s="1"/>
  <c r="I2033" i="1" l="1"/>
  <c r="K2033" i="1" s="1"/>
  <c r="M2033" i="1" s="1"/>
  <c r="F2034" i="1" l="1"/>
  <c r="J2035" i="1" s="1"/>
  <c r="I2034" i="1" l="1"/>
  <c r="K2034" i="1" s="1"/>
  <c r="M2034" i="1" s="1"/>
  <c r="F2035" i="1" l="1"/>
  <c r="J2036" i="1" s="1"/>
  <c r="I2035" i="1" l="1"/>
  <c r="K2035" i="1" s="1"/>
  <c r="M2035" i="1" s="1"/>
  <c r="F2036" i="1"/>
  <c r="J2037" i="1" s="1"/>
  <c r="I2036" i="1" l="1"/>
  <c r="K2036" i="1" s="1"/>
  <c r="M2036" i="1" s="1"/>
  <c r="F2037" i="1"/>
  <c r="J2038" i="1" s="1"/>
  <c r="I2037" i="1" l="1"/>
  <c r="K2037" i="1" s="1"/>
  <c r="M2037" i="1" s="1"/>
  <c r="F2038" i="1" l="1"/>
  <c r="J2039" i="1" s="1"/>
  <c r="I2038" i="1" l="1"/>
  <c r="K2038" i="1" s="1"/>
  <c r="M2038" i="1" s="1"/>
  <c r="F2039" i="1" l="1"/>
  <c r="J2040" i="1" s="1"/>
  <c r="I2039" i="1" l="1"/>
  <c r="K2039" i="1" s="1"/>
  <c r="M2039" i="1" s="1"/>
  <c r="F2040" i="1"/>
  <c r="J2041" i="1" s="1"/>
  <c r="I2040" i="1" l="1"/>
  <c r="K2040" i="1" s="1"/>
  <c r="M2040" i="1" s="1"/>
  <c r="F2041" i="1"/>
  <c r="J2042" i="1" s="1"/>
  <c r="I2041" i="1" l="1"/>
  <c r="K2041" i="1" s="1"/>
  <c r="M2041" i="1" s="1"/>
  <c r="F2042" i="1" l="1"/>
  <c r="J2043" i="1" s="1"/>
  <c r="I2042" i="1" l="1"/>
  <c r="K2042" i="1" s="1"/>
  <c r="M2042" i="1" s="1"/>
  <c r="F2043" i="1"/>
  <c r="J2044" i="1" s="1"/>
  <c r="I2043" i="1" l="1"/>
  <c r="K2043" i="1" s="1"/>
  <c r="M2043" i="1" s="1"/>
  <c r="F2044" i="1" l="1"/>
  <c r="J2045" i="1" s="1"/>
  <c r="I2044" i="1" l="1"/>
  <c r="K2044" i="1" s="1"/>
  <c r="M2044" i="1" s="1"/>
  <c r="F2045" i="1" l="1"/>
  <c r="J2046" i="1" s="1"/>
  <c r="I2045" i="1" l="1"/>
  <c r="K2045" i="1" s="1"/>
  <c r="M2045" i="1" s="1"/>
  <c r="F2046" i="1"/>
  <c r="J2047" i="1" s="1"/>
  <c r="I2046" i="1" l="1"/>
  <c r="K2046" i="1" s="1"/>
  <c r="M2046" i="1" s="1"/>
  <c r="F2047" i="1"/>
  <c r="J2048" i="1" s="1"/>
  <c r="I2047" i="1" l="1"/>
  <c r="K2047" i="1" s="1"/>
  <c r="M2047" i="1" s="1"/>
  <c r="F2048" i="1"/>
  <c r="J2049" i="1" s="1"/>
  <c r="I2048" i="1" l="1"/>
  <c r="K2048" i="1" s="1"/>
  <c r="M2048" i="1" s="1"/>
  <c r="F2049" i="1"/>
  <c r="J2050" i="1" s="1"/>
  <c r="I2049" i="1" l="1"/>
  <c r="K2049" i="1" s="1"/>
  <c r="M2049" i="1" s="1"/>
  <c r="F2050" i="1" l="1"/>
  <c r="J2051" i="1" s="1"/>
  <c r="I2050" i="1" l="1"/>
  <c r="K2050" i="1" s="1"/>
  <c r="M2050" i="1" s="1"/>
  <c r="F2051" i="1"/>
  <c r="J2052" i="1" s="1"/>
  <c r="I2051" i="1" l="1"/>
  <c r="K2051" i="1" s="1"/>
  <c r="M2051" i="1" s="1"/>
  <c r="F2052" i="1" l="1"/>
  <c r="J2053" i="1" s="1"/>
  <c r="I2052" i="1" l="1"/>
  <c r="K2052" i="1" s="1"/>
  <c r="M2052" i="1" s="1"/>
  <c r="F2053" i="1"/>
  <c r="J2054" i="1" s="1"/>
  <c r="I2053" i="1" l="1"/>
  <c r="K2053" i="1" s="1"/>
  <c r="M2053" i="1" s="1"/>
  <c r="F2054" i="1" l="1"/>
  <c r="J2055" i="1" s="1"/>
  <c r="I2054" i="1" l="1"/>
  <c r="K2054" i="1" s="1"/>
  <c r="M2054" i="1" s="1"/>
  <c r="F2055" i="1"/>
  <c r="J2056" i="1" s="1"/>
  <c r="I2055" i="1" l="1"/>
  <c r="K2055" i="1" s="1"/>
  <c r="M2055" i="1" s="1"/>
  <c r="F2056" i="1" l="1"/>
  <c r="J2057" i="1" s="1"/>
  <c r="I2056" i="1" l="1"/>
  <c r="K2056" i="1" s="1"/>
  <c r="M2056" i="1" s="1"/>
  <c r="F2057" i="1"/>
  <c r="J2058" i="1" s="1"/>
  <c r="I2057" i="1" l="1"/>
  <c r="K2057" i="1" s="1"/>
  <c r="M2057" i="1" s="1"/>
  <c r="F2058" i="1" l="1"/>
  <c r="J2059" i="1" s="1"/>
  <c r="I2058" i="1" l="1"/>
  <c r="K2058" i="1" s="1"/>
  <c r="M2058" i="1" s="1"/>
  <c r="F2059" i="1"/>
  <c r="J2060" i="1" s="1"/>
  <c r="I2059" i="1" l="1"/>
  <c r="K2059" i="1" s="1"/>
  <c r="M2059" i="1" s="1"/>
  <c r="F2060" i="1"/>
  <c r="J2061" i="1" s="1"/>
  <c r="I2060" i="1" l="1"/>
  <c r="K2060" i="1" s="1"/>
  <c r="M2060" i="1" s="1"/>
  <c r="F2061" i="1"/>
  <c r="J2062" i="1" s="1"/>
  <c r="I2061" i="1" l="1"/>
  <c r="K2061" i="1" s="1"/>
  <c r="M2061" i="1" s="1"/>
  <c r="F2062" i="1"/>
  <c r="J2063" i="1" s="1"/>
  <c r="I2062" i="1" l="1"/>
  <c r="K2062" i="1" s="1"/>
  <c r="M2062" i="1" s="1"/>
  <c r="F2063" i="1"/>
  <c r="J2064" i="1" s="1"/>
  <c r="I2063" i="1" l="1"/>
  <c r="K2063" i="1" s="1"/>
  <c r="M2063" i="1" s="1"/>
  <c r="F2064" i="1" l="1"/>
  <c r="J2065" i="1" s="1"/>
  <c r="I2064" i="1" l="1"/>
  <c r="K2064" i="1" s="1"/>
  <c r="M2064" i="1" s="1"/>
  <c r="F2065" i="1"/>
  <c r="J2066" i="1" s="1"/>
  <c r="I2065" i="1" l="1"/>
  <c r="K2065" i="1" s="1"/>
  <c r="M2065" i="1" s="1"/>
  <c r="F2066" i="1" l="1"/>
  <c r="J2067" i="1" s="1"/>
  <c r="I2066" i="1" l="1"/>
  <c r="K2066" i="1" s="1"/>
  <c r="M2066" i="1" s="1"/>
  <c r="F2067" i="1"/>
  <c r="J2068" i="1" s="1"/>
  <c r="I2067" i="1" l="1"/>
  <c r="K2067" i="1" s="1"/>
  <c r="M2067" i="1" s="1"/>
  <c r="F2068" i="1"/>
  <c r="J2069" i="1" s="1"/>
  <c r="I2068" i="1" l="1"/>
  <c r="K2068" i="1" s="1"/>
  <c r="M2068" i="1" s="1"/>
  <c r="F2069" i="1" l="1"/>
  <c r="J2070" i="1" s="1"/>
  <c r="I2069" i="1" l="1"/>
  <c r="K2069" i="1" s="1"/>
  <c r="M2069" i="1" s="1"/>
  <c r="F2070" i="1"/>
  <c r="J2071" i="1" s="1"/>
  <c r="I2070" i="1" l="1"/>
  <c r="K2070" i="1" s="1"/>
  <c r="M2070" i="1" s="1"/>
  <c r="F2071" i="1" l="1"/>
  <c r="J2072" i="1" s="1"/>
  <c r="I2071" i="1" l="1"/>
  <c r="K2071" i="1" s="1"/>
  <c r="M2071" i="1" s="1"/>
  <c r="F2072" i="1" l="1"/>
  <c r="J2073" i="1" s="1"/>
  <c r="I2072" i="1" l="1"/>
  <c r="K2072" i="1" s="1"/>
  <c r="M2072" i="1" s="1"/>
  <c r="F2073" i="1"/>
  <c r="J2074" i="1" s="1"/>
  <c r="I2073" i="1" l="1"/>
  <c r="K2073" i="1" s="1"/>
  <c r="M2073" i="1" s="1"/>
  <c r="F2074" i="1"/>
  <c r="J2075" i="1" s="1"/>
  <c r="I2074" i="1" l="1"/>
  <c r="K2074" i="1" s="1"/>
  <c r="M2074" i="1" s="1"/>
  <c r="F2075" i="1"/>
  <c r="J2076" i="1" s="1"/>
  <c r="I2075" i="1" l="1"/>
  <c r="K2075" i="1" s="1"/>
  <c r="M2075" i="1" s="1"/>
  <c r="F2076" i="1" l="1"/>
  <c r="J2077" i="1" s="1"/>
  <c r="I2076" i="1" l="1"/>
  <c r="K2076" i="1" s="1"/>
  <c r="M2076" i="1" s="1"/>
  <c r="F2077" i="1"/>
  <c r="J2078" i="1" s="1"/>
  <c r="I2077" i="1" l="1"/>
  <c r="K2077" i="1" s="1"/>
  <c r="M2077" i="1" s="1"/>
  <c r="F2078" i="1"/>
  <c r="J2079" i="1" s="1"/>
  <c r="I2078" i="1" l="1"/>
  <c r="K2078" i="1" s="1"/>
  <c r="M2078" i="1" s="1"/>
  <c r="F2079" i="1" l="1"/>
  <c r="J2080" i="1" s="1"/>
  <c r="I2079" i="1" l="1"/>
  <c r="K2079" i="1" s="1"/>
  <c r="M2079" i="1" s="1"/>
  <c r="F2080" i="1" l="1"/>
  <c r="J2081" i="1" s="1"/>
  <c r="I2080" i="1" l="1"/>
  <c r="K2080" i="1" s="1"/>
  <c r="M2080" i="1" s="1"/>
  <c r="F2081" i="1" l="1"/>
  <c r="J2082" i="1" s="1"/>
  <c r="I2081" i="1" l="1"/>
  <c r="K2081" i="1" s="1"/>
  <c r="M2081" i="1" s="1"/>
  <c r="F2082" i="1" l="1"/>
  <c r="J2083" i="1" s="1"/>
  <c r="I2082" i="1" l="1"/>
  <c r="K2082" i="1" s="1"/>
  <c r="M2082" i="1" s="1"/>
  <c r="F2083" i="1"/>
  <c r="J2084" i="1" s="1"/>
  <c r="I2083" i="1" l="1"/>
  <c r="K2083" i="1" s="1"/>
  <c r="M2083" i="1" s="1"/>
  <c r="F2084" i="1" l="1"/>
  <c r="J2085" i="1" s="1"/>
  <c r="I2084" i="1" l="1"/>
  <c r="K2084" i="1" s="1"/>
  <c r="M2084" i="1" s="1"/>
  <c r="F2085" i="1"/>
  <c r="J2086" i="1" s="1"/>
  <c r="I2085" i="1" l="1"/>
  <c r="K2085" i="1" s="1"/>
  <c r="M2085" i="1" s="1"/>
  <c r="F2086" i="1"/>
  <c r="J2087" i="1" s="1"/>
  <c r="I2086" i="1" l="1"/>
  <c r="K2086" i="1" s="1"/>
  <c r="M2086" i="1" s="1"/>
  <c r="F2087" i="1" l="1"/>
  <c r="J2088" i="1" s="1"/>
  <c r="I2087" i="1" l="1"/>
  <c r="K2087" i="1" s="1"/>
  <c r="M2087" i="1" s="1"/>
  <c r="F2088" i="1" l="1"/>
  <c r="J2089" i="1" s="1"/>
  <c r="I2088" i="1" l="1"/>
  <c r="K2088" i="1" s="1"/>
  <c r="M2088" i="1" s="1"/>
  <c r="F2089" i="1" l="1"/>
  <c r="J2090" i="1" s="1"/>
  <c r="I2089" i="1" l="1"/>
  <c r="K2089" i="1" s="1"/>
  <c r="M2089" i="1" s="1"/>
  <c r="F2090" i="1"/>
  <c r="J2091" i="1" s="1"/>
  <c r="I2090" i="1" l="1"/>
  <c r="K2090" i="1" s="1"/>
  <c r="M2090" i="1" s="1"/>
  <c r="F2091" i="1" l="1"/>
  <c r="J2092" i="1" s="1"/>
  <c r="I2091" i="1" l="1"/>
  <c r="K2091" i="1" s="1"/>
  <c r="M2091" i="1" s="1"/>
  <c r="F2092" i="1" l="1"/>
  <c r="J2093" i="1" s="1"/>
  <c r="I2092" i="1" l="1"/>
  <c r="K2092" i="1" s="1"/>
  <c r="M2092" i="1" s="1"/>
  <c r="F2093" i="1"/>
  <c r="J2094" i="1" s="1"/>
  <c r="I2093" i="1" l="1"/>
  <c r="K2093" i="1" s="1"/>
  <c r="M2093" i="1" s="1"/>
  <c r="F2094" i="1"/>
  <c r="J2095" i="1" s="1"/>
  <c r="I2094" i="1" l="1"/>
  <c r="K2094" i="1" s="1"/>
  <c r="M2094" i="1" s="1"/>
  <c r="F2095" i="1" l="1"/>
  <c r="J2096" i="1" s="1"/>
  <c r="I2095" i="1" l="1"/>
  <c r="K2095" i="1" s="1"/>
  <c r="M2095" i="1" s="1"/>
  <c r="F2096" i="1" l="1"/>
  <c r="J2097" i="1" s="1"/>
  <c r="I2096" i="1" l="1"/>
  <c r="K2096" i="1" s="1"/>
  <c r="M2096" i="1" s="1"/>
  <c r="F2097" i="1"/>
  <c r="J2098" i="1" s="1"/>
  <c r="I2097" i="1" l="1"/>
  <c r="K2097" i="1" s="1"/>
  <c r="M2097" i="1" s="1"/>
  <c r="F2098" i="1"/>
  <c r="J2099" i="1" s="1"/>
  <c r="I2098" i="1" l="1"/>
  <c r="K2098" i="1" s="1"/>
  <c r="M2098" i="1" s="1"/>
  <c r="F2099" i="1" l="1"/>
  <c r="J2100" i="1" s="1"/>
  <c r="I2099" i="1" l="1"/>
  <c r="K2099" i="1" s="1"/>
  <c r="M2099" i="1" s="1"/>
  <c r="F2100" i="1" l="1"/>
  <c r="J2101" i="1" s="1"/>
  <c r="I2100" i="1" l="1"/>
  <c r="K2100" i="1" s="1"/>
  <c r="M2100" i="1" s="1"/>
  <c r="F2101" i="1"/>
  <c r="J2102" i="1" s="1"/>
  <c r="I2101" i="1" l="1"/>
  <c r="K2101" i="1" s="1"/>
  <c r="M2101" i="1" s="1"/>
  <c r="F2102" i="1" l="1"/>
  <c r="J2103" i="1" s="1"/>
  <c r="I2102" i="1" l="1"/>
  <c r="K2102" i="1" s="1"/>
  <c r="M2102" i="1" s="1"/>
  <c r="F2103" i="1"/>
  <c r="J2104" i="1" s="1"/>
  <c r="I2103" i="1" l="1"/>
  <c r="K2103" i="1" s="1"/>
  <c r="M2103" i="1" s="1"/>
  <c r="F2104" i="1"/>
  <c r="J2105" i="1" s="1"/>
  <c r="I2104" i="1" l="1"/>
  <c r="K2104" i="1" s="1"/>
  <c r="M2104" i="1" s="1"/>
  <c r="F2105" i="1"/>
  <c r="J2106" i="1" s="1"/>
  <c r="I2105" i="1" l="1"/>
  <c r="K2105" i="1" s="1"/>
  <c r="M2105" i="1" s="1"/>
  <c r="F2106" i="1"/>
  <c r="J2107" i="1" s="1"/>
  <c r="I2106" i="1" l="1"/>
  <c r="K2106" i="1" s="1"/>
  <c r="M2106" i="1" s="1"/>
  <c r="F2107" i="1"/>
  <c r="J2108" i="1" s="1"/>
  <c r="I2107" i="1" l="1"/>
  <c r="K2107" i="1" s="1"/>
  <c r="M2107" i="1" s="1"/>
  <c r="F2108" i="1"/>
  <c r="J2109" i="1" s="1"/>
  <c r="I2108" i="1" l="1"/>
  <c r="K2108" i="1" s="1"/>
  <c r="M2108" i="1" s="1"/>
  <c r="F2109" i="1" l="1"/>
  <c r="J2110" i="1" s="1"/>
  <c r="I2109" i="1" l="1"/>
  <c r="K2109" i="1" s="1"/>
  <c r="M2109" i="1" s="1"/>
  <c r="F2110" i="1" l="1"/>
  <c r="J2111" i="1" s="1"/>
  <c r="I2110" i="1" l="1"/>
  <c r="K2110" i="1" s="1"/>
  <c r="M2110" i="1" s="1"/>
  <c r="F2111" i="1" l="1"/>
  <c r="J2112" i="1" s="1"/>
  <c r="I2111" i="1" l="1"/>
  <c r="K2111" i="1" s="1"/>
  <c r="M2111" i="1" s="1"/>
  <c r="F2112" i="1" l="1"/>
  <c r="J2113" i="1" s="1"/>
  <c r="I2112" i="1" l="1"/>
  <c r="K2112" i="1" s="1"/>
  <c r="M2112" i="1" s="1"/>
  <c r="F2113" i="1" l="1"/>
  <c r="J2114" i="1" s="1"/>
  <c r="I2113" i="1" l="1"/>
  <c r="K2113" i="1" s="1"/>
  <c r="M2113" i="1" s="1"/>
  <c r="F2114" i="1" l="1"/>
  <c r="J2115" i="1" s="1"/>
  <c r="I2114" i="1" l="1"/>
  <c r="K2114" i="1" s="1"/>
  <c r="M2114" i="1" s="1"/>
  <c r="F2115" i="1"/>
  <c r="J2116" i="1" s="1"/>
  <c r="I2115" i="1" l="1"/>
  <c r="K2115" i="1" s="1"/>
  <c r="M2115" i="1" s="1"/>
  <c r="F2116" i="1"/>
  <c r="J2117" i="1" s="1"/>
  <c r="I2116" i="1" l="1"/>
  <c r="K2116" i="1" s="1"/>
  <c r="M2116" i="1" s="1"/>
  <c r="F2117" i="1"/>
  <c r="J2118" i="1" s="1"/>
  <c r="I2117" i="1" l="1"/>
  <c r="K2117" i="1" s="1"/>
  <c r="M2117" i="1" s="1"/>
  <c r="F2118" i="1" l="1"/>
  <c r="J2119" i="1" s="1"/>
  <c r="I2118" i="1" l="1"/>
  <c r="K2118" i="1" s="1"/>
  <c r="M2118" i="1" s="1"/>
  <c r="F2119" i="1" l="1"/>
  <c r="J2120" i="1" s="1"/>
  <c r="I2119" i="1" l="1"/>
  <c r="K2119" i="1" s="1"/>
  <c r="M2119" i="1" s="1"/>
  <c r="F2120" i="1" l="1"/>
  <c r="J2121" i="1" s="1"/>
  <c r="I2120" i="1" l="1"/>
  <c r="K2120" i="1" s="1"/>
  <c r="M2120" i="1" s="1"/>
  <c r="F2121" i="1" l="1"/>
  <c r="J2122" i="1" s="1"/>
  <c r="I2121" i="1" l="1"/>
  <c r="K2121" i="1" s="1"/>
  <c r="M2121" i="1" s="1"/>
  <c r="F2122" i="1"/>
  <c r="J2123" i="1" s="1"/>
  <c r="I2122" i="1" l="1"/>
  <c r="K2122" i="1" s="1"/>
  <c r="M2122" i="1" s="1"/>
  <c r="F2123" i="1" l="1"/>
  <c r="J2124" i="1" s="1"/>
  <c r="F2124" i="1"/>
  <c r="J2125" i="1" s="1"/>
  <c r="I2123" i="1" l="1"/>
  <c r="K2123" i="1" s="1"/>
  <c r="M2123" i="1" s="1"/>
  <c r="I2124" i="1"/>
  <c r="K2124" i="1" s="1"/>
  <c r="M2124" i="1" s="1"/>
  <c r="F2125" i="1" l="1"/>
  <c r="J2126" i="1" s="1"/>
  <c r="I2125" i="1" l="1"/>
  <c r="K2125" i="1" s="1"/>
  <c r="M2125" i="1" s="1"/>
  <c r="F2126" i="1" l="1"/>
  <c r="J2127" i="1" s="1"/>
  <c r="I2126" i="1" l="1"/>
  <c r="K2126" i="1" s="1"/>
  <c r="M2126" i="1" s="1"/>
  <c r="F2127" i="1"/>
  <c r="J2128" i="1" s="1"/>
  <c r="I2127" i="1" l="1"/>
  <c r="K2127" i="1" s="1"/>
  <c r="M2127" i="1" s="1"/>
  <c r="F2128" i="1" l="1"/>
  <c r="J2129" i="1" s="1"/>
  <c r="I2128" i="1" l="1"/>
  <c r="K2128" i="1" s="1"/>
  <c r="M2128" i="1" s="1"/>
  <c r="F2129" i="1"/>
  <c r="J2130" i="1" s="1"/>
  <c r="I2129" i="1" l="1"/>
  <c r="K2129" i="1" s="1"/>
  <c r="M2129" i="1" s="1"/>
  <c r="F2130" i="1"/>
  <c r="J2131" i="1" s="1"/>
  <c r="I2130" i="1" l="1"/>
  <c r="K2130" i="1" s="1"/>
  <c r="M2130" i="1" s="1"/>
  <c r="F2131" i="1"/>
  <c r="J2132" i="1" s="1"/>
  <c r="I2131" i="1" l="1"/>
  <c r="K2131" i="1" s="1"/>
  <c r="M2131" i="1" s="1"/>
  <c r="F2132" i="1" l="1"/>
  <c r="J2133" i="1" s="1"/>
  <c r="I2132" i="1" l="1"/>
  <c r="K2132" i="1" s="1"/>
  <c r="M2132" i="1" s="1"/>
  <c r="F2133" i="1" l="1"/>
  <c r="J2134" i="1" s="1"/>
  <c r="I2133" i="1" l="1"/>
  <c r="K2133" i="1" s="1"/>
  <c r="M2133" i="1" s="1"/>
  <c r="F2134" i="1" l="1"/>
  <c r="J2135" i="1" s="1"/>
  <c r="I2134" i="1" l="1"/>
  <c r="K2134" i="1" s="1"/>
  <c r="M2134" i="1" s="1"/>
  <c r="F2135" i="1" l="1"/>
  <c r="J2136" i="1" s="1"/>
  <c r="I2135" i="1" l="1"/>
  <c r="K2135" i="1" s="1"/>
  <c r="M2135" i="1" s="1"/>
  <c r="F2136" i="1" l="1"/>
  <c r="J2137" i="1" s="1"/>
  <c r="I2136" i="1" l="1"/>
  <c r="K2136" i="1" s="1"/>
  <c r="M2136" i="1" s="1"/>
  <c r="F2137" i="1"/>
  <c r="J2138" i="1" s="1"/>
  <c r="I2137" i="1" l="1"/>
  <c r="K2137" i="1" s="1"/>
  <c r="M2137" i="1" s="1"/>
  <c r="F2138" i="1" l="1"/>
  <c r="J2139" i="1" s="1"/>
  <c r="I2138" i="1" l="1"/>
  <c r="K2138" i="1" s="1"/>
  <c r="M2138" i="1" s="1"/>
  <c r="F2139" i="1" l="1"/>
  <c r="J2140" i="1" s="1"/>
  <c r="I2139" i="1" l="1"/>
  <c r="K2139" i="1" s="1"/>
  <c r="M2139" i="1" s="1"/>
  <c r="F2140" i="1"/>
  <c r="J2141" i="1" s="1"/>
  <c r="I2140" i="1" l="1"/>
  <c r="K2140" i="1" s="1"/>
  <c r="M2140" i="1" s="1"/>
  <c r="F2141" i="1"/>
  <c r="J2142" i="1" s="1"/>
  <c r="I2141" i="1" l="1"/>
  <c r="K2141" i="1" s="1"/>
  <c r="M2141" i="1" s="1"/>
  <c r="F2142" i="1"/>
  <c r="J2143" i="1" s="1"/>
  <c r="I2142" i="1" l="1"/>
  <c r="K2142" i="1" s="1"/>
  <c r="M2142" i="1" s="1"/>
  <c r="F2143" i="1" l="1"/>
  <c r="J2144" i="1" s="1"/>
  <c r="I2143" i="1" l="1"/>
  <c r="K2143" i="1" s="1"/>
  <c r="M2143" i="1" s="1"/>
  <c r="F2144" i="1"/>
  <c r="J2145" i="1" s="1"/>
  <c r="I2144" i="1" l="1"/>
  <c r="K2144" i="1" s="1"/>
  <c r="M2144" i="1" s="1"/>
  <c r="F2145" i="1"/>
  <c r="J2146" i="1" s="1"/>
  <c r="I2145" i="1" l="1"/>
  <c r="K2145" i="1" s="1"/>
  <c r="M2145" i="1" s="1"/>
  <c r="F2146" i="1" l="1"/>
  <c r="J2147" i="1" s="1"/>
  <c r="I2146" i="1" l="1"/>
  <c r="K2146" i="1" s="1"/>
  <c r="M2146" i="1" s="1"/>
  <c r="F2147" i="1"/>
  <c r="J2148" i="1" s="1"/>
  <c r="I2147" i="1" l="1"/>
  <c r="K2147" i="1" s="1"/>
  <c r="M2147" i="1" s="1"/>
  <c r="F2148" i="1"/>
  <c r="I2148" i="1" s="1"/>
  <c r="K2148" i="1" s="1"/>
  <c r="M2148" i="1" s="1"/>
  <c r="C2" i="6" l="1"/>
</calcChain>
</file>

<file path=xl/sharedStrings.xml><?xml version="1.0" encoding="utf-8"?>
<sst xmlns="http://schemas.openxmlformats.org/spreadsheetml/2006/main" count="42" uniqueCount="37">
  <si>
    <t>Projection (Months)</t>
  </si>
  <si>
    <t>Current Age</t>
  </si>
  <si>
    <t>Policy Duration</t>
  </si>
  <si>
    <t>qx</t>
  </si>
  <si>
    <t>Annual Lapse Rate</t>
  </si>
  <si>
    <t>No. Deaths</t>
  </si>
  <si>
    <t>No. Surrenders</t>
  </si>
  <si>
    <t>Premium Income</t>
  </si>
  <si>
    <t>Claims Outgo</t>
  </si>
  <si>
    <t>Profit</t>
  </si>
  <si>
    <t>Yield Curve</t>
  </si>
  <si>
    <t>Age</t>
  </si>
  <si>
    <t>Policy Index</t>
  </si>
  <si>
    <t>Premium</t>
  </si>
  <si>
    <t>Sum Assured</t>
  </si>
  <si>
    <t>Duration</t>
  </si>
  <si>
    <t>No. Active Policies(End Month)</t>
  </si>
  <si>
    <t>Present value of Profits</t>
  </si>
  <si>
    <t>Liability</t>
  </si>
  <si>
    <t>Index Lookup</t>
  </si>
  <si>
    <t>Value</t>
  </si>
  <si>
    <t>Number of Records</t>
  </si>
  <si>
    <t>This spreadsheet is a model to calculate the liabilities for a simple life assurance contract.</t>
  </si>
  <si>
    <t>1. Mortality table</t>
  </si>
  <si>
    <t>2. Lapse Table</t>
  </si>
  <si>
    <t>3. Yield Curve</t>
  </si>
  <si>
    <t>4. Policy Data</t>
  </si>
  <si>
    <t>It takes the following inputs:</t>
  </si>
  <si>
    <r>
      <t xml:space="preserve">The calculations themselves are done in the tab labelled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>.</t>
    </r>
  </si>
  <si>
    <r>
      <t xml:space="preserve">The button in the tab allows the calculations to loop through all of the policies and pastes the resultant liability in the </t>
    </r>
    <r>
      <rPr>
        <b/>
        <sz val="11"/>
        <color theme="1"/>
        <rFont val="Calibri"/>
        <family val="2"/>
        <scheme val="minor"/>
      </rPr>
      <t xml:space="preserve">results </t>
    </r>
    <r>
      <rPr>
        <sz val="11"/>
        <color theme="1"/>
        <rFont val="Calibri"/>
        <family val="2"/>
        <scheme val="minor"/>
      </rPr>
      <t>tab.</t>
    </r>
  </si>
  <si>
    <t>Note makes sure the spreadsheet calculations are set to automatic.</t>
  </si>
  <si>
    <t>AnnualLapseRate</t>
  </si>
  <si>
    <t>MonthlySpotRate</t>
  </si>
  <si>
    <t>AnnualPremium</t>
  </si>
  <si>
    <t>SumAssured</t>
  </si>
  <si>
    <t>DurationInforceMonths</t>
  </si>
  <si>
    <t>PolicyIndex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</si>
</sst>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_ * #,##0_ ;_ * \-#,##0_ ;_ * &quot;-&quot;??_ ;_ @_ "/>
    <numFmt numFmtId="166" formatCode="_ * #,##0.00000_ ;_ * \-#,##0.00000_ ;_ * &quot;-&quot;??_ ;_ @_ "/>
    <numFmt numFmtId="167" formatCode="_ * #,##0.00000_ ;_ * \-#,##0.00000_ ;_ * &quot;-&quot;???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42" applyFont="1"/>
    <xf numFmtId="164" fontId="0" fillId="0" borderId="0" xfId="0" applyNumberFormat="1"/>
    <xf numFmtId="0" fontId="16" fillId="0" borderId="10" xfId="0" applyFont="1" applyBorder="1"/>
    <xf numFmtId="0" fontId="0" fillId="0" borderId="10" xfId="0" applyBorder="1"/>
    <xf numFmtId="164" fontId="0" fillId="0" borderId="10" xfId="42" applyFont="1" applyBorder="1"/>
    <xf numFmtId="166" fontId="0" fillId="0" borderId="10" xfId="42" applyNumberFormat="1" applyFont="1" applyBorder="1"/>
    <xf numFmtId="164" fontId="0" fillId="0" borderId="10" xfId="0" applyNumberFormat="1" applyBorder="1"/>
    <xf numFmtId="167" fontId="0" fillId="0" borderId="10" xfId="0" applyNumberFormat="1" applyBorder="1"/>
    <xf numFmtId="165" fontId="0" fillId="0" borderId="10" xfId="42" applyNumberFormat="1" applyFont="1" applyBorder="1"/>
    <xf numFmtId="9" fontId="0" fillId="0" borderId="1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483079</xdr:colOff>
          <xdr:row>3</xdr:row>
          <xdr:rowOff>25879</xdr:rowOff>
        </xdr:from>
        <xdr:to>
          <xdr:col>5</xdr:col>
          <xdr:colOff>474453</xdr:colOff>
          <xdr:row>5</xdr:row>
          <xdr:rowOff>94891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 policies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AAD9-D752-442B-B6EB-367B8E7B9C2B}">
  <dimension ref="B2:B12"/>
  <sheetViews>
    <sheetView showGridLines="0" workbookViewId="0">
      <selection activeCell="E19" sqref="E19"/>
    </sheetView>
  </sheetViews>
  <sheetFormatPr defaultRowHeight="14.3" x14ac:dyDescent="0.25"/>
  <sheetData>
    <row r="2" spans="2:2" x14ac:dyDescent="0.25">
      <c r="B2" t="s">
        <v>22</v>
      </c>
    </row>
    <row r="3" spans="2:2" x14ac:dyDescent="0.25">
      <c r="B3" t="s">
        <v>27</v>
      </c>
    </row>
    <row r="5" spans="2:2" x14ac:dyDescent="0.25">
      <c r="B5" t="s">
        <v>23</v>
      </c>
    </row>
    <row r="6" spans="2:2" x14ac:dyDescent="0.25">
      <c r="B6" t="s">
        <v>24</v>
      </c>
    </row>
    <row r="7" spans="2:2" x14ac:dyDescent="0.25">
      <c r="B7" t="s">
        <v>25</v>
      </c>
    </row>
    <row r="8" spans="2:2" x14ac:dyDescent="0.25">
      <c r="B8" t="s">
        <v>26</v>
      </c>
    </row>
    <row r="10" spans="2:2" x14ac:dyDescent="0.25">
      <c r="B10" t="s">
        <v>28</v>
      </c>
    </row>
    <row r="11" spans="2:2" x14ac:dyDescent="0.25">
      <c r="B11" t="s">
        <v>29</v>
      </c>
    </row>
    <row r="12" spans="2:2" x14ac:dyDescent="0.25">
      <c r="B12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5507-D52F-4C6B-A07D-3625657398AD}">
  <sheetPr codeName="Sheet1"/>
  <dimension ref="A1:B118"/>
  <sheetViews>
    <sheetView showGridLines="0" workbookViewId="0"/>
  </sheetViews>
  <sheetFormatPr defaultRowHeight="14.3" x14ac:dyDescent="0.25"/>
  <sheetData>
    <row r="1" spans="1:2" x14ac:dyDescent="0.25">
      <c r="A1" s="3" t="s">
        <v>11</v>
      </c>
      <c r="B1" s="3" t="s">
        <v>3</v>
      </c>
    </row>
    <row r="2" spans="1:2" x14ac:dyDescent="0.25">
      <c r="A2" s="4">
        <v>1</v>
      </c>
      <c r="B2" s="4">
        <v>1.89E-3</v>
      </c>
    </row>
    <row r="3" spans="1:2" x14ac:dyDescent="0.25">
      <c r="A3" s="4">
        <v>2</v>
      </c>
      <c r="B3" s="4">
        <v>1.89E-3</v>
      </c>
    </row>
    <row r="4" spans="1:2" x14ac:dyDescent="0.25">
      <c r="A4" s="4">
        <v>3</v>
      </c>
      <c r="B4" s="4">
        <v>1.89E-3</v>
      </c>
    </row>
    <row r="5" spans="1:2" x14ac:dyDescent="0.25">
      <c r="A5" s="4">
        <v>4</v>
      </c>
      <c r="B5" s="4">
        <v>1.89E-3</v>
      </c>
    </row>
    <row r="6" spans="1:2" x14ac:dyDescent="0.25">
      <c r="A6" s="4">
        <v>5</v>
      </c>
      <c r="B6" s="4">
        <v>1.89E-3</v>
      </c>
    </row>
    <row r="7" spans="1:2" x14ac:dyDescent="0.25">
      <c r="A7" s="4">
        <v>6</v>
      </c>
      <c r="B7" s="4">
        <v>1.89E-3</v>
      </c>
    </row>
    <row r="8" spans="1:2" x14ac:dyDescent="0.25">
      <c r="A8" s="4">
        <v>7</v>
      </c>
      <c r="B8" s="4">
        <v>1.89E-3</v>
      </c>
    </row>
    <row r="9" spans="1:2" x14ac:dyDescent="0.25">
      <c r="A9" s="4">
        <v>8</v>
      </c>
      <c r="B9" s="4">
        <v>1.89E-3</v>
      </c>
    </row>
    <row r="10" spans="1:2" x14ac:dyDescent="0.25">
      <c r="A10" s="4">
        <v>9</v>
      </c>
      <c r="B10" s="4">
        <v>1.89E-3</v>
      </c>
    </row>
    <row r="11" spans="1:2" x14ac:dyDescent="0.25">
      <c r="A11" s="4">
        <v>10</v>
      </c>
      <c r="B11" s="4">
        <v>1.89E-3</v>
      </c>
    </row>
    <row r="12" spans="1:2" x14ac:dyDescent="0.25">
      <c r="A12" s="4">
        <v>11</v>
      </c>
      <c r="B12" s="4">
        <v>1.89E-3</v>
      </c>
    </row>
    <row r="13" spans="1:2" x14ac:dyDescent="0.25">
      <c r="A13" s="4">
        <v>12</v>
      </c>
      <c r="B13" s="4">
        <v>1.89E-3</v>
      </c>
    </row>
    <row r="14" spans="1:2" x14ac:dyDescent="0.25">
      <c r="A14" s="4">
        <v>13</v>
      </c>
      <c r="B14" s="4">
        <v>1.89E-3</v>
      </c>
    </row>
    <row r="15" spans="1:2" x14ac:dyDescent="0.25">
      <c r="A15" s="4">
        <v>14</v>
      </c>
      <c r="B15" s="4">
        <v>1.89E-3</v>
      </c>
    </row>
    <row r="16" spans="1:2" x14ac:dyDescent="0.25">
      <c r="A16" s="4">
        <v>15</v>
      </c>
      <c r="B16" s="4">
        <v>1.89E-3</v>
      </c>
    </row>
    <row r="17" spans="1:2" x14ac:dyDescent="0.25">
      <c r="A17" s="4">
        <v>16</v>
      </c>
      <c r="B17" s="4">
        <v>2.3999999999999998E-3</v>
      </c>
    </row>
    <row r="18" spans="1:2" x14ac:dyDescent="0.25">
      <c r="A18" s="4">
        <v>17</v>
      </c>
      <c r="B18" s="4">
        <v>2.9499999999999999E-3</v>
      </c>
    </row>
    <row r="19" spans="1:2" x14ac:dyDescent="0.25">
      <c r="A19" s="4">
        <v>18</v>
      </c>
      <c r="B19" s="4">
        <v>3.3E-3</v>
      </c>
    </row>
    <row r="20" spans="1:2" x14ac:dyDescent="0.25">
      <c r="A20" s="4">
        <v>19</v>
      </c>
      <c r="B20" s="4">
        <v>3.3500000000000001E-3</v>
      </c>
    </row>
    <row r="21" spans="1:2" x14ac:dyDescent="0.25">
      <c r="A21" s="4">
        <v>20</v>
      </c>
      <c r="B21" s="4">
        <v>3.0200000000000001E-3</v>
      </c>
    </row>
    <row r="22" spans="1:2" x14ac:dyDescent="0.25">
      <c r="A22" s="4">
        <v>21</v>
      </c>
      <c r="B22" s="4">
        <v>2.8300000000000001E-3</v>
      </c>
    </row>
    <row r="23" spans="1:2" x14ac:dyDescent="0.25">
      <c r="A23" s="4">
        <v>22</v>
      </c>
      <c r="B23" s="4">
        <v>3.1800000000000001E-3</v>
      </c>
    </row>
    <row r="24" spans="1:2" x14ac:dyDescent="0.25">
      <c r="A24" s="4">
        <v>23</v>
      </c>
      <c r="B24" s="4">
        <v>3.3700000000000002E-3</v>
      </c>
    </row>
    <row r="25" spans="1:2" x14ac:dyDescent="0.25">
      <c r="A25" s="4">
        <v>24</v>
      </c>
      <c r="B25" s="4">
        <v>3.3700000000000002E-3</v>
      </c>
    </row>
    <row r="26" spans="1:2" x14ac:dyDescent="0.25">
      <c r="A26" s="4">
        <v>25</v>
      </c>
      <c r="B26" s="4">
        <v>3.15E-3</v>
      </c>
    </row>
    <row r="27" spans="1:2" x14ac:dyDescent="0.25">
      <c r="A27" s="4">
        <v>26</v>
      </c>
      <c r="B27" s="4">
        <v>2.99E-3</v>
      </c>
    </row>
    <row r="28" spans="1:2" x14ac:dyDescent="0.25">
      <c r="A28" s="4">
        <v>27</v>
      </c>
      <c r="B28" s="4">
        <v>2.9199999999999999E-3</v>
      </c>
    </row>
    <row r="29" spans="1:2" x14ac:dyDescent="0.25">
      <c r="A29" s="4">
        <v>28</v>
      </c>
      <c r="B29" s="4">
        <v>2.8700000000000002E-3</v>
      </c>
    </row>
    <row r="30" spans="1:2" x14ac:dyDescent="0.25">
      <c r="A30" s="4">
        <v>29</v>
      </c>
      <c r="B30" s="4">
        <v>2.8500000000000001E-3</v>
      </c>
    </row>
    <row r="31" spans="1:2" x14ac:dyDescent="0.25">
      <c r="A31" s="4">
        <v>30</v>
      </c>
      <c r="B31" s="4">
        <v>2.8600000000000001E-3</v>
      </c>
    </row>
    <row r="32" spans="1:2" x14ac:dyDescent="0.25">
      <c r="A32" s="4">
        <v>31</v>
      </c>
      <c r="B32" s="4">
        <v>2.8900000000000002E-3</v>
      </c>
    </row>
    <row r="33" spans="1:2" x14ac:dyDescent="0.25">
      <c r="A33" s="4">
        <v>32</v>
      </c>
      <c r="B33" s="4">
        <v>2.9499999999999999E-3</v>
      </c>
    </row>
    <row r="34" spans="1:2" x14ac:dyDescent="0.25">
      <c r="A34" s="4">
        <v>33</v>
      </c>
      <c r="B34" s="4">
        <v>3.0300000000000001E-3</v>
      </c>
    </row>
    <row r="35" spans="1:2" x14ac:dyDescent="0.25">
      <c r="A35" s="4">
        <v>34</v>
      </c>
      <c r="B35" s="4">
        <v>3.13E-3</v>
      </c>
    </row>
    <row r="36" spans="1:2" x14ac:dyDescent="0.25">
      <c r="A36" s="4">
        <v>35</v>
      </c>
      <c r="B36" s="4">
        <v>3.2399999999999998E-3</v>
      </c>
    </row>
    <row r="37" spans="1:2" x14ac:dyDescent="0.25">
      <c r="A37" s="4">
        <v>36</v>
      </c>
      <c r="B37" s="4">
        <v>3.3700000000000002E-3</v>
      </c>
    </row>
    <row r="38" spans="1:2" x14ac:dyDescent="0.25">
      <c r="A38" s="4">
        <v>37</v>
      </c>
      <c r="B38" s="4">
        <v>3.5100000000000001E-3</v>
      </c>
    </row>
    <row r="39" spans="1:2" x14ac:dyDescent="0.25">
      <c r="A39" s="4">
        <v>38</v>
      </c>
      <c r="B39" s="4">
        <v>3.6700000000000001E-3</v>
      </c>
    </row>
    <row r="40" spans="1:2" x14ac:dyDescent="0.25">
      <c r="A40" s="4">
        <v>39</v>
      </c>
      <c r="B40" s="4">
        <v>3.8300000000000001E-3</v>
      </c>
    </row>
    <row r="41" spans="1:2" x14ac:dyDescent="0.25">
      <c r="A41" s="4">
        <v>40</v>
      </c>
      <c r="B41" s="4">
        <v>4.0000000000000001E-3</v>
      </c>
    </row>
    <row r="42" spans="1:2" x14ac:dyDescent="0.25">
      <c r="A42" s="4">
        <v>41</v>
      </c>
      <c r="B42" s="4">
        <v>4.1700000000000001E-3</v>
      </c>
    </row>
    <row r="43" spans="1:2" x14ac:dyDescent="0.25">
      <c r="A43" s="4">
        <v>42</v>
      </c>
      <c r="B43" s="4">
        <v>4.3400000000000001E-3</v>
      </c>
    </row>
    <row r="44" spans="1:2" x14ac:dyDescent="0.25">
      <c r="A44" s="4">
        <v>43</v>
      </c>
      <c r="B44" s="4">
        <v>4.5100000000000001E-3</v>
      </c>
    </row>
    <row r="45" spans="1:2" x14ac:dyDescent="0.25">
      <c r="A45" s="4">
        <v>44</v>
      </c>
      <c r="B45" s="4">
        <v>4.6800000000000001E-3</v>
      </c>
    </row>
    <row r="46" spans="1:2" x14ac:dyDescent="0.25">
      <c r="A46" s="4">
        <v>45</v>
      </c>
      <c r="B46" s="4">
        <v>4.8399999999999997E-3</v>
      </c>
    </row>
    <row r="47" spans="1:2" x14ac:dyDescent="0.25">
      <c r="A47" s="4">
        <v>46</v>
      </c>
      <c r="B47" s="4">
        <v>5.0299999999999997E-3</v>
      </c>
    </row>
    <row r="48" spans="1:2" x14ac:dyDescent="0.25">
      <c r="A48" s="4">
        <v>47</v>
      </c>
      <c r="B48" s="4">
        <v>5.3E-3</v>
      </c>
    </row>
    <row r="49" spans="1:2" x14ac:dyDescent="0.25">
      <c r="A49" s="4">
        <v>48</v>
      </c>
      <c r="B49" s="4">
        <v>5.6699999999999997E-3</v>
      </c>
    </row>
    <row r="50" spans="1:2" x14ac:dyDescent="0.25">
      <c r="A50" s="4">
        <v>49</v>
      </c>
      <c r="B50" s="4">
        <v>6.13E-3</v>
      </c>
    </row>
    <row r="51" spans="1:2" x14ac:dyDescent="0.25">
      <c r="A51" s="4">
        <v>50</v>
      </c>
      <c r="B51" s="4">
        <v>6.6699999999999997E-3</v>
      </c>
    </row>
    <row r="52" spans="1:2" x14ac:dyDescent="0.25">
      <c r="A52" s="4">
        <v>51</v>
      </c>
      <c r="B52" s="4">
        <v>7.28E-3</v>
      </c>
    </row>
    <row r="53" spans="1:2" x14ac:dyDescent="0.25">
      <c r="A53" s="4">
        <v>52</v>
      </c>
      <c r="B53" s="4">
        <v>7.9600000000000001E-3</v>
      </c>
    </row>
    <row r="54" spans="1:2" x14ac:dyDescent="0.25">
      <c r="A54" s="4">
        <v>53</v>
      </c>
      <c r="B54" s="4">
        <v>8.6999999999999994E-3</v>
      </c>
    </row>
    <row r="55" spans="1:2" x14ac:dyDescent="0.25">
      <c r="A55" s="4">
        <v>54</v>
      </c>
      <c r="B55" s="4">
        <v>9.4900000000000002E-3</v>
      </c>
    </row>
    <row r="56" spans="1:2" x14ac:dyDescent="0.25">
      <c r="A56" s="4">
        <v>55</v>
      </c>
      <c r="B56" s="4">
        <v>1.038E-2</v>
      </c>
    </row>
    <row r="57" spans="1:2" x14ac:dyDescent="0.25">
      <c r="A57" s="4">
        <v>56</v>
      </c>
      <c r="B57" s="4">
        <v>1.1390000000000001E-2</v>
      </c>
    </row>
    <row r="58" spans="1:2" x14ac:dyDescent="0.25">
      <c r="A58" s="4">
        <v>57</v>
      </c>
      <c r="B58" s="4">
        <v>1.2500000000000001E-2</v>
      </c>
    </row>
    <row r="59" spans="1:2" x14ac:dyDescent="0.25">
      <c r="A59" s="4">
        <v>58</v>
      </c>
      <c r="B59" s="4">
        <v>1.371E-2</v>
      </c>
    </row>
    <row r="60" spans="1:2" x14ac:dyDescent="0.25">
      <c r="A60" s="4">
        <v>59</v>
      </c>
      <c r="B60" s="4">
        <v>1.504E-2</v>
      </c>
    </row>
    <row r="61" spans="1:2" x14ac:dyDescent="0.25">
      <c r="A61" s="4">
        <v>60</v>
      </c>
      <c r="B61" s="4">
        <v>1.6490000000000001E-2</v>
      </c>
    </row>
    <row r="62" spans="1:2" x14ac:dyDescent="0.25">
      <c r="A62" s="4">
        <v>61</v>
      </c>
      <c r="B62" s="4">
        <v>1.8089999999999998E-2</v>
      </c>
    </row>
    <row r="63" spans="1:2" x14ac:dyDescent="0.25">
      <c r="A63" s="4">
        <v>62</v>
      </c>
      <c r="B63" s="4">
        <v>1.983E-2</v>
      </c>
    </row>
    <row r="64" spans="1:2" x14ac:dyDescent="0.25">
      <c r="A64" s="4">
        <v>63</v>
      </c>
      <c r="B64" s="4">
        <v>2.1739999999999999E-2</v>
      </c>
    </row>
    <row r="65" spans="1:2" x14ac:dyDescent="0.25">
      <c r="A65" s="4">
        <v>64</v>
      </c>
      <c r="B65" s="4">
        <v>2.384E-2</v>
      </c>
    </row>
    <row r="66" spans="1:2" x14ac:dyDescent="0.25">
      <c r="A66" s="4">
        <v>65</v>
      </c>
      <c r="B66" s="4">
        <v>2.6120000000000001E-2</v>
      </c>
    </row>
    <row r="67" spans="1:2" x14ac:dyDescent="0.25">
      <c r="A67" s="4">
        <v>66</v>
      </c>
      <c r="B67" s="4">
        <v>2.8629999999999999E-2</v>
      </c>
    </row>
    <row r="68" spans="1:2" x14ac:dyDescent="0.25">
      <c r="A68" s="4">
        <v>67</v>
      </c>
      <c r="B68" s="4">
        <v>3.1359999999999999E-2</v>
      </c>
    </row>
    <row r="69" spans="1:2" x14ac:dyDescent="0.25">
      <c r="A69" s="4">
        <v>68</v>
      </c>
      <c r="B69" s="4">
        <v>3.4360000000000002E-2</v>
      </c>
    </row>
    <row r="70" spans="1:2" x14ac:dyDescent="0.25">
      <c r="A70" s="4">
        <v>69</v>
      </c>
      <c r="B70" s="4">
        <v>3.7629999999999997E-2</v>
      </c>
    </row>
    <row r="71" spans="1:2" x14ac:dyDescent="0.25">
      <c r="A71" s="4">
        <v>70</v>
      </c>
      <c r="B71" s="4">
        <v>4.1209999999999997E-2</v>
      </c>
    </row>
    <row r="72" spans="1:2" x14ac:dyDescent="0.25">
      <c r="A72" s="4">
        <v>71</v>
      </c>
      <c r="B72" s="4">
        <v>4.5109999999999997E-2</v>
      </c>
    </row>
    <row r="73" spans="1:2" x14ac:dyDescent="0.25">
      <c r="A73" s="4">
        <v>72</v>
      </c>
      <c r="B73" s="4">
        <v>4.9369999999999997E-2</v>
      </c>
    </row>
    <row r="74" spans="1:2" x14ac:dyDescent="0.25">
      <c r="A74" s="4">
        <v>73</v>
      </c>
      <c r="B74" s="4">
        <v>5.4030000000000002E-2</v>
      </c>
    </row>
    <row r="75" spans="1:2" x14ac:dyDescent="0.25">
      <c r="A75" s="4">
        <v>74</v>
      </c>
      <c r="B75" s="4">
        <v>5.91E-2</v>
      </c>
    </row>
    <row r="76" spans="1:2" x14ac:dyDescent="0.25">
      <c r="A76" s="4">
        <v>75</v>
      </c>
      <c r="B76" s="4">
        <v>6.4630000000000007E-2</v>
      </c>
    </row>
    <row r="77" spans="1:2" x14ac:dyDescent="0.25">
      <c r="A77" s="4">
        <v>76</v>
      </c>
      <c r="B77" s="4">
        <v>7.0660000000000001E-2</v>
      </c>
    </row>
    <row r="78" spans="1:2" x14ac:dyDescent="0.25">
      <c r="A78" s="4">
        <v>77</v>
      </c>
      <c r="B78" s="4">
        <v>7.7229999999999993E-2</v>
      </c>
    </row>
    <row r="79" spans="1:2" x14ac:dyDescent="0.25">
      <c r="A79" s="4">
        <v>78</v>
      </c>
      <c r="B79" s="4">
        <v>8.4370000000000001E-2</v>
      </c>
    </row>
    <row r="80" spans="1:2" x14ac:dyDescent="0.25">
      <c r="A80" s="4">
        <v>79</v>
      </c>
      <c r="B80" s="4">
        <v>9.214E-2</v>
      </c>
    </row>
    <row r="81" spans="1:2" x14ac:dyDescent="0.25">
      <c r="A81" s="4">
        <v>80</v>
      </c>
      <c r="B81" s="4">
        <v>0.10059</v>
      </c>
    </row>
    <row r="82" spans="1:2" x14ac:dyDescent="0.25">
      <c r="A82" s="4">
        <v>81</v>
      </c>
      <c r="B82" s="4">
        <v>0.14982000000000001</v>
      </c>
    </row>
    <row r="83" spans="1:2" x14ac:dyDescent="0.25">
      <c r="A83" s="4">
        <v>82</v>
      </c>
      <c r="B83" s="4">
        <v>0.16214999999999999</v>
      </c>
    </row>
    <row r="84" spans="1:2" x14ac:dyDescent="0.25">
      <c r="A84" s="4">
        <v>83</v>
      </c>
      <c r="B84" s="4">
        <v>0.17538000000000001</v>
      </c>
    </row>
    <row r="85" spans="1:2" x14ac:dyDescent="0.25">
      <c r="A85" s="4">
        <v>84</v>
      </c>
      <c r="B85" s="4">
        <v>0.18956999999999999</v>
      </c>
    </row>
    <row r="86" spans="1:2" x14ac:dyDescent="0.25">
      <c r="A86" s="4">
        <v>85</v>
      </c>
      <c r="B86" s="4">
        <v>0.20476</v>
      </c>
    </row>
    <row r="87" spans="1:2" x14ac:dyDescent="0.25">
      <c r="A87" s="4">
        <v>86</v>
      </c>
      <c r="B87" s="4">
        <v>0.22098999999999999</v>
      </c>
    </row>
    <row r="88" spans="1:2" x14ac:dyDescent="0.25">
      <c r="A88" s="4">
        <v>87</v>
      </c>
      <c r="B88" s="4">
        <v>0.23830000000000001</v>
      </c>
    </row>
    <row r="89" spans="1:2" x14ac:dyDescent="0.25">
      <c r="A89" s="4">
        <v>88</v>
      </c>
      <c r="B89" s="4">
        <v>0.25674000000000002</v>
      </c>
    </row>
    <row r="90" spans="1:2" x14ac:dyDescent="0.25">
      <c r="A90" s="4">
        <v>89</v>
      </c>
      <c r="B90" s="4">
        <v>0.27632000000000001</v>
      </c>
    </row>
    <row r="91" spans="1:2" x14ac:dyDescent="0.25">
      <c r="A91" s="4">
        <v>90</v>
      </c>
      <c r="B91" s="4">
        <v>0.29708000000000001</v>
      </c>
    </row>
    <row r="92" spans="1:2" x14ac:dyDescent="0.25">
      <c r="A92" s="4">
        <v>91</v>
      </c>
      <c r="B92" s="4">
        <v>0.31902999999999998</v>
      </c>
    </row>
    <row r="93" spans="1:2" x14ac:dyDescent="0.25">
      <c r="A93" s="4">
        <v>92</v>
      </c>
      <c r="B93" s="4">
        <v>0.34217999999999998</v>
      </c>
    </row>
    <row r="94" spans="1:2" x14ac:dyDescent="0.25">
      <c r="A94" s="4">
        <v>93</v>
      </c>
      <c r="B94" s="4">
        <v>0.36651</v>
      </c>
    </row>
    <row r="95" spans="1:2" x14ac:dyDescent="0.25">
      <c r="A95" s="4">
        <v>94</v>
      </c>
      <c r="B95" s="4">
        <v>0.39201000000000003</v>
      </c>
    </row>
    <row r="96" spans="1:2" x14ac:dyDescent="0.25">
      <c r="A96" s="4">
        <v>95</v>
      </c>
      <c r="B96" s="4">
        <v>0.41864000000000001</v>
      </c>
    </row>
    <row r="97" spans="1:2" x14ac:dyDescent="0.25">
      <c r="A97" s="4">
        <v>96</v>
      </c>
      <c r="B97" s="4">
        <v>0.44634000000000001</v>
      </c>
    </row>
    <row r="98" spans="1:2" x14ac:dyDescent="0.25">
      <c r="A98" s="4">
        <v>97</v>
      </c>
      <c r="B98" s="4">
        <v>0.47503000000000001</v>
      </c>
    </row>
    <row r="99" spans="1:2" x14ac:dyDescent="0.25">
      <c r="A99" s="4">
        <v>98</v>
      </c>
      <c r="B99" s="4">
        <v>0.50461</v>
      </c>
    </row>
    <row r="100" spans="1:2" x14ac:dyDescent="0.25">
      <c r="A100" s="4">
        <v>99</v>
      </c>
      <c r="B100" s="4">
        <v>0.53495999999999999</v>
      </c>
    </row>
    <row r="101" spans="1:2" x14ac:dyDescent="0.25">
      <c r="A101" s="4">
        <v>100</v>
      </c>
      <c r="B101" s="4">
        <v>0.56591999999999998</v>
      </c>
    </row>
    <row r="102" spans="1:2" x14ac:dyDescent="0.25">
      <c r="A102" s="4">
        <v>101</v>
      </c>
      <c r="B102" s="4">
        <v>0.59733000000000003</v>
      </c>
    </row>
    <row r="103" spans="1:2" x14ac:dyDescent="0.25">
      <c r="A103" s="4">
        <v>102</v>
      </c>
      <c r="B103" s="4">
        <v>0.59733000000000003</v>
      </c>
    </row>
    <row r="104" spans="1:2" x14ac:dyDescent="0.25">
      <c r="A104" s="4">
        <v>103</v>
      </c>
      <c r="B104" s="4">
        <v>0.59733000000000003</v>
      </c>
    </row>
    <row r="105" spans="1:2" x14ac:dyDescent="0.25">
      <c r="A105" s="4">
        <v>104</v>
      </c>
      <c r="B105" s="4">
        <v>0.59733000000000003</v>
      </c>
    </row>
    <row r="106" spans="1:2" x14ac:dyDescent="0.25">
      <c r="A106" s="4">
        <v>105</v>
      </c>
      <c r="B106" s="4">
        <v>0.59733000000000003</v>
      </c>
    </row>
    <row r="107" spans="1:2" x14ac:dyDescent="0.25">
      <c r="A107" s="4">
        <v>106</v>
      </c>
      <c r="B107" s="4">
        <v>0.59733000000000003</v>
      </c>
    </row>
    <row r="108" spans="1:2" x14ac:dyDescent="0.25">
      <c r="A108" s="4">
        <v>107</v>
      </c>
      <c r="B108" s="4">
        <v>0.59733000000000003</v>
      </c>
    </row>
    <row r="109" spans="1:2" x14ac:dyDescent="0.25">
      <c r="A109" s="4">
        <v>108</v>
      </c>
      <c r="B109" s="4">
        <v>0.59733000000000003</v>
      </c>
    </row>
    <row r="110" spans="1:2" x14ac:dyDescent="0.25">
      <c r="A110" s="4">
        <v>109</v>
      </c>
      <c r="B110" s="4">
        <v>0.59733000000000003</v>
      </c>
    </row>
    <row r="111" spans="1:2" x14ac:dyDescent="0.25">
      <c r="A111" s="4">
        <v>110</v>
      </c>
      <c r="B111" s="4">
        <v>0.59733000000000003</v>
      </c>
    </row>
    <row r="112" spans="1:2" x14ac:dyDescent="0.25">
      <c r="A112" s="4">
        <v>111</v>
      </c>
      <c r="B112" s="4">
        <v>0.59733000000000003</v>
      </c>
    </row>
    <row r="113" spans="1:2" x14ac:dyDescent="0.25">
      <c r="A113" s="4">
        <v>112</v>
      </c>
      <c r="B113" s="4">
        <v>0.59733000000000003</v>
      </c>
    </row>
    <row r="114" spans="1:2" x14ac:dyDescent="0.25">
      <c r="A114" s="4">
        <v>113</v>
      </c>
      <c r="B114" s="4">
        <v>0.59733000000000003</v>
      </c>
    </row>
    <row r="115" spans="1:2" x14ac:dyDescent="0.25">
      <c r="A115" s="4">
        <v>114</v>
      </c>
      <c r="B115" s="4">
        <v>0.59733000000000003</v>
      </c>
    </row>
    <row r="116" spans="1:2" x14ac:dyDescent="0.25">
      <c r="A116" s="4">
        <v>115</v>
      </c>
      <c r="B116" s="4">
        <v>0.59733000000000003</v>
      </c>
    </row>
    <row r="117" spans="1:2" x14ac:dyDescent="0.25">
      <c r="A117" s="4">
        <v>116</v>
      </c>
      <c r="B117" s="4">
        <v>0.59733000000000003</v>
      </c>
    </row>
    <row r="118" spans="1:2" x14ac:dyDescent="0.25">
      <c r="A118" s="4">
        <v>117</v>
      </c>
      <c r="B118" s="4">
        <v>0.59733000000000003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BD32-2B72-4AC8-A94E-70139CB7F848}">
  <sheetPr codeName="Sheet2"/>
  <dimension ref="A1:B11"/>
  <sheetViews>
    <sheetView showGridLines="0" workbookViewId="0">
      <selection activeCell="B2" sqref="B2"/>
    </sheetView>
  </sheetViews>
  <sheetFormatPr defaultRowHeight="14.3" x14ac:dyDescent="0.25"/>
  <cols>
    <col min="1" max="1" width="8.5" bestFit="1" customWidth="1"/>
    <col min="2" max="2" width="15.75" bestFit="1" customWidth="1"/>
  </cols>
  <sheetData>
    <row r="1" spans="1:2" x14ac:dyDescent="0.25">
      <c r="A1" s="3" t="s">
        <v>15</v>
      </c>
      <c r="B1" s="3" t="s">
        <v>31</v>
      </c>
    </row>
    <row r="2" spans="1:2" x14ac:dyDescent="0.25">
      <c r="A2" s="4">
        <v>1</v>
      </c>
      <c r="B2" s="10">
        <v>0.1</v>
      </c>
    </row>
    <row r="3" spans="1:2" x14ac:dyDescent="0.25">
      <c r="A3" s="4">
        <v>2</v>
      </c>
      <c r="B3" s="10">
        <v>0.09</v>
      </c>
    </row>
    <row r="4" spans="1:2" x14ac:dyDescent="0.25">
      <c r="A4" s="4">
        <v>3</v>
      </c>
      <c r="B4" s="10">
        <v>0.08</v>
      </c>
    </row>
    <row r="5" spans="1:2" x14ac:dyDescent="0.25">
      <c r="A5" s="4">
        <v>4</v>
      </c>
      <c r="B5" s="10">
        <v>7.0000000000000007E-2</v>
      </c>
    </row>
    <row r="6" spans="1:2" x14ac:dyDescent="0.25">
      <c r="A6" s="4">
        <v>5</v>
      </c>
      <c r="B6" s="10">
        <v>0.06</v>
      </c>
    </row>
    <row r="7" spans="1:2" x14ac:dyDescent="0.25">
      <c r="A7" s="4">
        <v>6</v>
      </c>
      <c r="B7" s="10">
        <v>0.05</v>
      </c>
    </row>
    <row r="8" spans="1:2" x14ac:dyDescent="0.25">
      <c r="A8" s="4">
        <v>7</v>
      </c>
      <c r="B8" s="10">
        <v>0.04</v>
      </c>
    </row>
    <row r="9" spans="1:2" x14ac:dyDescent="0.25">
      <c r="A9" s="4">
        <v>8</v>
      </c>
      <c r="B9" s="10">
        <v>0.03</v>
      </c>
    </row>
    <row r="10" spans="1:2" x14ac:dyDescent="0.25">
      <c r="A10" s="4">
        <v>9</v>
      </c>
      <c r="B10" s="10">
        <v>0.02</v>
      </c>
    </row>
    <row r="11" spans="1:2" x14ac:dyDescent="0.25">
      <c r="A11" s="4">
        <v>10</v>
      </c>
      <c r="B11" s="1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8C32-3E64-44F7-AC04-FBE0FDD51305}">
  <sheetPr codeName="Sheet3"/>
  <dimension ref="A1:B624"/>
  <sheetViews>
    <sheetView showGridLines="0" workbookViewId="0">
      <selection activeCell="B2" sqref="B2"/>
    </sheetView>
  </sheetViews>
  <sheetFormatPr defaultRowHeight="14.3" x14ac:dyDescent="0.25"/>
  <cols>
    <col min="1" max="1" width="17.625" bestFit="1" customWidth="1"/>
    <col min="2" max="2" width="16.625" bestFit="1" customWidth="1"/>
  </cols>
  <sheetData>
    <row r="1" spans="1:2" x14ac:dyDescent="0.25">
      <c r="A1" s="3" t="s">
        <v>15</v>
      </c>
      <c r="B1" s="3" t="s">
        <v>32</v>
      </c>
    </row>
    <row r="2" spans="1:2" x14ac:dyDescent="0.25">
      <c r="A2" s="4">
        <v>1</v>
      </c>
      <c r="B2" s="10">
        <v>0.1</v>
      </c>
    </row>
    <row r="3" spans="1:2" x14ac:dyDescent="0.25">
      <c r="A3" s="4">
        <v>2</v>
      </c>
      <c r="B3" s="10">
        <v>0.1</v>
      </c>
    </row>
    <row r="4" spans="1:2" x14ac:dyDescent="0.25">
      <c r="A4" s="4">
        <v>3</v>
      </c>
      <c r="B4" s="10">
        <v>0.1</v>
      </c>
    </row>
    <row r="5" spans="1:2" x14ac:dyDescent="0.25">
      <c r="A5" s="4">
        <v>4</v>
      </c>
      <c r="B5" s="10">
        <v>0.1</v>
      </c>
    </row>
    <row r="6" spans="1:2" x14ac:dyDescent="0.25">
      <c r="A6" s="4">
        <v>5</v>
      </c>
      <c r="B6" s="10">
        <v>0.1</v>
      </c>
    </row>
    <row r="7" spans="1:2" x14ac:dyDescent="0.25">
      <c r="A7" s="4">
        <v>6</v>
      </c>
      <c r="B7" s="10">
        <v>0.1</v>
      </c>
    </row>
    <row r="8" spans="1:2" x14ac:dyDescent="0.25">
      <c r="A8" s="4">
        <v>7</v>
      </c>
      <c r="B8" s="10">
        <v>0.1</v>
      </c>
    </row>
    <row r="9" spans="1:2" x14ac:dyDescent="0.25">
      <c r="A9" s="4">
        <v>8</v>
      </c>
      <c r="B9" s="10">
        <v>0.1</v>
      </c>
    </row>
    <row r="10" spans="1:2" x14ac:dyDescent="0.25">
      <c r="A10" s="4">
        <v>9</v>
      </c>
      <c r="B10" s="10">
        <v>0.1</v>
      </c>
    </row>
    <row r="11" spans="1:2" x14ac:dyDescent="0.25">
      <c r="A11" s="4">
        <v>10</v>
      </c>
      <c r="B11" s="10">
        <v>0.1</v>
      </c>
    </row>
    <row r="12" spans="1:2" x14ac:dyDescent="0.25">
      <c r="A12" s="4">
        <v>11</v>
      </c>
      <c r="B12" s="10">
        <v>0.1</v>
      </c>
    </row>
    <row r="13" spans="1:2" x14ac:dyDescent="0.25">
      <c r="A13" s="4">
        <v>12</v>
      </c>
      <c r="B13" s="10">
        <v>0.1</v>
      </c>
    </row>
    <row r="14" spans="1:2" x14ac:dyDescent="0.25">
      <c r="A14" s="4">
        <v>13</v>
      </c>
      <c r="B14" s="10">
        <v>0.1</v>
      </c>
    </row>
    <row r="15" spans="1:2" x14ac:dyDescent="0.25">
      <c r="A15" s="4">
        <v>14</v>
      </c>
      <c r="B15" s="10">
        <v>0.1</v>
      </c>
    </row>
    <row r="16" spans="1:2" x14ac:dyDescent="0.25">
      <c r="A16" s="4">
        <v>15</v>
      </c>
      <c r="B16" s="10">
        <v>0.1</v>
      </c>
    </row>
    <row r="17" spans="1:2" x14ac:dyDescent="0.25">
      <c r="A17" s="4">
        <v>16</v>
      </c>
      <c r="B17" s="10">
        <v>0.1</v>
      </c>
    </row>
    <row r="18" spans="1:2" x14ac:dyDescent="0.25">
      <c r="A18" s="4">
        <v>17</v>
      </c>
      <c r="B18" s="10">
        <v>0.1</v>
      </c>
    </row>
    <row r="19" spans="1:2" x14ac:dyDescent="0.25">
      <c r="A19" s="4">
        <v>18</v>
      </c>
      <c r="B19" s="10">
        <v>0.1</v>
      </c>
    </row>
    <row r="20" spans="1:2" x14ac:dyDescent="0.25">
      <c r="A20" s="4">
        <v>19</v>
      </c>
      <c r="B20" s="10">
        <v>0.1</v>
      </c>
    </row>
    <row r="21" spans="1:2" x14ac:dyDescent="0.25">
      <c r="A21" s="4">
        <v>20</v>
      </c>
      <c r="B21" s="10">
        <v>0.1</v>
      </c>
    </row>
    <row r="22" spans="1:2" x14ac:dyDescent="0.25">
      <c r="A22" s="4">
        <v>21</v>
      </c>
      <c r="B22" s="10">
        <v>0.1</v>
      </c>
    </row>
    <row r="23" spans="1:2" x14ac:dyDescent="0.25">
      <c r="A23" s="4">
        <v>22</v>
      </c>
      <c r="B23" s="10">
        <v>0.1</v>
      </c>
    </row>
    <row r="24" spans="1:2" x14ac:dyDescent="0.25">
      <c r="A24" s="4">
        <v>23</v>
      </c>
      <c r="B24" s="10">
        <v>0.1</v>
      </c>
    </row>
    <row r="25" spans="1:2" x14ac:dyDescent="0.25">
      <c r="A25" s="4">
        <v>24</v>
      </c>
      <c r="B25" s="10">
        <v>0.1</v>
      </c>
    </row>
    <row r="26" spans="1:2" x14ac:dyDescent="0.25">
      <c r="A26" s="4">
        <v>25</v>
      </c>
      <c r="B26" s="10">
        <v>0.1</v>
      </c>
    </row>
    <row r="27" spans="1:2" x14ac:dyDescent="0.25">
      <c r="A27" s="4">
        <v>26</v>
      </c>
      <c r="B27" s="10">
        <v>0.1</v>
      </c>
    </row>
    <row r="28" spans="1:2" x14ac:dyDescent="0.25">
      <c r="A28" s="4">
        <v>27</v>
      </c>
      <c r="B28" s="10">
        <v>0.1</v>
      </c>
    </row>
    <row r="29" spans="1:2" x14ac:dyDescent="0.25">
      <c r="A29" s="4">
        <v>28</v>
      </c>
      <c r="B29" s="10">
        <v>0.1</v>
      </c>
    </row>
    <row r="30" spans="1:2" x14ac:dyDescent="0.25">
      <c r="A30" s="4">
        <v>29</v>
      </c>
      <c r="B30" s="10">
        <v>0.1</v>
      </c>
    </row>
    <row r="31" spans="1:2" x14ac:dyDescent="0.25">
      <c r="A31" s="4">
        <v>30</v>
      </c>
      <c r="B31" s="10">
        <v>0.1</v>
      </c>
    </row>
    <row r="32" spans="1:2" x14ac:dyDescent="0.25">
      <c r="A32" s="4">
        <v>31</v>
      </c>
      <c r="B32" s="10">
        <v>0.1</v>
      </c>
    </row>
    <row r="33" spans="1:2" x14ac:dyDescent="0.25">
      <c r="A33" s="4">
        <v>32</v>
      </c>
      <c r="B33" s="10">
        <v>0.1</v>
      </c>
    </row>
    <row r="34" spans="1:2" x14ac:dyDescent="0.25">
      <c r="A34" s="4">
        <v>33</v>
      </c>
      <c r="B34" s="10">
        <v>0.1</v>
      </c>
    </row>
    <row r="35" spans="1:2" x14ac:dyDescent="0.25">
      <c r="A35" s="4">
        <v>34</v>
      </c>
      <c r="B35" s="10">
        <v>0.1</v>
      </c>
    </row>
    <row r="36" spans="1:2" x14ac:dyDescent="0.25">
      <c r="A36" s="4">
        <v>35</v>
      </c>
      <c r="B36" s="10">
        <v>0.1</v>
      </c>
    </row>
    <row r="37" spans="1:2" x14ac:dyDescent="0.25">
      <c r="A37" s="4">
        <v>36</v>
      </c>
      <c r="B37" s="10">
        <v>0.1</v>
      </c>
    </row>
    <row r="38" spans="1:2" x14ac:dyDescent="0.25">
      <c r="A38" s="4">
        <v>37</v>
      </c>
      <c r="B38" s="10">
        <v>0.1</v>
      </c>
    </row>
    <row r="39" spans="1:2" x14ac:dyDescent="0.25">
      <c r="A39" s="4">
        <v>38</v>
      </c>
      <c r="B39" s="10">
        <v>0.1</v>
      </c>
    </row>
    <row r="40" spans="1:2" x14ac:dyDescent="0.25">
      <c r="A40" s="4">
        <v>39</v>
      </c>
      <c r="B40" s="10">
        <v>0.1</v>
      </c>
    </row>
    <row r="41" spans="1:2" x14ac:dyDescent="0.25">
      <c r="A41" s="4">
        <v>40</v>
      </c>
      <c r="B41" s="10">
        <v>0.1</v>
      </c>
    </row>
    <row r="42" spans="1:2" x14ac:dyDescent="0.25">
      <c r="A42" s="4">
        <v>41</v>
      </c>
      <c r="B42" s="10">
        <v>0.1</v>
      </c>
    </row>
    <row r="43" spans="1:2" x14ac:dyDescent="0.25">
      <c r="A43" s="4">
        <v>42</v>
      </c>
      <c r="B43" s="10">
        <v>0.1</v>
      </c>
    </row>
    <row r="44" spans="1:2" x14ac:dyDescent="0.25">
      <c r="A44" s="4">
        <v>43</v>
      </c>
      <c r="B44" s="10">
        <v>0.1</v>
      </c>
    </row>
    <row r="45" spans="1:2" x14ac:dyDescent="0.25">
      <c r="A45" s="4">
        <v>44</v>
      </c>
      <c r="B45" s="10">
        <v>0.1</v>
      </c>
    </row>
    <row r="46" spans="1:2" x14ac:dyDescent="0.25">
      <c r="A46" s="4">
        <v>45</v>
      </c>
      <c r="B46" s="10">
        <v>0.1</v>
      </c>
    </row>
    <row r="47" spans="1:2" x14ac:dyDescent="0.25">
      <c r="A47" s="4">
        <v>46</v>
      </c>
      <c r="B47" s="10">
        <v>0.1</v>
      </c>
    </row>
    <row r="48" spans="1:2" x14ac:dyDescent="0.25">
      <c r="A48" s="4">
        <v>47</v>
      </c>
      <c r="B48" s="10">
        <v>0.1</v>
      </c>
    </row>
    <row r="49" spans="1:2" x14ac:dyDescent="0.25">
      <c r="A49" s="4">
        <v>48</v>
      </c>
      <c r="B49" s="10">
        <v>0.1</v>
      </c>
    </row>
    <row r="50" spans="1:2" x14ac:dyDescent="0.25">
      <c r="A50" s="4">
        <v>49</v>
      </c>
      <c r="B50" s="10">
        <v>0.1</v>
      </c>
    </row>
    <row r="51" spans="1:2" x14ac:dyDescent="0.25">
      <c r="A51" s="4">
        <v>50</v>
      </c>
      <c r="B51" s="10">
        <v>0.1</v>
      </c>
    </row>
    <row r="52" spans="1:2" x14ac:dyDescent="0.25">
      <c r="A52" s="4">
        <v>51</v>
      </c>
      <c r="B52" s="10">
        <v>0.1</v>
      </c>
    </row>
    <row r="53" spans="1:2" x14ac:dyDescent="0.25">
      <c r="A53" s="4">
        <v>52</v>
      </c>
      <c r="B53" s="10">
        <v>0.1</v>
      </c>
    </row>
    <row r="54" spans="1:2" x14ac:dyDescent="0.25">
      <c r="A54" s="4">
        <v>53</v>
      </c>
      <c r="B54" s="10">
        <v>0.1</v>
      </c>
    </row>
    <row r="55" spans="1:2" x14ac:dyDescent="0.25">
      <c r="A55" s="4">
        <v>54</v>
      </c>
      <c r="B55" s="10">
        <v>0.1</v>
      </c>
    </row>
    <row r="56" spans="1:2" x14ac:dyDescent="0.25">
      <c r="A56" s="4">
        <v>55</v>
      </c>
      <c r="B56" s="10">
        <v>0.1</v>
      </c>
    </row>
    <row r="57" spans="1:2" x14ac:dyDescent="0.25">
      <c r="A57" s="4">
        <v>56</v>
      </c>
      <c r="B57" s="10">
        <v>0.1</v>
      </c>
    </row>
    <row r="58" spans="1:2" x14ac:dyDescent="0.25">
      <c r="A58" s="4">
        <v>57</v>
      </c>
      <c r="B58" s="10">
        <v>0.1</v>
      </c>
    </row>
    <row r="59" spans="1:2" x14ac:dyDescent="0.25">
      <c r="A59" s="4">
        <v>58</v>
      </c>
      <c r="B59" s="10">
        <v>0.1</v>
      </c>
    </row>
    <row r="60" spans="1:2" x14ac:dyDescent="0.25">
      <c r="A60" s="4">
        <v>59</v>
      </c>
      <c r="B60" s="10">
        <v>0.1</v>
      </c>
    </row>
    <row r="61" spans="1:2" x14ac:dyDescent="0.25">
      <c r="A61" s="4">
        <v>60</v>
      </c>
      <c r="B61" s="10">
        <v>0.1</v>
      </c>
    </row>
    <row r="62" spans="1:2" x14ac:dyDescent="0.25">
      <c r="A62" s="4">
        <v>61</v>
      </c>
      <c r="B62" s="10">
        <v>0.1</v>
      </c>
    </row>
    <row r="63" spans="1:2" x14ac:dyDescent="0.25">
      <c r="A63" s="4">
        <v>62</v>
      </c>
      <c r="B63" s="10">
        <v>0.1</v>
      </c>
    </row>
    <row r="64" spans="1:2" x14ac:dyDescent="0.25">
      <c r="A64" s="4">
        <v>63</v>
      </c>
      <c r="B64" s="10">
        <v>0.1</v>
      </c>
    </row>
    <row r="65" spans="1:2" x14ac:dyDescent="0.25">
      <c r="A65" s="4">
        <v>64</v>
      </c>
      <c r="B65" s="10">
        <v>0.1</v>
      </c>
    </row>
    <row r="66" spans="1:2" x14ac:dyDescent="0.25">
      <c r="A66" s="4">
        <v>65</v>
      </c>
      <c r="B66" s="10">
        <v>0.1</v>
      </c>
    </row>
    <row r="67" spans="1:2" x14ac:dyDescent="0.25">
      <c r="A67" s="4">
        <v>66</v>
      </c>
      <c r="B67" s="10">
        <v>0.1</v>
      </c>
    </row>
    <row r="68" spans="1:2" x14ac:dyDescent="0.25">
      <c r="A68" s="4">
        <v>67</v>
      </c>
      <c r="B68" s="10">
        <v>0.1</v>
      </c>
    </row>
    <row r="69" spans="1:2" x14ac:dyDescent="0.25">
      <c r="A69" s="4">
        <v>68</v>
      </c>
      <c r="B69" s="10">
        <v>0.1</v>
      </c>
    </row>
    <row r="70" spans="1:2" x14ac:dyDescent="0.25">
      <c r="A70" s="4">
        <v>69</v>
      </c>
      <c r="B70" s="10">
        <v>0.1</v>
      </c>
    </row>
    <row r="71" spans="1:2" x14ac:dyDescent="0.25">
      <c r="A71" s="4">
        <v>70</v>
      </c>
      <c r="B71" s="10">
        <v>0.1</v>
      </c>
    </row>
    <row r="72" spans="1:2" x14ac:dyDescent="0.25">
      <c r="A72" s="4">
        <v>71</v>
      </c>
      <c r="B72" s="10">
        <v>0.1</v>
      </c>
    </row>
    <row r="73" spans="1:2" x14ac:dyDescent="0.25">
      <c r="A73" s="4">
        <v>72</v>
      </c>
      <c r="B73" s="10">
        <v>0.1</v>
      </c>
    </row>
    <row r="74" spans="1:2" x14ac:dyDescent="0.25">
      <c r="A74" s="4">
        <v>73</v>
      </c>
      <c r="B74" s="10">
        <v>0.1</v>
      </c>
    </row>
    <row r="75" spans="1:2" x14ac:dyDescent="0.25">
      <c r="A75" s="4">
        <v>74</v>
      </c>
      <c r="B75" s="10">
        <v>0.1</v>
      </c>
    </row>
    <row r="76" spans="1:2" x14ac:dyDescent="0.25">
      <c r="A76" s="4">
        <v>75</v>
      </c>
      <c r="B76" s="10">
        <v>0.1</v>
      </c>
    </row>
    <row r="77" spans="1:2" x14ac:dyDescent="0.25">
      <c r="A77" s="4">
        <v>76</v>
      </c>
      <c r="B77" s="10">
        <v>0.1</v>
      </c>
    </row>
    <row r="78" spans="1:2" x14ac:dyDescent="0.25">
      <c r="A78" s="4">
        <v>77</v>
      </c>
      <c r="B78" s="10">
        <v>0.1</v>
      </c>
    </row>
    <row r="79" spans="1:2" x14ac:dyDescent="0.25">
      <c r="A79" s="4">
        <v>78</v>
      </c>
      <c r="B79" s="10">
        <v>0.1</v>
      </c>
    </row>
    <row r="80" spans="1:2" x14ac:dyDescent="0.25">
      <c r="A80" s="4">
        <v>79</v>
      </c>
      <c r="B80" s="10">
        <v>0.1</v>
      </c>
    </row>
    <row r="81" spans="1:2" x14ac:dyDescent="0.25">
      <c r="A81" s="4">
        <v>80</v>
      </c>
      <c r="B81" s="10">
        <v>0.1</v>
      </c>
    </row>
    <row r="82" spans="1:2" x14ac:dyDescent="0.25">
      <c r="A82" s="4">
        <v>81</v>
      </c>
      <c r="B82" s="10">
        <v>0.1</v>
      </c>
    </row>
    <row r="83" spans="1:2" x14ac:dyDescent="0.25">
      <c r="A83" s="4">
        <v>82</v>
      </c>
      <c r="B83" s="10">
        <v>0.1</v>
      </c>
    </row>
    <row r="84" spans="1:2" x14ac:dyDescent="0.25">
      <c r="A84" s="4">
        <v>83</v>
      </c>
      <c r="B84" s="10">
        <v>0.1</v>
      </c>
    </row>
    <row r="85" spans="1:2" x14ac:dyDescent="0.25">
      <c r="A85" s="4">
        <v>84</v>
      </c>
      <c r="B85" s="10">
        <v>0.1</v>
      </c>
    </row>
    <row r="86" spans="1:2" x14ac:dyDescent="0.25">
      <c r="A86" s="4">
        <v>85</v>
      </c>
      <c r="B86" s="10">
        <v>0.1</v>
      </c>
    </row>
    <row r="87" spans="1:2" x14ac:dyDescent="0.25">
      <c r="A87" s="4">
        <v>86</v>
      </c>
      <c r="B87" s="10">
        <v>0.1</v>
      </c>
    </row>
    <row r="88" spans="1:2" x14ac:dyDescent="0.25">
      <c r="A88" s="4">
        <v>87</v>
      </c>
      <c r="B88" s="10">
        <v>0.1</v>
      </c>
    </row>
    <row r="89" spans="1:2" x14ac:dyDescent="0.25">
      <c r="A89" s="4">
        <v>88</v>
      </c>
      <c r="B89" s="10">
        <v>0.1</v>
      </c>
    </row>
    <row r="90" spans="1:2" x14ac:dyDescent="0.25">
      <c r="A90" s="4">
        <v>89</v>
      </c>
      <c r="B90" s="10">
        <v>0.1</v>
      </c>
    </row>
    <row r="91" spans="1:2" x14ac:dyDescent="0.25">
      <c r="A91" s="4">
        <v>90</v>
      </c>
      <c r="B91" s="10">
        <v>0.1</v>
      </c>
    </row>
    <row r="92" spans="1:2" x14ac:dyDescent="0.25">
      <c r="A92" s="4">
        <v>91</v>
      </c>
      <c r="B92" s="10">
        <v>0.1</v>
      </c>
    </row>
    <row r="93" spans="1:2" x14ac:dyDescent="0.25">
      <c r="A93" s="4">
        <v>92</v>
      </c>
      <c r="B93" s="10">
        <v>0.1</v>
      </c>
    </row>
    <row r="94" spans="1:2" x14ac:dyDescent="0.25">
      <c r="A94" s="4">
        <v>93</v>
      </c>
      <c r="B94" s="10">
        <v>0.1</v>
      </c>
    </row>
    <row r="95" spans="1:2" x14ac:dyDescent="0.25">
      <c r="A95" s="4">
        <v>94</v>
      </c>
      <c r="B95" s="10">
        <v>0.1</v>
      </c>
    </row>
    <row r="96" spans="1:2" x14ac:dyDescent="0.25">
      <c r="A96" s="4">
        <v>95</v>
      </c>
      <c r="B96" s="10">
        <v>0.1</v>
      </c>
    </row>
    <row r="97" spans="1:2" x14ac:dyDescent="0.25">
      <c r="A97" s="4">
        <v>96</v>
      </c>
      <c r="B97" s="10">
        <v>0.1</v>
      </c>
    </row>
    <row r="98" spans="1:2" x14ac:dyDescent="0.25">
      <c r="A98" s="4">
        <v>97</v>
      </c>
      <c r="B98" s="10">
        <v>0.1</v>
      </c>
    </row>
    <row r="99" spans="1:2" x14ac:dyDescent="0.25">
      <c r="A99" s="4">
        <v>98</v>
      </c>
      <c r="B99" s="10">
        <v>0.1</v>
      </c>
    </row>
    <row r="100" spans="1:2" x14ac:dyDescent="0.25">
      <c r="A100" s="4">
        <v>99</v>
      </c>
      <c r="B100" s="10">
        <v>0.1</v>
      </c>
    </row>
    <row r="101" spans="1:2" x14ac:dyDescent="0.25">
      <c r="A101" s="4">
        <v>100</v>
      </c>
      <c r="B101" s="10">
        <v>0.1</v>
      </c>
    </row>
    <row r="102" spans="1:2" x14ac:dyDescent="0.25">
      <c r="A102" s="4">
        <v>101</v>
      </c>
      <c r="B102" s="10">
        <v>0.1</v>
      </c>
    </row>
    <row r="103" spans="1:2" x14ac:dyDescent="0.25">
      <c r="A103" s="4">
        <v>102</v>
      </c>
      <c r="B103" s="10">
        <v>0.1</v>
      </c>
    </row>
    <row r="104" spans="1:2" x14ac:dyDescent="0.25">
      <c r="A104" s="4">
        <v>103</v>
      </c>
      <c r="B104" s="10">
        <v>0.1</v>
      </c>
    </row>
    <row r="105" spans="1:2" x14ac:dyDescent="0.25">
      <c r="A105" s="4">
        <v>104</v>
      </c>
      <c r="B105" s="10">
        <v>0.1</v>
      </c>
    </row>
    <row r="106" spans="1:2" x14ac:dyDescent="0.25">
      <c r="A106" s="4">
        <v>105</v>
      </c>
      <c r="B106" s="10">
        <v>0.1</v>
      </c>
    </row>
    <row r="107" spans="1:2" x14ac:dyDescent="0.25">
      <c r="A107" s="4">
        <v>106</v>
      </c>
      <c r="B107" s="10">
        <v>0.1</v>
      </c>
    </row>
    <row r="108" spans="1:2" x14ac:dyDescent="0.25">
      <c r="A108" s="4">
        <v>107</v>
      </c>
      <c r="B108" s="10">
        <v>0.1</v>
      </c>
    </row>
    <row r="109" spans="1:2" x14ac:dyDescent="0.25">
      <c r="A109" s="4">
        <v>108</v>
      </c>
      <c r="B109" s="10">
        <v>0.1</v>
      </c>
    </row>
    <row r="110" spans="1:2" x14ac:dyDescent="0.25">
      <c r="A110" s="4">
        <v>109</v>
      </c>
      <c r="B110" s="10">
        <v>0.1</v>
      </c>
    </row>
    <row r="111" spans="1:2" x14ac:dyDescent="0.25">
      <c r="A111" s="4">
        <v>110</v>
      </c>
      <c r="B111" s="10">
        <v>0.1</v>
      </c>
    </row>
    <row r="112" spans="1:2" x14ac:dyDescent="0.25">
      <c r="A112" s="4">
        <v>111</v>
      </c>
      <c r="B112" s="10">
        <v>0.1</v>
      </c>
    </row>
    <row r="113" spans="1:2" x14ac:dyDescent="0.25">
      <c r="A113" s="4">
        <v>112</v>
      </c>
      <c r="B113" s="10">
        <v>0.1</v>
      </c>
    </row>
    <row r="114" spans="1:2" x14ac:dyDescent="0.25">
      <c r="A114" s="4">
        <v>113</v>
      </c>
      <c r="B114" s="10">
        <v>0.1</v>
      </c>
    </row>
    <row r="115" spans="1:2" x14ac:dyDescent="0.25">
      <c r="A115" s="4">
        <v>114</v>
      </c>
      <c r="B115" s="10">
        <v>0.1</v>
      </c>
    </row>
    <row r="116" spans="1:2" x14ac:dyDescent="0.25">
      <c r="A116" s="4">
        <v>115</v>
      </c>
      <c r="B116" s="10">
        <v>0.1</v>
      </c>
    </row>
    <row r="117" spans="1:2" x14ac:dyDescent="0.25">
      <c r="A117" s="4">
        <v>116</v>
      </c>
      <c r="B117" s="10">
        <v>0.1</v>
      </c>
    </row>
    <row r="118" spans="1:2" x14ac:dyDescent="0.25">
      <c r="A118" s="4">
        <v>117</v>
      </c>
      <c r="B118" s="10">
        <v>0.1</v>
      </c>
    </row>
    <row r="119" spans="1:2" x14ac:dyDescent="0.25">
      <c r="A119" s="4">
        <v>118</v>
      </c>
      <c r="B119" s="10">
        <v>0.1</v>
      </c>
    </row>
    <row r="120" spans="1:2" x14ac:dyDescent="0.25">
      <c r="A120" s="4">
        <v>119</v>
      </c>
      <c r="B120" s="10">
        <v>0.1</v>
      </c>
    </row>
    <row r="121" spans="1:2" x14ac:dyDescent="0.25">
      <c r="A121" s="4">
        <v>120</v>
      </c>
      <c r="B121" s="10">
        <v>0.1</v>
      </c>
    </row>
    <row r="122" spans="1:2" x14ac:dyDescent="0.25">
      <c r="A122" s="4">
        <v>121</v>
      </c>
      <c r="B122" s="10">
        <v>0.1</v>
      </c>
    </row>
    <row r="123" spans="1:2" x14ac:dyDescent="0.25">
      <c r="A123" s="4">
        <v>122</v>
      </c>
      <c r="B123" s="10">
        <v>0.1</v>
      </c>
    </row>
    <row r="124" spans="1:2" x14ac:dyDescent="0.25">
      <c r="A124" s="4">
        <v>123</v>
      </c>
      <c r="B124" s="10">
        <v>0.1</v>
      </c>
    </row>
    <row r="125" spans="1:2" x14ac:dyDescent="0.25">
      <c r="A125" s="4">
        <v>124</v>
      </c>
      <c r="B125" s="10">
        <v>0.1</v>
      </c>
    </row>
    <row r="126" spans="1:2" x14ac:dyDescent="0.25">
      <c r="A126" s="4">
        <v>125</v>
      </c>
      <c r="B126" s="10">
        <v>0.1</v>
      </c>
    </row>
    <row r="127" spans="1:2" x14ac:dyDescent="0.25">
      <c r="A127" s="4">
        <v>126</v>
      </c>
      <c r="B127" s="10">
        <v>0.1</v>
      </c>
    </row>
    <row r="128" spans="1:2" x14ac:dyDescent="0.25">
      <c r="A128" s="4">
        <v>127</v>
      </c>
      <c r="B128" s="10">
        <v>0.1</v>
      </c>
    </row>
    <row r="129" spans="1:2" x14ac:dyDescent="0.25">
      <c r="A129" s="4">
        <v>128</v>
      </c>
      <c r="B129" s="10">
        <v>0.1</v>
      </c>
    </row>
    <row r="130" spans="1:2" x14ac:dyDescent="0.25">
      <c r="A130" s="4">
        <v>129</v>
      </c>
      <c r="B130" s="10">
        <v>0.1</v>
      </c>
    </row>
    <row r="131" spans="1:2" x14ac:dyDescent="0.25">
      <c r="A131" s="4">
        <v>130</v>
      </c>
      <c r="B131" s="10">
        <v>0.1</v>
      </c>
    </row>
    <row r="132" spans="1:2" x14ac:dyDescent="0.25">
      <c r="A132" s="4">
        <v>131</v>
      </c>
      <c r="B132" s="10">
        <v>0.1</v>
      </c>
    </row>
    <row r="133" spans="1:2" x14ac:dyDescent="0.25">
      <c r="A133" s="4">
        <v>132</v>
      </c>
      <c r="B133" s="10">
        <v>0.1</v>
      </c>
    </row>
    <row r="134" spans="1:2" x14ac:dyDescent="0.25">
      <c r="A134" s="4">
        <v>133</v>
      </c>
      <c r="B134" s="10">
        <v>0.1</v>
      </c>
    </row>
    <row r="135" spans="1:2" x14ac:dyDescent="0.25">
      <c r="A135" s="4">
        <v>134</v>
      </c>
      <c r="B135" s="10">
        <v>0.1</v>
      </c>
    </row>
    <row r="136" spans="1:2" x14ac:dyDescent="0.25">
      <c r="A136" s="4">
        <v>135</v>
      </c>
      <c r="B136" s="10">
        <v>0.1</v>
      </c>
    </row>
    <row r="137" spans="1:2" x14ac:dyDescent="0.25">
      <c r="A137" s="4">
        <v>136</v>
      </c>
      <c r="B137" s="10">
        <v>0.1</v>
      </c>
    </row>
    <row r="138" spans="1:2" x14ac:dyDescent="0.25">
      <c r="A138" s="4">
        <v>137</v>
      </c>
      <c r="B138" s="10">
        <v>0.1</v>
      </c>
    </row>
    <row r="139" spans="1:2" x14ac:dyDescent="0.25">
      <c r="A139" s="4">
        <v>138</v>
      </c>
      <c r="B139" s="10">
        <v>0.1</v>
      </c>
    </row>
    <row r="140" spans="1:2" x14ac:dyDescent="0.25">
      <c r="A140" s="4">
        <v>139</v>
      </c>
      <c r="B140" s="10">
        <v>0.1</v>
      </c>
    </row>
    <row r="141" spans="1:2" x14ac:dyDescent="0.25">
      <c r="A141" s="4">
        <v>140</v>
      </c>
      <c r="B141" s="10">
        <v>0.1</v>
      </c>
    </row>
    <row r="142" spans="1:2" x14ac:dyDescent="0.25">
      <c r="A142" s="4">
        <v>141</v>
      </c>
      <c r="B142" s="10">
        <v>0.1</v>
      </c>
    </row>
    <row r="143" spans="1:2" x14ac:dyDescent="0.25">
      <c r="A143" s="4">
        <v>142</v>
      </c>
      <c r="B143" s="10">
        <v>0.1</v>
      </c>
    </row>
    <row r="144" spans="1:2" x14ac:dyDescent="0.25">
      <c r="A144" s="4">
        <v>143</v>
      </c>
      <c r="B144" s="10">
        <v>0.1</v>
      </c>
    </row>
    <row r="145" spans="1:2" x14ac:dyDescent="0.25">
      <c r="A145" s="4">
        <v>144</v>
      </c>
      <c r="B145" s="10">
        <v>0.1</v>
      </c>
    </row>
    <row r="146" spans="1:2" x14ac:dyDescent="0.25">
      <c r="A146" s="4">
        <v>145</v>
      </c>
      <c r="B146" s="10">
        <v>0.1</v>
      </c>
    </row>
    <row r="147" spans="1:2" x14ac:dyDescent="0.25">
      <c r="A147" s="4">
        <v>146</v>
      </c>
      <c r="B147" s="10">
        <v>0.1</v>
      </c>
    </row>
    <row r="148" spans="1:2" x14ac:dyDescent="0.25">
      <c r="A148" s="4">
        <v>147</v>
      </c>
      <c r="B148" s="10">
        <v>0.1</v>
      </c>
    </row>
    <row r="149" spans="1:2" x14ac:dyDescent="0.25">
      <c r="A149" s="4">
        <v>148</v>
      </c>
      <c r="B149" s="10">
        <v>0.1</v>
      </c>
    </row>
    <row r="150" spans="1:2" x14ac:dyDescent="0.25">
      <c r="A150" s="4">
        <v>149</v>
      </c>
      <c r="B150" s="10">
        <v>0.1</v>
      </c>
    </row>
    <row r="151" spans="1:2" x14ac:dyDescent="0.25">
      <c r="A151" s="4">
        <v>150</v>
      </c>
      <c r="B151" s="10">
        <v>0.1</v>
      </c>
    </row>
    <row r="152" spans="1:2" x14ac:dyDescent="0.25">
      <c r="A152" s="4">
        <v>151</v>
      </c>
      <c r="B152" s="10">
        <v>0.1</v>
      </c>
    </row>
    <row r="153" spans="1:2" x14ac:dyDescent="0.25">
      <c r="A153" s="4">
        <v>152</v>
      </c>
      <c r="B153" s="10">
        <v>0.1</v>
      </c>
    </row>
    <row r="154" spans="1:2" x14ac:dyDescent="0.25">
      <c r="A154" s="4">
        <v>153</v>
      </c>
      <c r="B154" s="10">
        <v>0.1</v>
      </c>
    </row>
    <row r="155" spans="1:2" x14ac:dyDescent="0.25">
      <c r="A155" s="4">
        <v>154</v>
      </c>
      <c r="B155" s="10">
        <v>0.1</v>
      </c>
    </row>
    <row r="156" spans="1:2" x14ac:dyDescent="0.25">
      <c r="A156" s="4">
        <v>155</v>
      </c>
      <c r="B156" s="10">
        <v>0.1</v>
      </c>
    </row>
    <row r="157" spans="1:2" x14ac:dyDescent="0.25">
      <c r="A157" s="4">
        <v>156</v>
      </c>
      <c r="B157" s="10">
        <v>0.1</v>
      </c>
    </row>
    <row r="158" spans="1:2" x14ac:dyDescent="0.25">
      <c r="A158" s="4">
        <v>157</v>
      </c>
      <c r="B158" s="10">
        <v>0.1</v>
      </c>
    </row>
    <row r="159" spans="1:2" x14ac:dyDescent="0.25">
      <c r="A159" s="4">
        <v>158</v>
      </c>
      <c r="B159" s="10">
        <v>0.1</v>
      </c>
    </row>
    <row r="160" spans="1:2" x14ac:dyDescent="0.25">
      <c r="A160" s="4">
        <v>159</v>
      </c>
      <c r="B160" s="10">
        <v>0.1</v>
      </c>
    </row>
    <row r="161" spans="1:2" x14ac:dyDescent="0.25">
      <c r="A161" s="4">
        <v>160</v>
      </c>
      <c r="B161" s="10">
        <v>0.1</v>
      </c>
    </row>
    <row r="162" spans="1:2" x14ac:dyDescent="0.25">
      <c r="A162" s="4">
        <v>161</v>
      </c>
      <c r="B162" s="10">
        <v>0.1</v>
      </c>
    </row>
    <row r="163" spans="1:2" x14ac:dyDescent="0.25">
      <c r="A163" s="4">
        <v>162</v>
      </c>
      <c r="B163" s="10">
        <v>0.1</v>
      </c>
    </row>
    <row r="164" spans="1:2" x14ac:dyDescent="0.25">
      <c r="A164" s="4">
        <v>163</v>
      </c>
      <c r="B164" s="10">
        <v>0.1</v>
      </c>
    </row>
    <row r="165" spans="1:2" x14ac:dyDescent="0.25">
      <c r="A165" s="4">
        <v>164</v>
      </c>
      <c r="B165" s="10">
        <v>0.1</v>
      </c>
    </row>
    <row r="166" spans="1:2" x14ac:dyDescent="0.25">
      <c r="A166" s="4">
        <v>165</v>
      </c>
      <c r="B166" s="10">
        <v>0.1</v>
      </c>
    </row>
    <row r="167" spans="1:2" x14ac:dyDescent="0.25">
      <c r="A167" s="4">
        <v>166</v>
      </c>
      <c r="B167" s="10">
        <v>0.1</v>
      </c>
    </row>
    <row r="168" spans="1:2" x14ac:dyDescent="0.25">
      <c r="A168" s="4">
        <v>167</v>
      </c>
      <c r="B168" s="10">
        <v>0.1</v>
      </c>
    </row>
    <row r="169" spans="1:2" x14ac:dyDescent="0.25">
      <c r="A169" s="4">
        <v>168</v>
      </c>
      <c r="B169" s="10">
        <v>0.1</v>
      </c>
    </row>
    <row r="170" spans="1:2" x14ac:dyDescent="0.25">
      <c r="A170" s="4">
        <v>169</v>
      </c>
      <c r="B170" s="10">
        <v>0.1</v>
      </c>
    </row>
    <row r="171" spans="1:2" x14ac:dyDescent="0.25">
      <c r="A171" s="4">
        <v>170</v>
      </c>
      <c r="B171" s="10">
        <v>0.1</v>
      </c>
    </row>
    <row r="172" spans="1:2" x14ac:dyDescent="0.25">
      <c r="A172" s="4">
        <v>171</v>
      </c>
      <c r="B172" s="10">
        <v>0.1</v>
      </c>
    </row>
    <row r="173" spans="1:2" x14ac:dyDescent="0.25">
      <c r="A173" s="4">
        <v>172</v>
      </c>
      <c r="B173" s="10">
        <v>0.1</v>
      </c>
    </row>
    <row r="174" spans="1:2" x14ac:dyDescent="0.25">
      <c r="A174" s="4">
        <v>173</v>
      </c>
      <c r="B174" s="10">
        <v>0.1</v>
      </c>
    </row>
    <row r="175" spans="1:2" x14ac:dyDescent="0.25">
      <c r="A175" s="4">
        <v>174</v>
      </c>
      <c r="B175" s="10">
        <v>0.1</v>
      </c>
    </row>
    <row r="176" spans="1:2" x14ac:dyDescent="0.25">
      <c r="A176" s="4">
        <v>175</v>
      </c>
      <c r="B176" s="10">
        <v>0.1</v>
      </c>
    </row>
    <row r="177" spans="1:2" x14ac:dyDescent="0.25">
      <c r="A177" s="4">
        <v>176</v>
      </c>
      <c r="B177" s="10">
        <v>0.1</v>
      </c>
    </row>
    <row r="178" spans="1:2" x14ac:dyDescent="0.25">
      <c r="A178" s="4">
        <v>177</v>
      </c>
      <c r="B178" s="10">
        <v>0.1</v>
      </c>
    </row>
    <row r="179" spans="1:2" x14ac:dyDescent="0.25">
      <c r="A179" s="4">
        <v>178</v>
      </c>
      <c r="B179" s="10">
        <v>0.1</v>
      </c>
    </row>
    <row r="180" spans="1:2" x14ac:dyDescent="0.25">
      <c r="A180" s="4">
        <v>179</v>
      </c>
      <c r="B180" s="10">
        <v>0.1</v>
      </c>
    </row>
    <row r="181" spans="1:2" x14ac:dyDescent="0.25">
      <c r="A181" s="4">
        <v>180</v>
      </c>
      <c r="B181" s="10">
        <v>0.1</v>
      </c>
    </row>
    <row r="182" spans="1:2" x14ac:dyDescent="0.25">
      <c r="A182" s="4">
        <v>181</v>
      </c>
      <c r="B182" s="10">
        <v>0.1</v>
      </c>
    </row>
    <row r="183" spans="1:2" x14ac:dyDescent="0.25">
      <c r="A183" s="4">
        <v>182</v>
      </c>
      <c r="B183" s="10">
        <v>0.1</v>
      </c>
    </row>
    <row r="184" spans="1:2" x14ac:dyDescent="0.25">
      <c r="A184" s="4">
        <v>183</v>
      </c>
      <c r="B184" s="10">
        <v>0.1</v>
      </c>
    </row>
    <row r="185" spans="1:2" x14ac:dyDescent="0.25">
      <c r="A185" s="4">
        <v>184</v>
      </c>
      <c r="B185" s="10">
        <v>0.1</v>
      </c>
    </row>
    <row r="186" spans="1:2" x14ac:dyDescent="0.25">
      <c r="A186" s="4">
        <v>185</v>
      </c>
      <c r="B186" s="10">
        <v>0.1</v>
      </c>
    </row>
    <row r="187" spans="1:2" x14ac:dyDescent="0.25">
      <c r="A187" s="4">
        <v>186</v>
      </c>
      <c r="B187" s="10">
        <v>0.1</v>
      </c>
    </row>
    <row r="188" spans="1:2" x14ac:dyDescent="0.25">
      <c r="A188" s="4">
        <v>187</v>
      </c>
      <c r="B188" s="10">
        <v>0.1</v>
      </c>
    </row>
    <row r="189" spans="1:2" x14ac:dyDescent="0.25">
      <c r="A189" s="4">
        <v>188</v>
      </c>
      <c r="B189" s="10">
        <v>0.1</v>
      </c>
    </row>
    <row r="190" spans="1:2" x14ac:dyDescent="0.25">
      <c r="A190" s="4">
        <v>189</v>
      </c>
      <c r="B190" s="10">
        <v>0.1</v>
      </c>
    </row>
    <row r="191" spans="1:2" x14ac:dyDescent="0.25">
      <c r="A191" s="4">
        <v>190</v>
      </c>
      <c r="B191" s="10">
        <v>0.1</v>
      </c>
    </row>
    <row r="192" spans="1:2" x14ac:dyDescent="0.25">
      <c r="A192" s="4">
        <v>191</v>
      </c>
      <c r="B192" s="10">
        <v>0.1</v>
      </c>
    </row>
    <row r="193" spans="1:2" x14ac:dyDescent="0.25">
      <c r="A193" s="4">
        <v>192</v>
      </c>
      <c r="B193" s="10">
        <v>0.1</v>
      </c>
    </row>
    <row r="194" spans="1:2" x14ac:dyDescent="0.25">
      <c r="A194" s="4">
        <v>193</v>
      </c>
      <c r="B194" s="10">
        <v>0.1</v>
      </c>
    </row>
    <row r="195" spans="1:2" x14ac:dyDescent="0.25">
      <c r="A195" s="4">
        <v>194</v>
      </c>
      <c r="B195" s="10">
        <v>0.1</v>
      </c>
    </row>
    <row r="196" spans="1:2" x14ac:dyDescent="0.25">
      <c r="A196" s="4">
        <v>195</v>
      </c>
      <c r="B196" s="10">
        <v>0.1</v>
      </c>
    </row>
    <row r="197" spans="1:2" x14ac:dyDescent="0.25">
      <c r="A197" s="4">
        <v>196</v>
      </c>
      <c r="B197" s="10">
        <v>0.1</v>
      </c>
    </row>
    <row r="198" spans="1:2" x14ac:dyDescent="0.25">
      <c r="A198" s="4">
        <v>197</v>
      </c>
      <c r="B198" s="10">
        <v>0.1</v>
      </c>
    </row>
    <row r="199" spans="1:2" x14ac:dyDescent="0.25">
      <c r="A199" s="4">
        <v>198</v>
      </c>
      <c r="B199" s="10">
        <v>0.1</v>
      </c>
    </row>
    <row r="200" spans="1:2" x14ac:dyDescent="0.25">
      <c r="A200" s="4">
        <v>199</v>
      </c>
      <c r="B200" s="10">
        <v>0.1</v>
      </c>
    </row>
    <row r="201" spans="1:2" x14ac:dyDescent="0.25">
      <c r="A201" s="4">
        <v>200</v>
      </c>
      <c r="B201" s="10">
        <v>0.1</v>
      </c>
    </row>
    <row r="202" spans="1:2" x14ac:dyDescent="0.25">
      <c r="A202" s="4">
        <v>201</v>
      </c>
      <c r="B202" s="10">
        <v>0.1</v>
      </c>
    </row>
    <row r="203" spans="1:2" x14ac:dyDescent="0.25">
      <c r="A203" s="4">
        <v>202</v>
      </c>
      <c r="B203" s="10">
        <v>0.1</v>
      </c>
    </row>
    <row r="204" spans="1:2" x14ac:dyDescent="0.25">
      <c r="A204" s="4">
        <v>203</v>
      </c>
      <c r="B204" s="10">
        <v>0.1</v>
      </c>
    </row>
    <row r="205" spans="1:2" x14ac:dyDescent="0.25">
      <c r="A205" s="4">
        <v>204</v>
      </c>
      <c r="B205" s="10">
        <v>0.1</v>
      </c>
    </row>
    <row r="206" spans="1:2" x14ac:dyDescent="0.25">
      <c r="A206" s="4">
        <v>205</v>
      </c>
      <c r="B206" s="10">
        <v>0.1</v>
      </c>
    </row>
    <row r="207" spans="1:2" x14ac:dyDescent="0.25">
      <c r="A207" s="4">
        <v>206</v>
      </c>
      <c r="B207" s="10">
        <v>0.1</v>
      </c>
    </row>
    <row r="208" spans="1:2" x14ac:dyDescent="0.25">
      <c r="A208" s="4">
        <v>207</v>
      </c>
      <c r="B208" s="10">
        <v>0.1</v>
      </c>
    </row>
    <row r="209" spans="1:2" x14ac:dyDescent="0.25">
      <c r="A209" s="4">
        <v>208</v>
      </c>
      <c r="B209" s="10">
        <v>0.1</v>
      </c>
    </row>
    <row r="210" spans="1:2" x14ac:dyDescent="0.25">
      <c r="A210" s="4">
        <v>209</v>
      </c>
      <c r="B210" s="10">
        <v>0.1</v>
      </c>
    </row>
    <row r="211" spans="1:2" x14ac:dyDescent="0.25">
      <c r="A211" s="4">
        <v>210</v>
      </c>
      <c r="B211" s="10">
        <v>0.1</v>
      </c>
    </row>
    <row r="212" spans="1:2" x14ac:dyDescent="0.25">
      <c r="A212" s="4">
        <v>211</v>
      </c>
      <c r="B212" s="10">
        <v>0.1</v>
      </c>
    </row>
    <row r="213" spans="1:2" x14ac:dyDescent="0.25">
      <c r="A213" s="4">
        <v>212</v>
      </c>
      <c r="B213" s="10">
        <v>0.1</v>
      </c>
    </row>
    <row r="214" spans="1:2" x14ac:dyDescent="0.25">
      <c r="A214" s="4">
        <v>213</v>
      </c>
      <c r="B214" s="10">
        <v>0.1</v>
      </c>
    </row>
    <row r="215" spans="1:2" x14ac:dyDescent="0.25">
      <c r="A215" s="4">
        <v>214</v>
      </c>
      <c r="B215" s="10">
        <v>0.1</v>
      </c>
    </row>
    <row r="216" spans="1:2" x14ac:dyDescent="0.25">
      <c r="A216" s="4">
        <v>215</v>
      </c>
      <c r="B216" s="10">
        <v>0.1</v>
      </c>
    </row>
    <row r="217" spans="1:2" x14ac:dyDescent="0.25">
      <c r="A217" s="4">
        <v>216</v>
      </c>
      <c r="B217" s="10">
        <v>0.1</v>
      </c>
    </row>
    <row r="218" spans="1:2" x14ac:dyDescent="0.25">
      <c r="A218" s="4">
        <v>217</v>
      </c>
      <c r="B218" s="10">
        <v>0.1</v>
      </c>
    </row>
    <row r="219" spans="1:2" x14ac:dyDescent="0.25">
      <c r="A219" s="4">
        <v>218</v>
      </c>
      <c r="B219" s="10">
        <v>0.1</v>
      </c>
    </row>
    <row r="220" spans="1:2" x14ac:dyDescent="0.25">
      <c r="A220" s="4">
        <v>219</v>
      </c>
      <c r="B220" s="10">
        <v>0.1</v>
      </c>
    </row>
    <row r="221" spans="1:2" x14ac:dyDescent="0.25">
      <c r="A221" s="4">
        <v>220</v>
      </c>
      <c r="B221" s="10">
        <v>0.1</v>
      </c>
    </row>
    <row r="222" spans="1:2" x14ac:dyDescent="0.25">
      <c r="A222" s="4">
        <v>221</v>
      </c>
      <c r="B222" s="10">
        <v>0.1</v>
      </c>
    </row>
    <row r="223" spans="1:2" x14ac:dyDescent="0.25">
      <c r="A223" s="4">
        <v>222</v>
      </c>
      <c r="B223" s="10">
        <v>0.1</v>
      </c>
    </row>
    <row r="224" spans="1:2" x14ac:dyDescent="0.25">
      <c r="A224" s="4">
        <v>223</v>
      </c>
      <c r="B224" s="10">
        <v>0.1</v>
      </c>
    </row>
    <row r="225" spans="1:2" x14ac:dyDescent="0.25">
      <c r="A225" s="4">
        <v>224</v>
      </c>
      <c r="B225" s="10">
        <v>0.1</v>
      </c>
    </row>
    <row r="226" spans="1:2" x14ac:dyDescent="0.25">
      <c r="A226" s="4">
        <v>225</v>
      </c>
      <c r="B226" s="10">
        <v>0.1</v>
      </c>
    </row>
    <row r="227" spans="1:2" x14ac:dyDescent="0.25">
      <c r="A227" s="4">
        <v>226</v>
      </c>
      <c r="B227" s="10">
        <v>0.1</v>
      </c>
    </row>
    <row r="228" spans="1:2" x14ac:dyDescent="0.25">
      <c r="A228" s="4">
        <v>227</v>
      </c>
      <c r="B228" s="10">
        <v>0.1</v>
      </c>
    </row>
    <row r="229" spans="1:2" x14ac:dyDescent="0.25">
      <c r="A229" s="4">
        <v>228</v>
      </c>
      <c r="B229" s="10">
        <v>0.1</v>
      </c>
    </row>
    <row r="230" spans="1:2" x14ac:dyDescent="0.25">
      <c r="A230" s="4">
        <v>229</v>
      </c>
      <c r="B230" s="10">
        <v>0.1</v>
      </c>
    </row>
    <row r="231" spans="1:2" x14ac:dyDescent="0.25">
      <c r="A231" s="4">
        <v>230</v>
      </c>
      <c r="B231" s="10">
        <v>0.1</v>
      </c>
    </row>
    <row r="232" spans="1:2" x14ac:dyDescent="0.25">
      <c r="A232" s="4">
        <v>231</v>
      </c>
      <c r="B232" s="10">
        <v>0.1</v>
      </c>
    </row>
    <row r="233" spans="1:2" x14ac:dyDescent="0.25">
      <c r="A233" s="4">
        <v>232</v>
      </c>
      <c r="B233" s="10">
        <v>0.1</v>
      </c>
    </row>
    <row r="234" spans="1:2" x14ac:dyDescent="0.25">
      <c r="A234" s="4">
        <v>233</v>
      </c>
      <c r="B234" s="10">
        <v>0.1</v>
      </c>
    </row>
    <row r="235" spans="1:2" x14ac:dyDescent="0.25">
      <c r="A235" s="4">
        <v>234</v>
      </c>
      <c r="B235" s="10">
        <v>0.1</v>
      </c>
    </row>
    <row r="236" spans="1:2" x14ac:dyDescent="0.25">
      <c r="A236" s="4">
        <v>235</v>
      </c>
      <c r="B236" s="10">
        <v>0.1</v>
      </c>
    </row>
    <row r="237" spans="1:2" x14ac:dyDescent="0.25">
      <c r="A237" s="4">
        <v>236</v>
      </c>
      <c r="B237" s="10">
        <v>0.1</v>
      </c>
    </row>
    <row r="238" spans="1:2" x14ac:dyDescent="0.25">
      <c r="A238" s="4">
        <v>237</v>
      </c>
      <c r="B238" s="10">
        <v>0.1</v>
      </c>
    </row>
    <row r="239" spans="1:2" x14ac:dyDescent="0.25">
      <c r="A239" s="4">
        <v>238</v>
      </c>
      <c r="B239" s="10">
        <v>0.1</v>
      </c>
    </row>
    <row r="240" spans="1:2" x14ac:dyDescent="0.25">
      <c r="A240" s="4">
        <v>239</v>
      </c>
      <c r="B240" s="10">
        <v>0.1</v>
      </c>
    </row>
    <row r="241" spans="1:2" x14ac:dyDescent="0.25">
      <c r="A241" s="4">
        <v>240</v>
      </c>
      <c r="B241" s="10">
        <v>0.1</v>
      </c>
    </row>
    <row r="242" spans="1:2" x14ac:dyDescent="0.25">
      <c r="A242" s="4">
        <v>241</v>
      </c>
      <c r="B242" s="10">
        <v>0.1</v>
      </c>
    </row>
    <row r="243" spans="1:2" x14ac:dyDescent="0.25">
      <c r="A243" s="4">
        <v>242</v>
      </c>
      <c r="B243" s="10">
        <v>0.1</v>
      </c>
    </row>
    <row r="244" spans="1:2" x14ac:dyDescent="0.25">
      <c r="A244" s="4">
        <v>243</v>
      </c>
      <c r="B244" s="10">
        <v>0.1</v>
      </c>
    </row>
    <row r="245" spans="1:2" x14ac:dyDescent="0.25">
      <c r="A245" s="4">
        <v>244</v>
      </c>
      <c r="B245" s="10">
        <v>0.1</v>
      </c>
    </row>
    <row r="246" spans="1:2" x14ac:dyDescent="0.25">
      <c r="A246" s="4">
        <v>245</v>
      </c>
      <c r="B246" s="10">
        <v>0.1</v>
      </c>
    </row>
    <row r="247" spans="1:2" x14ac:dyDescent="0.25">
      <c r="A247" s="4">
        <v>246</v>
      </c>
      <c r="B247" s="10">
        <v>0.1</v>
      </c>
    </row>
    <row r="248" spans="1:2" x14ac:dyDescent="0.25">
      <c r="A248" s="4">
        <v>247</v>
      </c>
      <c r="B248" s="10">
        <v>0.1</v>
      </c>
    </row>
    <row r="249" spans="1:2" x14ac:dyDescent="0.25">
      <c r="A249" s="4">
        <v>248</v>
      </c>
      <c r="B249" s="10">
        <v>0.1</v>
      </c>
    </row>
    <row r="250" spans="1:2" x14ac:dyDescent="0.25">
      <c r="A250" s="4">
        <v>249</v>
      </c>
      <c r="B250" s="10">
        <v>0.1</v>
      </c>
    </row>
    <row r="251" spans="1:2" x14ac:dyDescent="0.25">
      <c r="A251" s="4">
        <v>250</v>
      </c>
      <c r="B251" s="10">
        <v>0.1</v>
      </c>
    </row>
    <row r="252" spans="1:2" x14ac:dyDescent="0.25">
      <c r="A252" s="4">
        <v>251</v>
      </c>
      <c r="B252" s="10">
        <v>0.1</v>
      </c>
    </row>
    <row r="253" spans="1:2" x14ac:dyDescent="0.25">
      <c r="A253" s="4">
        <v>252</v>
      </c>
      <c r="B253" s="10">
        <v>0.1</v>
      </c>
    </row>
    <row r="254" spans="1:2" x14ac:dyDescent="0.25">
      <c r="A254" s="4">
        <v>253</v>
      </c>
      <c r="B254" s="10">
        <v>0.1</v>
      </c>
    </row>
    <row r="255" spans="1:2" x14ac:dyDescent="0.25">
      <c r="A255" s="4">
        <v>254</v>
      </c>
      <c r="B255" s="10">
        <v>0.1</v>
      </c>
    </row>
    <row r="256" spans="1:2" x14ac:dyDescent="0.25">
      <c r="A256" s="4">
        <v>255</v>
      </c>
      <c r="B256" s="10">
        <v>0.1</v>
      </c>
    </row>
    <row r="257" spans="1:2" x14ac:dyDescent="0.25">
      <c r="A257" s="4">
        <v>256</v>
      </c>
      <c r="B257" s="10">
        <v>0.1</v>
      </c>
    </row>
    <row r="258" spans="1:2" x14ac:dyDescent="0.25">
      <c r="A258" s="4">
        <v>257</v>
      </c>
      <c r="B258" s="10">
        <v>0.1</v>
      </c>
    </row>
    <row r="259" spans="1:2" x14ac:dyDescent="0.25">
      <c r="A259" s="4">
        <v>258</v>
      </c>
      <c r="B259" s="10">
        <v>0.1</v>
      </c>
    </row>
    <row r="260" spans="1:2" x14ac:dyDescent="0.25">
      <c r="A260" s="4">
        <v>259</v>
      </c>
      <c r="B260" s="10">
        <v>0.1</v>
      </c>
    </row>
    <row r="261" spans="1:2" x14ac:dyDescent="0.25">
      <c r="A261" s="4">
        <v>260</v>
      </c>
      <c r="B261" s="10">
        <v>0.1</v>
      </c>
    </row>
    <row r="262" spans="1:2" x14ac:dyDescent="0.25">
      <c r="A262" s="4">
        <v>261</v>
      </c>
      <c r="B262" s="10">
        <v>0.1</v>
      </c>
    </row>
    <row r="263" spans="1:2" x14ac:dyDescent="0.25">
      <c r="A263" s="4">
        <v>262</v>
      </c>
      <c r="B263" s="10">
        <v>0.1</v>
      </c>
    </row>
    <row r="264" spans="1:2" x14ac:dyDescent="0.25">
      <c r="A264" s="4">
        <v>263</v>
      </c>
      <c r="B264" s="10">
        <v>0.1</v>
      </c>
    </row>
    <row r="265" spans="1:2" x14ac:dyDescent="0.25">
      <c r="A265" s="4">
        <v>264</v>
      </c>
      <c r="B265" s="10">
        <v>0.1</v>
      </c>
    </row>
    <row r="266" spans="1:2" x14ac:dyDescent="0.25">
      <c r="A266" s="4">
        <v>265</v>
      </c>
      <c r="B266" s="10">
        <v>0.1</v>
      </c>
    </row>
    <row r="267" spans="1:2" x14ac:dyDescent="0.25">
      <c r="A267" s="4">
        <v>266</v>
      </c>
      <c r="B267" s="10">
        <v>0.1</v>
      </c>
    </row>
    <row r="268" spans="1:2" x14ac:dyDescent="0.25">
      <c r="A268" s="4">
        <v>267</v>
      </c>
      <c r="B268" s="10">
        <v>0.1</v>
      </c>
    </row>
    <row r="269" spans="1:2" x14ac:dyDescent="0.25">
      <c r="A269" s="4">
        <v>268</v>
      </c>
      <c r="B269" s="10">
        <v>0.1</v>
      </c>
    </row>
    <row r="270" spans="1:2" x14ac:dyDescent="0.25">
      <c r="A270" s="4">
        <v>269</v>
      </c>
      <c r="B270" s="10">
        <v>0.1</v>
      </c>
    </row>
    <row r="271" spans="1:2" x14ac:dyDescent="0.25">
      <c r="A271" s="4">
        <v>270</v>
      </c>
      <c r="B271" s="10">
        <v>0.1</v>
      </c>
    </row>
    <row r="272" spans="1:2" x14ac:dyDescent="0.25">
      <c r="A272" s="4">
        <v>271</v>
      </c>
      <c r="B272" s="10">
        <v>0.1</v>
      </c>
    </row>
    <row r="273" spans="1:2" x14ac:dyDescent="0.25">
      <c r="A273" s="4">
        <v>272</v>
      </c>
      <c r="B273" s="10">
        <v>0.1</v>
      </c>
    </row>
    <row r="274" spans="1:2" x14ac:dyDescent="0.25">
      <c r="A274" s="4">
        <v>273</v>
      </c>
      <c r="B274" s="10">
        <v>0.1</v>
      </c>
    </row>
    <row r="275" spans="1:2" x14ac:dyDescent="0.25">
      <c r="A275" s="4">
        <v>274</v>
      </c>
      <c r="B275" s="10">
        <v>0.1</v>
      </c>
    </row>
    <row r="276" spans="1:2" x14ac:dyDescent="0.25">
      <c r="A276" s="4">
        <v>275</v>
      </c>
      <c r="B276" s="10">
        <v>0.1</v>
      </c>
    </row>
    <row r="277" spans="1:2" x14ac:dyDescent="0.25">
      <c r="A277" s="4">
        <v>276</v>
      </c>
      <c r="B277" s="10">
        <v>0.1</v>
      </c>
    </row>
    <row r="278" spans="1:2" x14ac:dyDescent="0.25">
      <c r="A278" s="4">
        <v>277</v>
      </c>
      <c r="B278" s="10">
        <v>0.1</v>
      </c>
    </row>
    <row r="279" spans="1:2" x14ac:dyDescent="0.25">
      <c r="A279" s="4">
        <v>278</v>
      </c>
      <c r="B279" s="10">
        <v>0.1</v>
      </c>
    </row>
    <row r="280" spans="1:2" x14ac:dyDescent="0.25">
      <c r="A280" s="4">
        <v>279</v>
      </c>
      <c r="B280" s="10">
        <v>0.1</v>
      </c>
    </row>
    <row r="281" spans="1:2" x14ac:dyDescent="0.25">
      <c r="A281" s="4">
        <v>280</v>
      </c>
      <c r="B281" s="10">
        <v>0.1</v>
      </c>
    </row>
    <row r="282" spans="1:2" x14ac:dyDescent="0.25">
      <c r="A282" s="4">
        <v>281</v>
      </c>
      <c r="B282" s="10">
        <v>0.1</v>
      </c>
    </row>
    <row r="283" spans="1:2" x14ac:dyDescent="0.25">
      <c r="A283" s="4">
        <v>282</v>
      </c>
      <c r="B283" s="10">
        <v>0.1</v>
      </c>
    </row>
    <row r="284" spans="1:2" x14ac:dyDescent="0.25">
      <c r="A284" s="4">
        <v>283</v>
      </c>
      <c r="B284" s="10">
        <v>0.1</v>
      </c>
    </row>
    <row r="285" spans="1:2" x14ac:dyDescent="0.25">
      <c r="A285" s="4">
        <v>284</v>
      </c>
      <c r="B285" s="10">
        <v>0.1</v>
      </c>
    </row>
    <row r="286" spans="1:2" x14ac:dyDescent="0.25">
      <c r="A286" s="4">
        <v>285</v>
      </c>
      <c r="B286" s="10">
        <v>0.1</v>
      </c>
    </row>
    <row r="287" spans="1:2" x14ac:dyDescent="0.25">
      <c r="A287" s="4">
        <v>286</v>
      </c>
      <c r="B287" s="10">
        <v>0.1</v>
      </c>
    </row>
    <row r="288" spans="1:2" x14ac:dyDescent="0.25">
      <c r="A288" s="4">
        <v>287</v>
      </c>
      <c r="B288" s="10">
        <v>0.1</v>
      </c>
    </row>
    <row r="289" spans="1:2" x14ac:dyDescent="0.25">
      <c r="A289" s="4">
        <v>288</v>
      </c>
      <c r="B289" s="10">
        <v>0.1</v>
      </c>
    </row>
    <row r="290" spans="1:2" x14ac:dyDescent="0.25">
      <c r="A290" s="4">
        <v>289</v>
      </c>
      <c r="B290" s="10">
        <v>0.1</v>
      </c>
    </row>
    <row r="291" spans="1:2" x14ac:dyDescent="0.25">
      <c r="A291" s="4">
        <v>290</v>
      </c>
      <c r="B291" s="10">
        <v>0.1</v>
      </c>
    </row>
    <row r="292" spans="1:2" x14ac:dyDescent="0.25">
      <c r="A292" s="4">
        <v>291</v>
      </c>
      <c r="B292" s="10">
        <v>0.1</v>
      </c>
    </row>
    <row r="293" spans="1:2" x14ac:dyDescent="0.25">
      <c r="A293" s="4">
        <v>292</v>
      </c>
      <c r="B293" s="10">
        <v>0.1</v>
      </c>
    </row>
    <row r="294" spans="1:2" x14ac:dyDescent="0.25">
      <c r="A294" s="4">
        <v>293</v>
      </c>
      <c r="B294" s="10">
        <v>0.1</v>
      </c>
    </row>
    <row r="295" spans="1:2" x14ac:dyDescent="0.25">
      <c r="A295" s="4">
        <v>294</v>
      </c>
      <c r="B295" s="10">
        <v>0.1</v>
      </c>
    </row>
    <row r="296" spans="1:2" x14ac:dyDescent="0.25">
      <c r="A296" s="4">
        <v>295</v>
      </c>
      <c r="B296" s="10">
        <v>0.1</v>
      </c>
    </row>
    <row r="297" spans="1:2" x14ac:dyDescent="0.25">
      <c r="A297" s="4">
        <v>296</v>
      </c>
      <c r="B297" s="10">
        <v>0.1</v>
      </c>
    </row>
    <row r="298" spans="1:2" x14ac:dyDescent="0.25">
      <c r="A298" s="4">
        <v>297</v>
      </c>
      <c r="B298" s="10">
        <v>0.1</v>
      </c>
    </row>
    <row r="299" spans="1:2" x14ac:dyDescent="0.25">
      <c r="A299" s="4">
        <v>298</v>
      </c>
      <c r="B299" s="10">
        <v>0.1</v>
      </c>
    </row>
    <row r="300" spans="1:2" x14ac:dyDescent="0.25">
      <c r="A300" s="4">
        <v>299</v>
      </c>
      <c r="B300" s="10">
        <v>0.1</v>
      </c>
    </row>
    <row r="301" spans="1:2" x14ac:dyDescent="0.25">
      <c r="A301" s="4">
        <v>300</v>
      </c>
      <c r="B301" s="10">
        <v>0.1</v>
      </c>
    </row>
    <row r="302" spans="1:2" x14ac:dyDescent="0.25">
      <c r="A302" s="4">
        <v>301</v>
      </c>
      <c r="B302" s="10">
        <v>0.1</v>
      </c>
    </row>
    <row r="303" spans="1:2" x14ac:dyDescent="0.25">
      <c r="A303" s="4">
        <v>302</v>
      </c>
      <c r="B303" s="10">
        <v>0.1</v>
      </c>
    </row>
    <row r="304" spans="1:2" x14ac:dyDescent="0.25">
      <c r="A304" s="4">
        <v>303</v>
      </c>
      <c r="B304" s="10">
        <v>0.1</v>
      </c>
    </row>
    <row r="305" spans="1:2" x14ac:dyDescent="0.25">
      <c r="A305" s="4">
        <v>304</v>
      </c>
      <c r="B305" s="10">
        <v>0.1</v>
      </c>
    </row>
    <row r="306" spans="1:2" x14ac:dyDescent="0.25">
      <c r="A306" s="4">
        <v>305</v>
      </c>
      <c r="B306" s="10">
        <v>0.1</v>
      </c>
    </row>
    <row r="307" spans="1:2" x14ac:dyDescent="0.25">
      <c r="A307" s="4">
        <v>306</v>
      </c>
      <c r="B307" s="10">
        <v>0.1</v>
      </c>
    </row>
    <row r="308" spans="1:2" x14ac:dyDescent="0.25">
      <c r="A308" s="4">
        <v>307</v>
      </c>
      <c r="B308" s="10">
        <v>0.1</v>
      </c>
    </row>
    <row r="309" spans="1:2" x14ac:dyDescent="0.25">
      <c r="A309" s="4">
        <v>308</v>
      </c>
      <c r="B309" s="10">
        <v>0.1</v>
      </c>
    </row>
    <row r="310" spans="1:2" x14ac:dyDescent="0.25">
      <c r="A310" s="4">
        <v>309</v>
      </c>
      <c r="B310" s="10">
        <v>0.1</v>
      </c>
    </row>
    <row r="311" spans="1:2" x14ac:dyDescent="0.25">
      <c r="A311" s="4">
        <v>310</v>
      </c>
      <c r="B311" s="10">
        <v>0.1</v>
      </c>
    </row>
    <row r="312" spans="1:2" x14ac:dyDescent="0.25">
      <c r="A312" s="4">
        <v>311</v>
      </c>
      <c r="B312" s="10">
        <v>0.1</v>
      </c>
    </row>
    <row r="313" spans="1:2" x14ac:dyDescent="0.25">
      <c r="A313" s="4">
        <v>312</v>
      </c>
      <c r="B313" s="10">
        <v>0.1</v>
      </c>
    </row>
    <row r="314" spans="1:2" x14ac:dyDescent="0.25">
      <c r="A314" s="4">
        <v>313</v>
      </c>
      <c r="B314" s="10">
        <v>0.1</v>
      </c>
    </row>
    <row r="315" spans="1:2" x14ac:dyDescent="0.25">
      <c r="A315" s="4">
        <v>314</v>
      </c>
      <c r="B315" s="10">
        <v>0.1</v>
      </c>
    </row>
    <row r="316" spans="1:2" x14ac:dyDescent="0.25">
      <c r="A316" s="4">
        <v>315</v>
      </c>
      <c r="B316" s="10">
        <v>0.1</v>
      </c>
    </row>
    <row r="317" spans="1:2" x14ac:dyDescent="0.25">
      <c r="A317" s="4">
        <v>316</v>
      </c>
      <c r="B317" s="10">
        <v>0.1</v>
      </c>
    </row>
    <row r="318" spans="1:2" x14ac:dyDescent="0.25">
      <c r="A318" s="4">
        <v>317</v>
      </c>
      <c r="B318" s="10">
        <v>0.1</v>
      </c>
    </row>
    <row r="319" spans="1:2" x14ac:dyDescent="0.25">
      <c r="A319" s="4">
        <v>318</v>
      </c>
      <c r="B319" s="10">
        <v>0.1</v>
      </c>
    </row>
    <row r="320" spans="1:2" x14ac:dyDescent="0.25">
      <c r="A320" s="4">
        <v>319</v>
      </c>
      <c r="B320" s="10">
        <v>0.1</v>
      </c>
    </row>
    <row r="321" spans="1:2" x14ac:dyDescent="0.25">
      <c r="A321" s="4">
        <v>320</v>
      </c>
      <c r="B321" s="10">
        <v>0.1</v>
      </c>
    </row>
    <row r="322" spans="1:2" x14ac:dyDescent="0.25">
      <c r="A322" s="4">
        <v>321</v>
      </c>
      <c r="B322" s="10">
        <v>0.1</v>
      </c>
    </row>
    <row r="323" spans="1:2" x14ac:dyDescent="0.25">
      <c r="A323" s="4">
        <v>322</v>
      </c>
      <c r="B323" s="10">
        <v>0.1</v>
      </c>
    </row>
    <row r="324" spans="1:2" x14ac:dyDescent="0.25">
      <c r="A324" s="4">
        <v>323</v>
      </c>
      <c r="B324" s="10">
        <v>0.1</v>
      </c>
    </row>
    <row r="325" spans="1:2" x14ac:dyDescent="0.25">
      <c r="A325" s="4">
        <v>324</v>
      </c>
      <c r="B325" s="10">
        <v>0.1</v>
      </c>
    </row>
    <row r="326" spans="1:2" x14ac:dyDescent="0.25">
      <c r="A326" s="4">
        <v>325</v>
      </c>
      <c r="B326" s="10">
        <v>0.1</v>
      </c>
    </row>
    <row r="327" spans="1:2" x14ac:dyDescent="0.25">
      <c r="A327" s="4">
        <v>326</v>
      </c>
      <c r="B327" s="10">
        <v>0.1</v>
      </c>
    </row>
    <row r="328" spans="1:2" x14ac:dyDescent="0.25">
      <c r="A328" s="4">
        <v>327</v>
      </c>
      <c r="B328" s="10">
        <v>0.1</v>
      </c>
    </row>
    <row r="329" spans="1:2" x14ac:dyDescent="0.25">
      <c r="A329" s="4">
        <v>328</v>
      </c>
      <c r="B329" s="10">
        <v>0.1</v>
      </c>
    </row>
    <row r="330" spans="1:2" x14ac:dyDescent="0.25">
      <c r="A330" s="4">
        <v>329</v>
      </c>
      <c r="B330" s="10">
        <v>0.1</v>
      </c>
    </row>
    <row r="331" spans="1:2" x14ac:dyDescent="0.25">
      <c r="A331" s="4">
        <v>330</v>
      </c>
      <c r="B331" s="10">
        <v>0.1</v>
      </c>
    </row>
    <row r="332" spans="1:2" x14ac:dyDescent="0.25">
      <c r="A332" s="4">
        <v>331</v>
      </c>
      <c r="B332" s="10">
        <v>0.1</v>
      </c>
    </row>
    <row r="333" spans="1:2" x14ac:dyDescent="0.25">
      <c r="A333" s="4">
        <v>332</v>
      </c>
      <c r="B333" s="10">
        <v>0.1</v>
      </c>
    </row>
    <row r="334" spans="1:2" x14ac:dyDescent="0.25">
      <c r="A334" s="4">
        <v>333</v>
      </c>
      <c r="B334" s="10">
        <v>0.1</v>
      </c>
    </row>
    <row r="335" spans="1:2" x14ac:dyDescent="0.25">
      <c r="A335" s="4">
        <v>334</v>
      </c>
      <c r="B335" s="10">
        <v>0.1</v>
      </c>
    </row>
    <row r="336" spans="1:2" x14ac:dyDescent="0.25">
      <c r="A336" s="4">
        <v>335</v>
      </c>
      <c r="B336" s="10">
        <v>0.1</v>
      </c>
    </row>
    <row r="337" spans="1:2" x14ac:dyDescent="0.25">
      <c r="A337" s="4">
        <v>336</v>
      </c>
      <c r="B337" s="10">
        <v>0.1</v>
      </c>
    </row>
    <row r="338" spans="1:2" x14ac:dyDescent="0.25">
      <c r="A338" s="4">
        <v>337</v>
      </c>
      <c r="B338" s="10">
        <v>0.1</v>
      </c>
    </row>
    <row r="339" spans="1:2" x14ac:dyDescent="0.25">
      <c r="A339" s="4">
        <v>338</v>
      </c>
      <c r="B339" s="10">
        <v>0.1</v>
      </c>
    </row>
    <row r="340" spans="1:2" x14ac:dyDescent="0.25">
      <c r="A340" s="4">
        <v>339</v>
      </c>
      <c r="B340" s="10">
        <v>0.1</v>
      </c>
    </row>
    <row r="341" spans="1:2" x14ac:dyDescent="0.25">
      <c r="A341" s="4">
        <v>340</v>
      </c>
      <c r="B341" s="10">
        <v>0.1</v>
      </c>
    </row>
    <row r="342" spans="1:2" x14ac:dyDescent="0.25">
      <c r="A342" s="4">
        <v>341</v>
      </c>
      <c r="B342" s="10">
        <v>0.1</v>
      </c>
    </row>
    <row r="343" spans="1:2" x14ac:dyDescent="0.25">
      <c r="A343" s="4">
        <v>342</v>
      </c>
      <c r="B343" s="10">
        <v>0.1</v>
      </c>
    </row>
    <row r="344" spans="1:2" x14ac:dyDescent="0.25">
      <c r="A344" s="4">
        <v>343</v>
      </c>
      <c r="B344" s="10">
        <v>0.1</v>
      </c>
    </row>
    <row r="345" spans="1:2" x14ac:dyDescent="0.25">
      <c r="A345" s="4">
        <v>344</v>
      </c>
      <c r="B345" s="10">
        <v>0.1</v>
      </c>
    </row>
    <row r="346" spans="1:2" x14ac:dyDescent="0.25">
      <c r="A346" s="4">
        <v>345</v>
      </c>
      <c r="B346" s="10">
        <v>0.1</v>
      </c>
    </row>
    <row r="347" spans="1:2" x14ac:dyDescent="0.25">
      <c r="A347" s="4">
        <v>346</v>
      </c>
      <c r="B347" s="10">
        <v>0.1</v>
      </c>
    </row>
    <row r="348" spans="1:2" x14ac:dyDescent="0.25">
      <c r="A348" s="4">
        <v>347</v>
      </c>
      <c r="B348" s="10">
        <v>0.1</v>
      </c>
    </row>
    <row r="349" spans="1:2" x14ac:dyDescent="0.25">
      <c r="A349" s="4">
        <v>348</v>
      </c>
      <c r="B349" s="10">
        <v>0.1</v>
      </c>
    </row>
    <row r="350" spans="1:2" x14ac:dyDescent="0.25">
      <c r="A350" s="4">
        <v>349</v>
      </c>
      <c r="B350" s="10">
        <v>0.1</v>
      </c>
    </row>
    <row r="351" spans="1:2" x14ac:dyDescent="0.25">
      <c r="A351" s="4">
        <v>350</v>
      </c>
      <c r="B351" s="10">
        <v>0.1</v>
      </c>
    </row>
    <row r="352" spans="1:2" x14ac:dyDescent="0.25">
      <c r="A352" s="4">
        <v>351</v>
      </c>
      <c r="B352" s="10">
        <v>0.1</v>
      </c>
    </row>
    <row r="353" spans="1:2" x14ac:dyDescent="0.25">
      <c r="A353" s="4">
        <v>352</v>
      </c>
      <c r="B353" s="10">
        <v>0.1</v>
      </c>
    </row>
    <row r="354" spans="1:2" x14ac:dyDescent="0.25">
      <c r="A354" s="4">
        <v>353</v>
      </c>
      <c r="B354" s="10">
        <v>0.1</v>
      </c>
    </row>
    <row r="355" spans="1:2" x14ac:dyDescent="0.25">
      <c r="A355" s="4">
        <v>354</v>
      </c>
      <c r="B355" s="10">
        <v>0.1</v>
      </c>
    </row>
    <row r="356" spans="1:2" x14ac:dyDescent="0.25">
      <c r="A356" s="4">
        <v>355</v>
      </c>
      <c r="B356" s="10">
        <v>0.1</v>
      </c>
    </row>
    <row r="357" spans="1:2" x14ac:dyDescent="0.25">
      <c r="A357" s="4">
        <v>356</v>
      </c>
      <c r="B357" s="10">
        <v>0.1</v>
      </c>
    </row>
    <row r="358" spans="1:2" x14ac:dyDescent="0.25">
      <c r="A358" s="4">
        <v>357</v>
      </c>
      <c r="B358" s="10">
        <v>0.1</v>
      </c>
    </row>
    <row r="359" spans="1:2" x14ac:dyDescent="0.25">
      <c r="A359" s="4">
        <v>358</v>
      </c>
      <c r="B359" s="10">
        <v>0.1</v>
      </c>
    </row>
    <row r="360" spans="1:2" x14ac:dyDescent="0.25">
      <c r="A360" s="4">
        <v>359</v>
      </c>
      <c r="B360" s="10">
        <v>0.1</v>
      </c>
    </row>
    <row r="361" spans="1:2" x14ac:dyDescent="0.25">
      <c r="A361" s="4">
        <v>360</v>
      </c>
      <c r="B361" s="10">
        <v>0.1</v>
      </c>
    </row>
    <row r="362" spans="1:2" x14ac:dyDescent="0.25">
      <c r="A362" s="4">
        <v>361</v>
      </c>
      <c r="B362" s="10">
        <v>0.1</v>
      </c>
    </row>
    <row r="363" spans="1:2" x14ac:dyDescent="0.25">
      <c r="A363" s="4">
        <v>362</v>
      </c>
      <c r="B363" s="10">
        <v>0.1</v>
      </c>
    </row>
    <row r="364" spans="1:2" x14ac:dyDescent="0.25">
      <c r="A364" s="4">
        <v>363</v>
      </c>
      <c r="B364" s="10">
        <v>0.1</v>
      </c>
    </row>
    <row r="365" spans="1:2" x14ac:dyDescent="0.25">
      <c r="A365" s="4">
        <v>364</v>
      </c>
      <c r="B365" s="10">
        <v>0.1</v>
      </c>
    </row>
    <row r="366" spans="1:2" x14ac:dyDescent="0.25">
      <c r="A366" s="4">
        <v>365</v>
      </c>
      <c r="B366" s="10">
        <v>0.1</v>
      </c>
    </row>
    <row r="367" spans="1:2" x14ac:dyDescent="0.25">
      <c r="A367" s="4">
        <v>366</v>
      </c>
      <c r="B367" s="10">
        <v>0.1</v>
      </c>
    </row>
    <row r="368" spans="1:2" x14ac:dyDescent="0.25">
      <c r="A368" s="4">
        <v>367</v>
      </c>
      <c r="B368" s="10">
        <v>0.1</v>
      </c>
    </row>
    <row r="369" spans="1:2" x14ac:dyDescent="0.25">
      <c r="A369" s="4">
        <v>368</v>
      </c>
      <c r="B369" s="10">
        <v>0.1</v>
      </c>
    </row>
    <row r="370" spans="1:2" x14ac:dyDescent="0.25">
      <c r="A370" s="4">
        <v>369</v>
      </c>
      <c r="B370" s="10">
        <v>0.1</v>
      </c>
    </row>
    <row r="371" spans="1:2" x14ac:dyDescent="0.25">
      <c r="A371" s="4">
        <v>370</v>
      </c>
      <c r="B371" s="10">
        <v>0.1</v>
      </c>
    </row>
    <row r="372" spans="1:2" x14ac:dyDescent="0.25">
      <c r="A372" s="4">
        <v>371</v>
      </c>
      <c r="B372" s="10">
        <v>0.1</v>
      </c>
    </row>
    <row r="373" spans="1:2" x14ac:dyDescent="0.25">
      <c r="A373" s="4">
        <v>372</v>
      </c>
      <c r="B373" s="10">
        <v>0.1</v>
      </c>
    </row>
    <row r="374" spans="1:2" x14ac:dyDescent="0.25">
      <c r="A374" s="4">
        <v>373</v>
      </c>
      <c r="B374" s="10">
        <v>0.1</v>
      </c>
    </row>
    <row r="375" spans="1:2" x14ac:dyDescent="0.25">
      <c r="A375" s="4">
        <v>374</v>
      </c>
      <c r="B375" s="10">
        <v>0.1</v>
      </c>
    </row>
    <row r="376" spans="1:2" x14ac:dyDescent="0.25">
      <c r="A376" s="4">
        <v>375</v>
      </c>
      <c r="B376" s="10">
        <v>0.1</v>
      </c>
    </row>
    <row r="377" spans="1:2" x14ac:dyDescent="0.25">
      <c r="A377" s="4">
        <v>376</v>
      </c>
      <c r="B377" s="10">
        <v>0.1</v>
      </c>
    </row>
    <row r="378" spans="1:2" x14ac:dyDescent="0.25">
      <c r="A378" s="4">
        <v>377</v>
      </c>
      <c r="B378" s="10">
        <v>0.1</v>
      </c>
    </row>
    <row r="379" spans="1:2" x14ac:dyDescent="0.25">
      <c r="A379" s="4">
        <v>378</v>
      </c>
      <c r="B379" s="10">
        <v>0.1</v>
      </c>
    </row>
    <row r="380" spans="1:2" x14ac:dyDescent="0.25">
      <c r="A380" s="4">
        <v>379</v>
      </c>
      <c r="B380" s="10">
        <v>0.1</v>
      </c>
    </row>
    <row r="381" spans="1:2" x14ac:dyDescent="0.25">
      <c r="A381" s="4">
        <v>380</v>
      </c>
      <c r="B381" s="10">
        <v>0.1</v>
      </c>
    </row>
    <row r="382" spans="1:2" x14ac:dyDescent="0.25">
      <c r="A382" s="4">
        <v>381</v>
      </c>
      <c r="B382" s="10">
        <v>0.1</v>
      </c>
    </row>
    <row r="383" spans="1:2" x14ac:dyDescent="0.25">
      <c r="A383" s="4">
        <v>382</v>
      </c>
      <c r="B383" s="10">
        <v>0.1</v>
      </c>
    </row>
    <row r="384" spans="1:2" x14ac:dyDescent="0.25">
      <c r="A384" s="4">
        <v>383</v>
      </c>
      <c r="B384" s="10">
        <v>0.1</v>
      </c>
    </row>
    <row r="385" spans="1:2" x14ac:dyDescent="0.25">
      <c r="A385" s="4">
        <v>384</v>
      </c>
      <c r="B385" s="10">
        <v>0.1</v>
      </c>
    </row>
    <row r="386" spans="1:2" x14ac:dyDescent="0.25">
      <c r="A386" s="4">
        <v>385</v>
      </c>
      <c r="B386" s="10">
        <v>0.1</v>
      </c>
    </row>
    <row r="387" spans="1:2" x14ac:dyDescent="0.25">
      <c r="A387" s="4">
        <v>386</v>
      </c>
      <c r="B387" s="10">
        <v>0.1</v>
      </c>
    </row>
    <row r="388" spans="1:2" x14ac:dyDescent="0.25">
      <c r="A388" s="4">
        <v>387</v>
      </c>
      <c r="B388" s="10">
        <v>0.1</v>
      </c>
    </row>
    <row r="389" spans="1:2" x14ac:dyDescent="0.25">
      <c r="A389" s="4">
        <v>388</v>
      </c>
      <c r="B389" s="10">
        <v>0.1</v>
      </c>
    </row>
    <row r="390" spans="1:2" x14ac:dyDescent="0.25">
      <c r="A390" s="4">
        <v>389</v>
      </c>
      <c r="B390" s="10">
        <v>0.1</v>
      </c>
    </row>
    <row r="391" spans="1:2" x14ac:dyDescent="0.25">
      <c r="A391" s="4">
        <v>390</v>
      </c>
      <c r="B391" s="10">
        <v>0.1</v>
      </c>
    </row>
    <row r="392" spans="1:2" x14ac:dyDescent="0.25">
      <c r="A392" s="4">
        <v>391</v>
      </c>
      <c r="B392" s="10">
        <v>0.1</v>
      </c>
    </row>
    <row r="393" spans="1:2" x14ac:dyDescent="0.25">
      <c r="A393" s="4">
        <v>392</v>
      </c>
      <c r="B393" s="10">
        <v>0.1</v>
      </c>
    </row>
    <row r="394" spans="1:2" x14ac:dyDescent="0.25">
      <c r="A394" s="4">
        <v>393</v>
      </c>
      <c r="B394" s="10">
        <v>0.1</v>
      </c>
    </row>
    <row r="395" spans="1:2" x14ac:dyDescent="0.25">
      <c r="A395" s="4">
        <v>394</v>
      </c>
      <c r="B395" s="10">
        <v>0.1</v>
      </c>
    </row>
    <row r="396" spans="1:2" x14ac:dyDescent="0.25">
      <c r="A396" s="4">
        <v>395</v>
      </c>
      <c r="B396" s="10">
        <v>0.1</v>
      </c>
    </row>
    <row r="397" spans="1:2" x14ac:dyDescent="0.25">
      <c r="A397" s="4">
        <v>396</v>
      </c>
      <c r="B397" s="10">
        <v>0.1</v>
      </c>
    </row>
    <row r="398" spans="1:2" x14ac:dyDescent="0.25">
      <c r="A398" s="4">
        <v>397</v>
      </c>
      <c r="B398" s="10">
        <v>0.1</v>
      </c>
    </row>
    <row r="399" spans="1:2" x14ac:dyDescent="0.25">
      <c r="A399" s="4">
        <v>398</v>
      </c>
      <c r="B399" s="10">
        <v>0.1</v>
      </c>
    </row>
    <row r="400" spans="1:2" x14ac:dyDescent="0.25">
      <c r="A400" s="4">
        <v>399</v>
      </c>
      <c r="B400" s="10">
        <v>0.1</v>
      </c>
    </row>
    <row r="401" spans="1:2" x14ac:dyDescent="0.25">
      <c r="A401" s="4">
        <v>400</v>
      </c>
      <c r="B401" s="10">
        <v>0.1</v>
      </c>
    </row>
    <row r="402" spans="1:2" x14ac:dyDescent="0.25">
      <c r="A402" s="4">
        <v>401</v>
      </c>
      <c r="B402" s="10">
        <v>0.1</v>
      </c>
    </row>
    <row r="403" spans="1:2" x14ac:dyDescent="0.25">
      <c r="A403" s="4">
        <v>402</v>
      </c>
      <c r="B403" s="10">
        <v>0.1</v>
      </c>
    </row>
    <row r="404" spans="1:2" x14ac:dyDescent="0.25">
      <c r="A404" s="4">
        <v>403</v>
      </c>
      <c r="B404" s="10">
        <v>0.1</v>
      </c>
    </row>
    <row r="405" spans="1:2" x14ac:dyDescent="0.25">
      <c r="A405" s="4">
        <v>404</v>
      </c>
      <c r="B405" s="10">
        <v>0.1</v>
      </c>
    </row>
    <row r="406" spans="1:2" x14ac:dyDescent="0.25">
      <c r="A406" s="4">
        <v>405</v>
      </c>
      <c r="B406" s="10">
        <v>0.1</v>
      </c>
    </row>
    <row r="407" spans="1:2" x14ac:dyDescent="0.25">
      <c r="A407" s="4">
        <v>406</v>
      </c>
      <c r="B407" s="10">
        <v>0.1</v>
      </c>
    </row>
    <row r="408" spans="1:2" x14ac:dyDescent="0.25">
      <c r="A408" s="4">
        <v>407</v>
      </c>
      <c r="B408" s="10">
        <v>0.1</v>
      </c>
    </row>
    <row r="409" spans="1:2" x14ac:dyDescent="0.25">
      <c r="A409" s="4">
        <v>408</v>
      </c>
      <c r="B409" s="10">
        <v>0.1</v>
      </c>
    </row>
    <row r="410" spans="1:2" x14ac:dyDescent="0.25">
      <c r="A410" s="4">
        <v>409</v>
      </c>
      <c r="B410" s="10">
        <v>0.1</v>
      </c>
    </row>
    <row r="411" spans="1:2" x14ac:dyDescent="0.25">
      <c r="A411" s="4">
        <v>410</v>
      </c>
      <c r="B411" s="10">
        <v>0.1</v>
      </c>
    </row>
    <row r="412" spans="1:2" x14ac:dyDescent="0.25">
      <c r="A412" s="4">
        <v>411</v>
      </c>
      <c r="B412" s="10">
        <v>0.1</v>
      </c>
    </row>
    <row r="413" spans="1:2" x14ac:dyDescent="0.25">
      <c r="A413" s="4">
        <v>412</v>
      </c>
      <c r="B413" s="10">
        <v>0.1</v>
      </c>
    </row>
    <row r="414" spans="1:2" x14ac:dyDescent="0.25">
      <c r="A414" s="4">
        <v>413</v>
      </c>
      <c r="B414" s="10">
        <v>0.1</v>
      </c>
    </row>
    <row r="415" spans="1:2" x14ac:dyDescent="0.25">
      <c r="A415" s="4">
        <v>414</v>
      </c>
      <c r="B415" s="10">
        <v>0.1</v>
      </c>
    </row>
    <row r="416" spans="1:2" x14ac:dyDescent="0.25">
      <c r="A416" s="4">
        <v>415</v>
      </c>
      <c r="B416" s="10">
        <v>0.1</v>
      </c>
    </row>
    <row r="417" spans="1:2" x14ac:dyDescent="0.25">
      <c r="A417" s="4">
        <v>416</v>
      </c>
      <c r="B417" s="10">
        <v>0.1</v>
      </c>
    </row>
    <row r="418" spans="1:2" x14ac:dyDescent="0.25">
      <c r="A418" s="4">
        <v>417</v>
      </c>
      <c r="B418" s="10">
        <v>0.1</v>
      </c>
    </row>
    <row r="419" spans="1:2" x14ac:dyDescent="0.25">
      <c r="A419" s="4">
        <v>418</v>
      </c>
      <c r="B419" s="10">
        <v>0.1</v>
      </c>
    </row>
    <row r="420" spans="1:2" x14ac:dyDescent="0.25">
      <c r="A420" s="4">
        <v>419</v>
      </c>
      <c r="B420" s="10">
        <v>0.1</v>
      </c>
    </row>
    <row r="421" spans="1:2" x14ac:dyDescent="0.25">
      <c r="A421" s="4">
        <v>420</v>
      </c>
      <c r="B421" s="10">
        <v>0.1</v>
      </c>
    </row>
    <row r="422" spans="1:2" x14ac:dyDescent="0.25">
      <c r="A422" s="4">
        <v>421</v>
      </c>
      <c r="B422" s="10">
        <v>0.1</v>
      </c>
    </row>
    <row r="423" spans="1:2" x14ac:dyDescent="0.25">
      <c r="A423" s="4">
        <v>422</v>
      </c>
      <c r="B423" s="10">
        <v>0.1</v>
      </c>
    </row>
    <row r="424" spans="1:2" x14ac:dyDescent="0.25">
      <c r="A424" s="4">
        <v>423</v>
      </c>
      <c r="B424" s="10">
        <v>0.1</v>
      </c>
    </row>
    <row r="425" spans="1:2" x14ac:dyDescent="0.25">
      <c r="A425" s="4">
        <v>424</v>
      </c>
      <c r="B425" s="10">
        <v>0.1</v>
      </c>
    </row>
    <row r="426" spans="1:2" x14ac:dyDescent="0.25">
      <c r="A426" s="4">
        <v>425</v>
      </c>
      <c r="B426" s="10">
        <v>0.1</v>
      </c>
    </row>
    <row r="427" spans="1:2" x14ac:dyDescent="0.25">
      <c r="A427" s="4">
        <v>426</v>
      </c>
      <c r="B427" s="10">
        <v>0.1</v>
      </c>
    </row>
    <row r="428" spans="1:2" x14ac:dyDescent="0.25">
      <c r="A428" s="4">
        <v>427</v>
      </c>
      <c r="B428" s="10">
        <v>0.1</v>
      </c>
    </row>
    <row r="429" spans="1:2" x14ac:dyDescent="0.25">
      <c r="A429" s="4">
        <v>428</v>
      </c>
      <c r="B429" s="10">
        <v>0.1</v>
      </c>
    </row>
    <row r="430" spans="1:2" x14ac:dyDescent="0.25">
      <c r="A430" s="4">
        <v>429</v>
      </c>
      <c r="B430" s="10">
        <v>0.1</v>
      </c>
    </row>
    <row r="431" spans="1:2" x14ac:dyDescent="0.25">
      <c r="A431" s="4">
        <v>430</v>
      </c>
      <c r="B431" s="10">
        <v>0.1</v>
      </c>
    </row>
    <row r="432" spans="1:2" x14ac:dyDescent="0.25">
      <c r="A432" s="4">
        <v>431</v>
      </c>
      <c r="B432" s="10">
        <v>0.1</v>
      </c>
    </row>
    <row r="433" spans="1:2" x14ac:dyDescent="0.25">
      <c r="A433" s="4">
        <v>432</v>
      </c>
      <c r="B433" s="10">
        <v>0.1</v>
      </c>
    </row>
    <row r="434" spans="1:2" x14ac:dyDescent="0.25">
      <c r="A434" s="4">
        <v>433</v>
      </c>
      <c r="B434" s="10">
        <v>0.1</v>
      </c>
    </row>
    <row r="435" spans="1:2" x14ac:dyDescent="0.25">
      <c r="A435" s="4">
        <v>434</v>
      </c>
      <c r="B435" s="10">
        <v>0.1</v>
      </c>
    </row>
    <row r="436" spans="1:2" x14ac:dyDescent="0.25">
      <c r="A436" s="4">
        <v>435</v>
      </c>
      <c r="B436" s="10">
        <v>0.1</v>
      </c>
    </row>
    <row r="437" spans="1:2" x14ac:dyDescent="0.25">
      <c r="A437" s="4">
        <v>436</v>
      </c>
      <c r="B437" s="10">
        <v>0.1</v>
      </c>
    </row>
    <row r="438" spans="1:2" x14ac:dyDescent="0.25">
      <c r="A438" s="4">
        <v>437</v>
      </c>
      <c r="B438" s="10">
        <v>0.1</v>
      </c>
    </row>
    <row r="439" spans="1:2" x14ac:dyDescent="0.25">
      <c r="A439" s="4">
        <v>438</v>
      </c>
      <c r="B439" s="10">
        <v>0.1</v>
      </c>
    </row>
    <row r="440" spans="1:2" x14ac:dyDescent="0.25">
      <c r="A440" s="4">
        <v>439</v>
      </c>
      <c r="B440" s="10">
        <v>0.1</v>
      </c>
    </row>
    <row r="441" spans="1:2" x14ac:dyDescent="0.25">
      <c r="A441" s="4">
        <v>440</v>
      </c>
      <c r="B441" s="10">
        <v>0.1</v>
      </c>
    </row>
    <row r="442" spans="1:2" x14ac:dyDescent="0.25">
      <c r="A442" s="4">
        <v>441</v>
      </c>
      <c r="B442" s="10">
        <v>0.1</v>
      </c>
    </row>
    <row r="443" spans="1:2" x14ac:dyDescent="0.25">
      <c r="A443" s="4">
        <v>442</v>
      </c>
      <c r="B443" s="10">
        <v>0.1</v>
      </c>
    </row>
    <row r="444" spans="1:2" x14ac:dyDescent="0.25">
      <c r="A444" s="4">
        <v>443</v>
      </c>
      <c r="B444" s="10">
        <v>0.1</v>
      </c>
    </row>
    <row r="445" spans="1:2" x14ac:dyDescent="0.25">
      <c r="A445" s="4">
        <v>444</v>
      </c>
      <c r="B445" s="10">
        <v>0.1</v>
      </c>
    </row>
    <row r="446" spans="1:2" x14ac:dyDescent="0.25">
      <c r="A446" s="4">
        <v>445</v>
      </c>
      <c r="B446" s="10">
        <v>0.1</v>
      </c>
    </row>
    <row r="447" spans="1:2" x14ac:dyDescent="0.25">
      <c r="A447" s="4">
        <v>446</v>
      </c>
      <c r="B447" s="10">
        <v>0.1</v>
      </c>
    </row>
    <row r="448" spans="1:2" x14ac:dyDescent="0.25">
      <c r="A448" s="4">
        <v>447</v>
      </c>
      <c r="B448" s="10">
        <v>0.1</v>
      </c>
    </row>
    <row r="449" spans="1:2" x14ac:dyDescent="0.25">
      <c r="A449" s="4">
        <v>448</v>
      </c>
      <c r="B449" s="10">
        <v>0.1</v>
      </c>
    </row>
    <row r="450" spans="1:2" x14ac:dyDescent="0.25">
      <c r="A450" s="4">
        <v>449</v>
      </c>
      <c r="B450" s="10">
        <v>0.1</v>
      </c>
    </row>
    <row r="451" spans="1:2" x14ac:dyDescent="0.25">
      <c r="A451" s="4">
        <v>450</v>
      </c>
      <c r="B451" s="10">
        <v>0.1</v>
      </c>
    </row>
    <row r="452" spans="1:2" x14ac:dyDescent="0.25">
      <c r="A452" s="4">
        <v>451</v>
      </c>
      <c r="B452" s="10">
        <v>0.1</v>
      </c>
    </row>
    <row r="453" spans="1:2" x14ac:dyDescent="0.25">
      <c r="A453" s="4">
        <v>452</v>
      </c>
      <c r="B453" s="10">
        <v>0.1</v>
      </c>
    </row>
    <row r="454" spans="1:2" x14ac:dyDescent="0.25">
      <c r="A454" s="4">
        <v>453</v>
      </c>
      <c r="B454" s="10">
        <v>0.1</v>
      </c>
    </row>
    <row r="455" spans="1:2" x14ac:dyDescent="0.25">
      <c r="A455" s="4">
        <v>454</v>
      </c>
      <c r="B455" s="10">
        <v>0.1</v>
      </c>
    </row>
    <row r="456" spans="1:2" x14ac:dyDescent="0.25">
      <c r="A456" s="4">
        <v>455</v>
      </c>
      <c r="B456" s="10">
        <v>0.1</v>
      </c>
    </row>
    <row r="457" spans="1:2" x14ac:dyDescent="0.25">
      <c r="A457" s="4">
        <v>456</v>
      </c>
      <c r="B457" s="10">
        <v>0.1</v>
      </c>
    </row>
    <row r="458" spans="1:2" x14ac:dyDescent="0.25">
      <c r="A458" s="4">
        <v>457</v>
      </c>
      <c r="B458" s="10">
        <v>0.1</v>
      </c>
    </row>
    <row r="459" spans="1:2" x14ac:dyDescent="0.25">
      <c r="A459" s="4">
        <v>458</v>
      </c>
      <c r="B459" s="10">
        <v>0.1</v>
      </c>
    </row>
    <row r="460" spans="1:2" x14ac:dyDescent="0.25">
      <c r="A460" s="4">
        <v>459</v>
      </c>
      <c r="B460" s="10">
        <v>0.1</v>
      </c>
    </row>
    <row r="461" spans="1:2" x14ac:dyDescent="0.25">
      <c r="A461" s="4">
        <v>460</v>
      </c>
      <c r="B461" s="10">
        <v>0.1</v>
      </c>
    </row>
    <row r="462" spans="1:2" x14ac:dyDescent="0.25">
      <c r="A462" s="4">
        <v>461</v>
      </c>
      <c r="B462" s="10">
        <v>0.1</v>
      </c>
    </row>
    <row r="463" spans="1:2" x14ac:dyDescent="0.25">
      <c r="A463" s="4">
        <v>462</v>
      </c>
      <c r="B463" s="10">
        <v>0.1</v>
      </c>
    </row>
    <row r="464" spans="1:2" x14ac:dyDescent="0.25">
      <c r="A464" s="4">
        <v>463</v>
      </c>
      <c r="B464" s="10">
        <v>0.1</v>
      </c>
    </row>
    <row r="465" spans="1:2" x14ac:dyDescent="0.25">
      <c r="A465" s="4">
        <v>464</v>
      </c>
      <c r="B465" s="10">
        <v>0.1</v>
      </c>
    </row>
    <row r="466" spans="1:2" x14ac:dyDescent="0.25">
      <c r="A466" s="4">
        <v>465</v>
      </c>
      <c r="B466" s="10">
        <v>0.1</v>
      </c>
    </row>
    <row r="467" spans="1:2" x14ac:dyDescent="0.25">
      <c r="A467" s="4">
        <v>466</v>
      </c>
      <c r="B467" s="10">
        <v>0.1</v>
      </c>
    </row>
    <row r="468" spans="1:2" x14ac:dyDescent="0.25">
      <c r="A468" s="4">
        <v>467</v>
      </c>
      <c r="B468" s="10">
        <v>0.1</v>
      </c>
    </row>
    <row r="469" spans="1:2" x14ac:dyDescent="0.25">
      <c r="A469" s="4">
        <v>468</v>
      </c>
      <c r="B469" s="10">
        <v>0.1</v>
      </c>
    </row>
    <row r="470" spans="1:2" x14ac:dyDescent="0.25">
      <c r="A470" s="4">
        <v>469</v>
      </c>
      <c r="B470" s="10">
        <v>0.1</v>
      </c>
    </row>
    <row r="471" spans="1:2" x14ac:dyDescent="0.25">
      <c r="A471" s="4">
        <v>470</v>
      </c>
      <c r="B471" s="10">
        <v>0.1</v>
      </c>
    </row>
    <row r="472" spans="1:2" x14ac:dyDescent="0.25">
      <c r="A472" s="4">
        <v>471</v>
      </c>
      <c r="B472" s="10">
        <v>0.1</v>
      </c>
    </row>
    <row r="473" spans="1:2" x14ac:dyDescent="0.25">
      <c r="A473" s="4">
        <v>472</v>
      </c>
      <c r="B473" s="10">
        <v>0.1</v>
      </c>
    </row>
    <row r="474" spans="1:2" x14ac:dyDescent="0.25">
      <c r="A474" s="4">
        <v>473</v>
      </c>
      <c r="B474" s="10">
        <v>0.1</v>
      </c>
    </row>
    <row r="475" spans="1:2" x14ac:dyDescent="0.25">
      <c r="A475" s="4">
        <v>474</v>
      </c>
      <c r="B475" s="10">
        <v>0.1</v>
      </c>
    </row>
    <row r="476" spans="1:2" x14ac:dyDescent="0.25">
      <c r="A476" s="4">
        <v>475</v>
      </c>
      <c r="B476" s="10">
        <v>0.1</v>
      </c>
    </row>
    <row r="477" spans="1:2" x14ac:dyDescent="0.25">
      <c r="A477" s="4">
        <v>476</v>
      </c>
      <c r="B477" s="10">
        <v>0.1</v>
      </c>
    </row>
    <row r="478" spans="1:2" x14ac:dyDescent="0.25">
      <c r="A478" s="4">
        <v>477</v>
      </c>
      <c r="B478" s="10">
        <v>0.1</v>
      </c>
    </row>
    <row r="479" spans="1:2" x14ac:dyDescent="0.25">
      <c r="A479" s="4">
        <v>478</v>
      </c>
      <c r="B479" s="10">
        <v>0.1</v>
      </c>
    </row>
    <row r="480" spans="1:2" x14ac:dyDescent="0.25">
      <c r="A480" s="4">
        <v>479</v>
      </c>
      <c r="B480" s="10">
        <v>0.1</v>
      </c>
    </row>
    <row r="481" spans="1:2" x14ac:dyDescent="0.25">
      <c r="A481" s="4">
        <v>480</v>
      </c>
      <c r="B481" s="10">
        <v>0.1</v>
      </c>
    </row>
    <row r="482" spans="1:2" x14ac:dyDescent="0.25">
      <c r="A482" s="4">
        <v>481</v>
      </c>
      <c r="B482" s="10">
        <v>0.1</v>
      </c>
    </row>
    <row r="483" spans="1:2" x14ac:dyDescent="0.25">
      <c r="A483" s="4">
        <v>482</v>
      </c>
      <c r="B483" s="10">
        <v>0.1</v>
      </c>
    </row>
    <row r="484" spans="1:2" x14ac:dyDescent="0.25">
      <c r="A484" s="4">
        <v>483</v>
      </c>
      <c r="B484" s="10">
        <v>0.1</v>
      </c>
    </row>
    <row r="485" spans="1:2" x14ac:dyDescent="0.25">
      <c r="A485" s="4">
        <v>484</v>
      </c>
      <c r="B485" s="10">
        <v>0.1</v>
      </c>
    </row>
    <row r="486" spans="1:2" x14ac:dyDescent="0.25">
      <c r="A486" s="4">
        <v>485</v>
      </c>
      <c r="B486" s="10">
        <v>0.1</v>
      </c>
    </row>
    <row r="487" spans="1:2" x14ac:dyDescent="0.25">
      <c r="A487" s="4">
        <v>486</v>
      </c>
      <c r="B487" s="10">
        <v>0.1</v>
      </c>
    </row>
    <row r="488" spans="1:2" x14ac:dyDescent="0.25">
      <c r="A488" s="4">
        <v>487</v>
      </c>
      <c r="B488" s="10">
        <v>0.1</v>
      </c>
    </row>
    <row r="489" spans="1:2" x14ac:dyDescent="0.25">
      <c r="A489" s="4">
        <v>488</v>
      </c>
      <c r="B489" s="10">
        <v>0.1</v>
      </c>
    </row>
    <row r="490" spans="1:2" x14ac:dyDescent="0.25">
      <c r="A490" s="4">
        <v>489</v>
      </c>
      <c r="B490" s="10">
        <v>0.1</v>
      </c>
    </row>
    <row r="491" spans="1:2" x14ac:dyDescent="0.25">
      <c r="A491" s="4">
        <v>490</v>
      </c>
      <c r="B491" s="10">
        <v>0.1</v>
      </c>
    </row>
    <row r="492" spans="1:2" x14ac:dyDescent="0.25">
      <c r="A492" s="4">
        <v>491</v>
      </c>
      <c r="B492" s="10">
        <v>0.1</v>
      </c>
    </row>
    <row r="493" spans="1:2" x14ac:dyDescent="0.25">
      <c r="A493" s="4">
        <v>492</v>
      </c>
      <c r="B493" s="10">
        <v>0.1</v>
      </c>
    </row>
    <row r="494" spans="1:2" x14ac:dyDescent="0.25">
      <c r="A494" s="4">
        <v>493</v>
      </c>
      <c r="B494" s="10">
        <v>0.1</v>
      </c>
    </row>
    <row r="495" spans="1:2" x14ac:dyDescent="0.25">
      <c r="A495" s="4">
        <v>494</v>
      </c>
      <c r="B495" s="10">
        <v>0.1</v>
      </c>
    </row>
    <row r="496" spans="1:2" x14ac:dyDescent="0.25">
      <c r="A496" s="4">
        <v>495</v>
      </c>
      <c r="B496" s="10">
        <v>0.1</v>
      </c>
    </row>
    <row r="497" spans="1:2" x14ac:dyDescent="0.25">
      <c r="A497" s="4">
        <v>496</v>
      </c>
      <c r="B497" s="10">
        <v>0.1</v>
      </c>
    </row>
    <row r="498" spans="1:2" x14ac:dyDescent="0.25">
      <c r="A498" s="4">
        <v>497</v>
      </c>
      <c r="B498" s="10">
        <v>0.1</v>
      </c>
    </row>
    <row r="499" spans="1:2" x14ac:dyDescent="0.25">
      <c r="A499" s="4">
        <v>498</v>
      </c>
      <c r="B499" s="10">
        <v>0.1</v>
      </c>
    </row>
    <row r="500" spans="1:2" x14ac:dyDescent="0.25">
      <c r="A500" s="4">
        <v>499</v>
      </c>
      <c r="B500" s="10">
        <v>0.1</v>
      </c>
    </row>
    <row r="501" spans="1:2" x14ac:dyDescent="0.25">
      <c r="A501" s="4">
        <v>500</v>
      </c>
      <c r="B501" s="10">
        <v>0.1</v>
      </c>
    </row>
    <row r="502" spans="1:2" x14ac:dyDescent="0.25">
      <c r="A502" s="4">
        <v>501</v>
      </c>
      <c r="B502" s="10">
        <v>0.1</v>
      </c>
    </row>
    <row r="503" spans="1:2" x14ac:dyDescent="0.25">
      <c r="A503" s="4">
        <v>502</v>
      </c>
      <c r="B503" s="10">
        <v>0.1</v>
      </c>
    </row>
    <row r="504" spans="1:2" x14ac:dyDescent="0.25">
      <c r="A504" s="4">
        <v>503</v>
      </c>
      <c r="B504" s="10">
        <v>0.1</v>
      </c>
    </row>
    <row r="505" spans="1:2" x14ac:dyDescent="0.25">
      <c r="A505" s="4">
        <v>504</v>
      </c>
      <c r="B505" s="10">
        <v>0.1</v>
      </c>
    </row>
    <row r="506" spans="1:2" x14ac:dyDescent="0.25">
      <c r="A506" s="4">
        <v>505</v>
      </c>
      <c r="B506" s="10">
        <v>0.1</v>
      </c>
    </row>
    <row r="507" spans="1:2" x14ac:dyDescent="0.25">
      <c r="A507" s="4">
        <v>506</v>
      </c>
      <c r="B507" s="10">
        <v>0.1</v>
      </c>
    </row>
    <row r="508" spans="1:2" x14ac:dyDescent="0.25">
      <c r="A508" s="4">
        <v>507</v>
      </c>
      <c r="B508" s="10">
        <v>0.1</v>
      </c>
    </row>
    <row r="509" spans="1:2" x14ac:dyDescent="0.25">
      <c r="A509" s="4">
        <v>508</v>
      </c>
      <c r="B509" s="10">
        <v>0.1</v>
      </c>
    </row>
    <row r="510" spans="1:2" x14ac:dyDescent="0.25">
      <c r="A510" s="4">
        <v>509</v>
      </c>
      <c r="B510" s="10">
        <v>0.1</v>
      </c>
    </row>
    <row r="511" spans="1:2" x14ac:dyDescent="0.25">
      <c r="A511" s="4">
        <v>510</v>
      </c>
      <c r="B511" s="10">
        <v>0.1</v>
      </c>
    </row>
    <row r="512" spans="1:2" x14ac:dyDescent="0.25">
      <c r="A512" s="4">
        <v>511</v>
      </c>
      <c r="B512" s="10">
        <v>0.1</v>
      </c>
    </row>
    <row r="513" spans="1:2" x14ac:dyDescent="0.25">
      <c r="A513" s="4">
        <v>512</v>
      </c>
      <c r="B513" s="10">
        <v>0.1</v>
      </c>
    </row>
    <row r="514" spans="1:2" x14ac:dyDescent="0.25">
      <c r="A514" s="4">
        <v>513</v>
      </c>
      <c r="B514" s="10">
        <v>0.1</v>
      </c>
    </row>
    <row r="515" spans="1:2" x14ac:dyDescent="0.25">
      <c r="A515" s="4">
        <v>514</v>
      </c>
      <c r="B515" s="10">
        <v>0.1</v>
      </c>
    </row>
    <row r="516" spans="1:2" x14ac:dyDescent="0.25">
      <c r="A516" s="4">
        <v>515</v>
      </c>
      <c r="B516" s="10">
        <v>0.1</v>
      </c>
    </row>
    <row r="517" spans="1:2" x14ac:dyDescent="0.25">
      <c r="A517" s="4">
        <v>516</v>
      </c>
      <c r="B517" s="10">
        <v>0.1</v>
      </c>
    </row>
    <row r="518" spans="1:2" x14ac:dyDescent="0.25">
      <c r="A518" s="4">
        <v>517</v>
      </c>
      <c r="B518" s="10">
        <v>0.1</v>
      </c>
    </row>
    <row r="519" spans="1:2" x14ac:dyDescent="0.25">
      <c r="A519" s="4">
        <v>518</v>
      </c>
      <c r="B519" s="10">
        <v>0.1</v>
      </c>
    </row>
    <row r="520" spans="1:2" x14ac:dyDescent="0.25">
      <c r="A520" s="4">
        <v>519</v>
      </c>
      <c r="B520" s="10">
        <v>0.1</v>
      </c>
    </row>
    <row r="521" spans="1:2" x14ac:dyDescent="0.25">
      <c r="A521" s="4">
        <v>520</v>
      </c>
      <c r="B521" s="10">
        <v>0.1</v>
      </c>
    </row>
    <row r="522" spans="1:2" x14ac:dyDescent="0.25">
      <c r="A522" s="4">
        <v>521</v>
      </c>
      <c r="B522" s="10">
        <v>0.1</v>
      </c>
    </row>
    <row r="523" spans="1:2" x14ac:dyDescent="0.25">
      <c r="A523" s="4">
        <v>522</v>
      </c>
      <c r="B523" s="10">
        <v>0.1</v>
      </c>
    </row>
    <row r="524" spans="1:2" x14ac:dyDescent="0.25">
      <c r="A524" s="4">
        <v>523</v>
      </c>
      <c r="B524" s="10">
        <v>0.1</v>
      </c>
    </row>
    <row r="525" spans="1:2" x14ac:dyDescent="0.25">
      <c r="A525" s="4">
        <v>524</v>
      </c>
      <c r="B525" s="10">
        <v>0.1</v>
      </c>
    </row>
    <row r="526" spans="1:2" x14ac:dyDescent="0.25">
      <c r="A526" s="4">
        <v>525</v>
      </c>
      <c r="B526" s="10">
        <v>0.1</v>
      </c>
    </row>
    <row r="527" spans="1:2" x14ac:dyDescent="0.25">
      <c r="A527" s="4">
        <v>526</v>
      </c>
      <c r="B527" s="10">
        <v>0.1</v>
      </c>
    </row>
    <row r="528" spans="1:2" x14ac:dyDescent="0.25">
      <c r="A528" s="4">
        <v>527</v>
      </c>
      <c r="B528" s="10">
        <v>0.1</v>
      </c>
    </row>
    <row r="529" spans="1:2" x14ac:dyDescent="0.25">
      <c r="A529" s="4">
        <v>528</v>
      </c>
      <c r="B529" s="10">
        <v>0.1</v>
      </c>
    </row>
    <row r="530" spans="1:2" x14ac:dyDescent="0.25">
      <c r="A530" s="4">
        <v>529</v>
      </c>
      <c r="B530" s="10">
        <v>0.1</v>
      </c>
    </row>
    <row r="531" spans="1:2" x14ac:dyDescent="0.25">
      <c r="A531" s="4">
        <v>530</v>
      </c>
      <c r="B531" s="10">
        <v>0.1</v>
      </c>
    </row>
    <row r="532" spans="1:2" x14ac:dyDescent="0.25">
      <c r="A532" s="4">
        <v>531</v>
      </c>
      <c r="B532" s="10">
        <v>0.1</v>
      </c>
    </row>
    <row r="533" spans="1:2" x14ac:dyDescent="0.25">
      <c r="A533" s="4">
        <v>532</v>
      </c>
      <c r="B533" s="10">
        <v>0.1</v>
      </c>
    </row>
    <row r="534" spans="1:2" x14ac:dyDescent="0.25">
      <c r="A534" s="4">
        <v>533</v>
      </c>
      <c r="B534" s="10">
        <v>0.1</v>
      </c>
    </row>
    <row r="535" spans="1:2" x14ac:dyDescent="0.25">
      <c r="A535" s="4">
        <v>534</v>
      </c>
      <c r="B535" s="10">
        <v>0.1</v>
      </c>
    </row>
    <row r="536" spans="1:2" x14ac:dyDescent="0.25">
      <c r="A536" s="4">
        <v>535</v>
      </c>
      <c r="B536" s="10">
        <v>0.1</v>
      </c>
    </row>
    <row r="537" spans="1:2" x14ac:dyDescent="0.25">
      <c r="A537" s="4">
        <v>536</v>
      </c>
      <c r="B537" s="10">
        <v>0.1</v>
      </c>
    </row>
    <row r="538" spans="1:2" x14ac:dyDescent="0.25">
      <c r="A538" s="4">
        <v>537</v>
      </c>
      <c r="B538" s="10">
        <v>0.1</v>
      </c>
    </row>
    <row r="539" spans="1:2" x14ac:dyDescent="0.25">
      <c r="A539" s="4">
        <v>538</v>
      </c>
      <c r="B539" s="10">
        <v>0.1</v>
      </c>
    </row>
    <row r="540" spans="1:2" x14ac:dyDescent="0.25">
      <c r="A540" s="4">
        <v>539</v>
      </c>
      <c r="B540" s="10">
        <v>0.1</v>
      </c>
    </row>
    <row r="541" spans="1:2" x14ac:dyDescent="0.25">
      <c r="A541" s="4">
        <v>540</v>
      </c>
      <c r="B541" s="10">
        <v>0.1</v>
      </c>
    </row>
    <row r="542" spans="1:2" x14ac:dyDescent="0.25">
      <c r="A542" s="4">
        <v>541</v>
      </c>
      <c r="B542" s="10">
        <v>0.1</v>
      </c>
    </row>
    <row r="543" spans="1:2" x14ac:dyDescent="0.25">
      <c r="A543" s="4">
        <v>542</v>
      </c>
      <c r="B543" s="10">
        <v>0.1</v>
      </c>
    </row>
    <row r="544" spans="1:2" x14ac:dyDescent="0.25">
      <c r="A544" s="4">
        <v>543</v>
      </c>
      <c r="B544" s="10">
        <v>0.1</v>
      </c>
    </row>
    <row r="545" spans="1:2" x14ac:dyDescent="0.25">
      <c r="A545" s="4">
        <v>544</v>
      </c>
      <c r="B545" s="10">
        <v>0.1</v>
      </c>
    </row>
    <row r="546" spans="1:2" x14ac:dyDescent="0.25">
      <c r="A546" s="4">
        <v>545</v>
      </c>
      <c r="B546" s="10">
        <v>0.1</v>
      </c>
    </row>
    <row r="547" spans="1:2" x14ac:dyDescent="0.25">
      <c r="A547" s="4">
        <v>546</v>
      </c>
      <c r="B547" s="10">
        <v>0.1</v>
      </c>
    </row>
    <row r="548" spans="1:2" x14ac:dyDescent="0.25">
      <c r="A548" s="4">
        <v>547</v>
      </c>
      <c r="B548" s="10">
        <v>0.1</v>
      </c>
    </row>
    <row r="549" spans="1:2" x14ac:dyDescent="0.25">
      <c r="A549" s="4">
        <v>548</v>
      </c>
      <c r="B549" s="10">
        <v>0.1</v>
      </c>
    </row>
    <row r="550" spans="1:2" x14ac:dyDescent="0.25">
      <c r="A550" s="4">
        <v>549</v>
      </c>
      <c r="B550" s="10">
        <v>0.1</v>
      </c>
    </row>
    <row r="551" spans="1:2" x14ac:dyDescent="0.25">
      <c r="A551" s="4">
        <v>550</v>
      </c>
      <c r="B551" s="10">
        <v>0.1</v>
      </c>
    </row>
    <row r="552" spans="1:2" x14ac:dyDescent="0.25">
      <c r="A552" s="4">
        <v>551</v>
      </c>
      <c r="B552" s="10">
        <v>0.1</v>
      </c>
    </row>
    <row r="553" spans="1:2" x14ac:dyDescent="0.25">
      <c r="A553" s="4">
        <v>552</v>
      </c>
      <c r="B553" s="10">
        <v>0.1</v>
      </c>
    </row>
    <row r="554" spans="1:2" x14ac:dyDescent="0.25">
      <c r="A554" s="4">
        <v>553</v>
      </c>
      <c r="B554" s="10">
        <v>0.1</v>
      </c>
    </row>
    <row r="555" spans="1:2" x14ac:dyDescent="0.25">
      <c r="A555" s="4">
        <v>554</v>
      </c>
      <c r="B555" s="10">
        <v>0.1</v>
      </c>
    </row>
    <row r="556" spans="1:2" x14ac:dyDescent="0.25">
      <c r="A556" s="4">
        <v>555</v>
      </c>
      <c r="B556" s="10">
        <v>0.1</v>
      </c>
    </row>
    <row r="557" spans="1:2" x14ac:dyDescent="0.25">
      <c r="A557" s="4">
        <v>556</v>
      </c>
      <c r="B557" s="10">
        <v>0.1</v>
      </c>
    </row>
    <row r="558" spans="1:2" x14ac:dyDescent="0.25">
      <c r="A558" s="4">
        <v>557</v>
      </c>
      <c r="B558" s="10">
        <v>0.1</v>
      </c>
    </row>
    <row r="559" spans="1:2" x14ac:dyDescent="0.25">
      <c r="A559" s="4">
        <v>558</v>
      </c>
      <c r="B559" s="10">
        <v>0.1</v>
      </c>
    </row>
    <row r="560" spans="1:2" x14ac:dyDescent="0.25">
      <c r="A560" s="4">
        <v>559</v>
      </c>
      <c r="B560" s="10">
        <v>0.1</v>
      </c>
    </row>
    <row r="561" spans="1:2" x14ac:dyDescent="0.25">
      <c r="A561" s="4">
        <v>560</v>
      </c>
      <c r="B561" s="10">
        <v>0.1</v>
      </c>
    </row>
    <row r="562" spans="1:2" x14ac:dyDescent="0.25">
      <c r="A562" s="4">
        <v>561</v>
      </c>
      <c r="B562" s="10">
        <v>0.1</v>
      </c>
    </row>
    <row r="563" spans="1:2" x14ac:dyDescent="0.25">
      <c r="A563" s="4">
        <v>562</v>
      </c>
      <c r="B563" s="10">
        <v>0.1</v>
      </c>
    </row>
    <row r="564" spans="1:2" x14ac:dyDescent="0.25">
      <c r="A564" s="4">
        <v>563</v>
      </c>
      <c r="B564" s="10">
        <v>0.1</v>
      </c>
    </row>
    <row r="565" spans="1:2" x14ac:dyDescent="0.25">
      <c r="A565" s="4">
        <v>564</v>
      </c>
      <c r="B565" s="10">
        <v>0.1</v>
      </c>
    </row>
    <row r="566" spans="1:2" x14ac:dyDescent="0.25">
      <c r="A566" s="4">
        <v>565</v>
      </c>
      <c r="B566" s="10">
        <v>0.1</v>
      </c>
    </row>
    <row r="567" spans="1:2" x14ac:dyDescent="0.25">
      <c r="A567" s="4">
        <v>566</v>
      </c>
      <c r="B567" s="10">
        <v>0.1</v>
      </c>
    </row>
    <row r="568" spans="1:2" x14ac:dyDescent="0.25">
      <c r="A568" s="4">
        <v>567</v>
      </c>
      <c r="B568" s="10">
        <v>0.1</v>
      </c>
    </row>
    <row r="569" spans="1:2" x14ac:dyDescent="0.25">
      <c r="A569" s="4">
        <v>568</v>
      </c>
      <c r="B569" s="10">
        <v>0.1</v>
      </c>
    </row>
    <row r="570" spans="1:2" x14ac:dyDescent="0.25">
      <c r="A570" s="4">
        <v>569</v>
      </c>
      <c r="B570" s="10">
        <v>0.1</v>
      </c>
    </row>
    <row r="571" spans="1:2" x14ac:dyDescent="0.25">
      <c r="A571" s="4">
        <v>570</v>
      </c>
      <c r="B571" s="10">
        <v>0.1</v>
      </c>
    </row>
    <row r="572" spans="1:2" x14ac:dyDescent="0.25">
      <c r="A572" s="4">
        <v>571</v>
      </c>
      <c r="B572" s="10">
        <v>0.1</v>
      </c>
    </row>
    <row r="573" spans="1:2" x14ac:dyDescent="0.25">
      <c r="A573" s="4">
        <v>572</v>
      </c>
      <c r="B573" s="10">
        <v>0.1</v>
      </c>
    </row>
    <row r="574" spans="1:2" x14ac:dyDescent="0.25">
      <c r="A574" s="4">
        <v>573</v>
      </c>
      <c r="B574" s="10">
        <v>0.1</v>
      </c>
    </row>
    <row r="575" spans="1:2" x14ac:dyDescent="0.25">
      <c r="A575" s="4">
        <v>574</v>
      </c>
      <c r="B575" s="10">
        <v>0.1</v>
      </c>
    </row>
    <row r="576" spans="1:2" x14ac:dyDescent="0.25">
      <c r="A576" s="4">
        <v>575</v>
      </c>
      <c r="B576" s="10">
        <v>0.1</v>
      </c>
    </row>
    <row r="577" spans="1:2" x14ac:dyDescent="0.25">
      <c r="A577" s="4">
        <v>576</v>
      </c>
      <c r="B577" s="10">
        <v>0.1</v>
      </c>
    </row>
    <row r="578" spans="1:2" x14ac:dyDescent="0.25">
      <c r="A578" s="4">
        <v>577</v>
      </c>
      <c r="B578" s="10">
        <v>0.1</v>
      </c>
    </row>
    <row r="579" spans="1:2" x14ac:dyDescent="0.25">
      <c r="A579" s="4">
        <v>578</v>
      </c>
      <c r="B579" s="10">
        <v>0.1</v>
      </c>
    </row>
    <row r="580" spans="1:2" x14ac:dyDescent="0.25">
      <c r="A580" s="4">
        <v>579</v>
      </c>
      <c r="B580" s="10">
        <v>0.1</v>
      </c>
    </row>
    <row r="581" spans="1:2" x14ac:dyDescent="0.25">
      <c r="A581" s="4">
        <v>580</v>
      </c>
      <c r="B581" s="10">
        <v>0.1</v>
      </c>
    </row>
    <row r="582" spans="1:2" x14ac:dyDescent="0.25">
      <c r="A582" s="4">
        <v>581</v>
      </c>
      <c r="B582" s="10">
        <v>0.1</v>
      </c>
    </row>
    <row r="583" spans="1:2" x14ac:dyDescent="0.25">
      <c r="A583" s="4">
        <v>582</v>
      </c>
      <c r="B583" s="10">
        <v>0.1</v>
      </c>
    </row>
    <row r="584" spans="1:2" x14ac:dyDescent="0.25">
      <c r="A584" s="4">
        <v>583</v>
      </c>
      <c r="B584" s="10">
        <v>0.1</v>
      </c>
    </row>
    <row r="585" spans="1:2" x14ac:dyDescent="0.25">
      <c r="A585" s="4">
        <v>584</v>
      </c>
      <c r="B585" s="10">
        <v>0.1</v>
      </c>
    </row>
    <row r="586" spans="1:2" x14ac:dyDescent="0.25">
      <c r="A586" s="4">
        <v>585</v>
      </c>
      <c r="B586" s="10">
        <v>0.1</v>
      </c>
    </row>
    <row r="587" spans="1:2" x14ac:dyDescent="0.25">
      <c r="A587" s="4">
        <v>586</v>
      </c>
      <c r="B587" s="10">
        <v>0.1</v>
      </c>
    </row>
    <row r="588" spans="1:2" x14ac:dyDescent="0.25">
      <c r="A588" s="4">
        <v>587</v>
      </c>
      <c r="B588" s="10">
        <v>0.1</v>
      </c>
    </row>
    <row r="589" spans="1:2" x14ac:dyDescent="0.25">
      <c r="A589" s="4">
        <v>588</v>
      </c>
      <c r="B589" s="10">
        <v>0.1</v>
      </c>
    </row>
    <row r="590" spans="1:2" x14ac:dyDescent="0.25">
      <c r="A590" s="4">
        <v>589</v>
      </c>
      <c r="B590" s="10">
        <v>0.1</v>
      </c>
    </row>
    <row r="591" spans="1:2" x14ac:dyDescent="0.25">
      <c r="A591" s="4">
        <v>590</v>
      </c>
      <c r="B591" s="10">
        <v>0.1</v>
      </c>
    </row>
    <row r="592" spans="1:2" x14ac:dyDescent="0.25">
      <c r="A592" s="4">
        <v>591</v>
      </c>
      <c r="B592" s="10">
        <v>0.1</v>
      </c>
    </row>
    <row r="593" spans="1:2" x14ac:dyDescent="0.25">
      <c r="A593" s="4">
        <v>592</v>
      </c>
      <c r="B593" s="10">
        <v>0.1</v>
      </c>
    </row>
    <row r="594" spans="1:2" x14ac:dyDescent="0.25">
      <c r="A594" s="4">
        <v>593</v>
      </c>
      <c r="B594" s="10">
        <v>0.1</v>
      </c>
    </row>
    <row r="595" spans="1:2" x14ac:dyDescent="0.25">
      <c r="A595" s="4">
        <v>594</v>
      </c>
      <c r="B595" s="10">
        <v>0.1</v>
      </c>
    </row>
    <row r="596" spans="1:2" x14ac:dyDescent="0.25">
      <c r="A596" s="4">
        <v>595</v>
      </c>
      <c r="B596" s="10">
        <v>0.1</v>
      </c>
    </row>
    <row r="597" spans="1:2" x14ac:dyDescent="0.25">
      <c r="A597" s="4">
        <v>596</v>
      </c>
      <c r="B597" s="10">
        <v>0.1</v>
      </c>
    </row>
    <row r="598" spans="1:2" x14ac:dyDescent="0.25">
      <c r="A598" s="4">
        <v>597</v>
      </c>
      <c r="B598" s="10">
        <v>0.1</v>
      </c>
    </row>
    <row r="599" spans="1:2" x14ac:dyDescent="0.25">
      <c r="A599" s="4">
        <v>598</v>
      </c>
      <c r="B599" s="10">
        <v>0.1</v>
      </c>
    </row>
    <row r="600" spans="1:2" x14ac:dyDescent="0.25">
      <c r="A600" s="4">
        <v>599</v>
      </c>
      <c r="B600" s="10">
        <v>0.1</v>
      </c>
    </row>
    <row r="601" spans="1:2" x14ac:dyDescent="0.25">
      <c r="A601" s="4">
        <v>600</v>
      </c>
      <c r="B601" s="10">
        <v>0.1</v>
      </c>
    </row>
    <row r="602" spans="1:2" x14ac:dyDescent="0.25">
      <c r="A602" s="4">
        <v>601</v>
      </c>
      <c r="B602" s="10">
        <v>0.1</v>
      </c>
    </row>
    <row r="603" spans="1:2" x14ac:dyDescent="0.25">
      <c r="A603" s="4">
        <v>602</v>
      </c>
      <c r="B603" s="10">
        <v>0.1</v>
      </c>
    </row>
    <row r="604" spans="1:2" x14ac:dyDescent="0.25">
      <c r="A604" s="4">
        <v>603</v>
      </c>
      <c r="B604" s="10">
        <v>0.1</v>
      </c>
    </row>
    <row r="605" spans="1:2" x14ac:dyDescent="0.25">
      <c r="A605" s="4">
        <v>604</v>
      </c>
      <c r="B605" s="10">
        <v>0.1</v>
      </c>
    </row>
    <row r="606" spans="1:2" x14ac:dyDescent="0.25">
      <c r="A606" s="4">
        <v>605</v>
      </c>
      <c r="B606" s="10">
        <v>0.1</v>
      </c>
    </row>
    <row r="607" spans="1:2" x14ac:dyDescent="0.25">
      <c r="A607" s="4">
        <v>606</v>
      </c>
      <c r="B607" s="10">
        <v>0.1</v>
      </c>
    </row>
    <row r="608" spans="1:2" x14ac:dyDescent="0.25">
      <c r="A608" s="4">
        <v>607</v>
      </c>
      <c r="B608" s="10">
        <v>0.1</v>
      </c>
    </row>
    <row r="609" spans="1:2" x14ac:dyDescent="0.25">
      <c r="A609" s="4">
        <v>608</v>
      </c>
      <c r="B609" s="10">
        <v>0.1</v>
      </c>
    </row>
    <row r="610" spans="1:2" x14ac:dyDescent="0.25">
      <c r="A610" s="4">
        <v>609</v>
      </c>
      <c r="B610" s="10">
        <v>0.1</v>
      </c>
    </row>
    <row r="611" spans="1:2" x14ac:dyDescent="0.25">
      <c r="A611" s="4">
        <v>610</v>
      </c>
      <c r="B611" s="10">
        <v>0.1</v>
      </c>
    </row>
    <row r="612" spans="1:2" x14ac:dyDescent="0.25">
      <c r="A612" s="4">
        <v>611</v>
      </c>
      <c r="B612" s="10">
        <v>0.1</v>
      </c>
    </row>
    <row r="613" spans="1:2" x14ac:dyDescent="0.25">
      <c r="A613" s="4">
        <v>612</v>
      </c>
      <c r="B613" s="10">
        <v>0.1</v>
      </c>
    </row>
    <row r="614" spans="1:2" x14ac:dyDescent="0.25">
      <c r="A614" s="4">
        <v>613</v>
      </c>
      <c r="B614" s="10">
        <v>0.1</v>
      </c>
    </row>
    <row r="615" spans="1:2" x14ac:dyDescent="0.25">
      <c r="A615" s="4">
        <v>614</v>
      </c>
      <c r="B615" s="10">
        <v>0.1</v>
      </c>
    </row>
    <row r="616" spans="1:2" x14ac:dyDescent="0.25">
      <c r="A616" s="4">
        <v>615</v>
      </c>
      <c r="B616" s="10">
        <v>0.1</v>
      </c>
    </row>
    <row r="617" spans="1:2" x14ac:dyDescent="0.25">
      <c r="A617" s="4">
        <v>616</v>
      </c>
      <c r="B617" s="10">
        <v>0.1</v>
      </c>
    </row>
    <row r="618" spans="1:2" x14ac:dyDescent="0.25">
      <c r="A618" s="4">
        <v>617</v>
      </c>
      <c r="B618" s="10">
        <v>0.1</v>
      </c>
    </row>
    <row r="619" spans="1:2" x14ac:dyDescent="0.25">
      <c r="A619" s="4">
        <v>618</v>
      </c>
      <c r="B619" s="10">
        <v>0.1</v>
      </c>
    </row>
    <row r="620" spans="1:2" x14ac:dyDescent="0.25">
      <c r="A620" s="4">
        <v>619</v>
      </c>
      <c r="B620" s="10">
        <v>0.1</v>
      </c>
    </row>
    <row r="621" spans="1:2" x14ac:dyDescent="0.25">
      <c r="A621" s="4">
        <v>620</v>
      </c>
      <c r="B621" s="10">
        <v>0.1</v>
      </c>
    </row>
    <row r="622" spans="1:2" x14ac:dyDescent="0.25">
      <c r="A622" s="4">
        <v>621</v>
      </c>
      <c r="B622" s="10">
        <v>0.1</v>
      </c>
    </row>
    <row r="623" spans="1:2" x14ac:dyDescent="0.25">
      <c r="A623" s="4">
        <v>622</v>
      </c>
      <c r="B623" s="10">
        <v>0.1</v>
      </c>
    </row>
    <row r="624" spans="1:2" x14ac:dyDescent="0.25">
      <c r="A624" s="4">
        <v>623</v>
      </c>
      <c r="B624" s="10">
        <v>0.1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58A3-3D9A-4A32-AB0E-EF233ADA65EB}">
  <sheetPr codeName="Sheet4"/>
  <dimension ref="A1:E5"/>
  <sheetViews>
    <sheetView showGridLines="0" tabSelected="1" workbookViewId="0">
      <selection activeCell="C4" sqref="C4"/>
    </sheetView>
  </sheetViews>
  <sheetFormatPr defaultRowHeight="14.3" x14ac:dyDescent="0.25"/>
  <cols>
    <col min="1" max="1" width="11.75" bestFit="1" customWidth="1"/>
    <col min="3" max="3" width="16" bestFit="1" customWidth="1"/>
    <col min="4" max="4" width="12.625" bestFit="1" customWidth="1"/>
    <col min="5" max="5" width="24.375" bestFit="1" customWidth="1"/>
  </cols>
  <sheetData>
    <row r="1" spans="1:5" x14ac:dyDescent="0.25">
      <c r="A1" s="3" t="s">
        <v>36</v>
      </c>
      <c r="B1" s="3" t="s">
        <v>11</v>
      </c>
      <c r="C1" s="3" t="s">
        <v>33</v>
      </c>
      <c r="D1" s="3" t="s">
        <v>34</v>
      </c>
      <c r="E1" s="3" t="s">
        <v>35</v>
      </c>
    </row>
    <row r="2" spans="1:5" x14ac:dyDescent="0.25">
      <c r="A2" s="4">
        <v>1</v>
      </c>
      <c r="B2" s="4">
        <v>35</v>
      </c>
      <c r="C2" s="4">
        <f>300*12</f>
        <v>3600</v>
      </c>
      <c r="D2" s="9">
        <v>1000000</v>
      </c>
      <c r="E2" s="4">
        <v>5</v>
      </c>
    </row>
    <row r="3" spans="1:5" x14ac:dyDescent="0.25">
      <c r="A3" s="4">
        <v>2</v>
      </c>
      <c r="B3" s="4">
        <v>50</v>
      </c>
      <c r="C3" s="4">
        <v>5000</v>
      </c>
      <c r="D3" s="9">
        <v>1000000</v>
      </c>
      <c r="E3" s="4">
        <v>10</v>
      </c>
    </row>
    <row r="4" spans="1:5" x14ac:dyDescent="0.25">
      <c r="A4" s="4">
        <v>3</v>
      </c>
      <c r="B4" s="4">
        <v>60</v>
      </c>
      <c r="C4" s="4">
        <v>6000</v>
      </c>
      <c r="D4" s="9">
        <v>1000000</v>
      </c>
      <c r="E4" s="4">
        <v>25</v>
      </c>
    </row>
    <row r="5" spans="1:5" x14ac:dyDescent="0.25">
      <c r="A5" s="4">
        <v>4</v>
      </c>
      <c r="B5" s="4">
        <v>45</v>
      </c>
      <c r="C5" s="4">
        <v>400</v>
      </c>
      <c r="D5" s="9">
        <v>1000000</v>
      </c>
      <c r="E5" s="4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148"/>
  <sheetViews>
    <sheetView showGridLines="0" workbookViewId="0">
      <selection activeCell="G5" sqref="G5"/>
    </sheetView>
  </sheetViews>
  <sheetFormatPr defaultRowHeight="14.3" x14ac:dyDescent="0.25"/>
  <cols>
    <col min="1" max="1" width="19" bestFit="1" customWidth="1"/>
    <col min="2" max="2" width="12.625" bestFit="1" customWidth="1"/>
    <col min="3" max="3" width="14.625" bestFit="1" customWidth="1"/>
    <col min="4" max="4" width="8" bestFit="1" customWidth="1"/>
    <col min="5" max="5" width="17.375" bestFit="1" customWidth="1"/>
    <col min="6" max="6" width="29" bestFit="1" customWidth="1"/>
    <col min="7" max="7" width="10.75" bestFit="1" customWidth="1"/>
    <col min="8" max="8" width="14.375" bestFit="1" customWidth="1"/>
    <col min="9" max="9" width="16.25" bestFit="1" customWidth="1"/>
    <col min="10" max="10" width="12.75" bestFit="1" customWidth="1"/>
    <col min="11" max="11" width="9.75" bestFit="1" customWidth="1"/>
    <col min="12" max="12" width="11" bestFit="1" customWidth="1"/>
    <col min="13" max="13" width="22.125" bestFit="1" customWidth="1"/>
  </cols>
  <sheetData>
    <row r="1" spans="1:13" x14ac:dyDescent="0.25">
      <c r="A1" s="4" t="s">
        <v>21</v>
      </c>
      <c r="B1" s="4">
        <f>MAX('Policy Data'!A2:A1048576)</f>
        <v>4</v>
      </c>
    </row>
    <row r="2" spans="1:13" x14ac:dyDescent="0.25">
      <c r="A2" s="4" t="s">
        <v>19</v>
      </c>
      <c r="B2" s="4">
        <v>4</v>
      </c>
    </row>
    <row r="3" spans="1:13" x14ac:dyDescent="0.25">
      <c r="A3" s="4" t="s">
        <v>11</v>
      </c>
      <c r="B3" s="4">
        <f>VLOOKUP($B$2,'Policy Data'!$A$2:$E$5,2,FALSE)</f>
        <v>45</v>
      </c>
    </row>
    <row r="4" spans="1:13" x14ac:dyDescent="0.25">
      <c r="A4" s="4" t="s">
        <v>15</v>
      </c>
      <c r="B4" s="4">
        <f>VLOOKUP($B$2,'Policy Data'!$A$2:$E$5,5,FALSE)</f>
        <v>15</v>
      </c>
    </row>
    <row r="5" spans="1:13" x14ac:dyDescent="0.25">
      <c r="A5" s="4" t="s">
        <v>13</v>
      </c>
      <c r="B5" s="9">
        <f>VLOOKUP($B$2,'Policy Data'!$A$2:$E$5,3,FALSE)</f>
        <v>400</v>
      </c>
    </row>
    <row r="6" spans="1:13" x14ac:dyDescent="0.25">
      <c r="A6" s="4" t="s">
        <v>14</v>
      </c>
      <c r="B6" s="9">
        <f>VLOOKUP($B$2,'Policy Data'!$A$2:$E$5,4,FALSE)</f>
        <v>1000000</v>
      </c>
    </row>
    <row r="7" spans="1:13" x14ac:dyDescent="0.25">
      <c r="B7" s="1"/>
    </row>
    <row r="8" spans="1:13" x14ac:dyDescent="0.25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16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10</v>
      </c>
      <c r="M8" s="3" t="s">
        <v>17</v>
      </c>
    </row>
    <row r="9" spans="1:13" x14ac:dyDescent="0.25">
      <c r="A9" s="4">
        <v>1</v>
      </c>
      <c r="B9" s="4">
        <f>INT($B$3+A9/12)</f>
        <v>45</v>
      </c>
      <c r="C9" s="4">
        <f>$B$4+A9</f>
        <v>16</v>
      </c>
      <c r="D9" s="4">
        <f>VLOOKUP(B9,'Mortality Table'!$A$2:$B$118,2,FALSE)</f>
        <v>4.8399999999999997E-3</v>
      </c>
      <c r="E9" s="4">
        <f>IF(INT((C9-1)/12)+1&gt;'Lapse Table'!$A$11,0,VLOOKUP(INT((C9-1)/12)+1,'Lapse Table'!$A$2:$B$11,2,FALSE))/12</f>
        <v>7.4999999999999997E-3</v>
      </c>
      <c r="F9" s="5">
        <f>1-G9-H9</f>
        <v>0.9921163291666667</v>
      </c>
      <c r="G9" s="6">
        <f>D9/12*(1-0.5*E9)</f>
        <v>4.0182083333333327E-4</v>
      </c>
      <c r="H9" s="6">
        <f>E9*(1-0.5*D9)</f>
        <v>7.48185E-3</v>
      </c>
      <c r="I9" s="7">
        <f>F9*$B$5/12</f>
        <v>33.070544305555558</v>
      </c>
      <c r="J9" s="8">
        <f>$B$6*G9</f>
        <v>401.82083333333327</v>
      </c>
      <c r="K9" s="7">
        <f>I9-J9</f>
        <v>-368.75028902777774</v>
      </c>
      <c r="L9" s="4">
        <f>(1+VLOOKUP(A9,'Yield Curve'!A2:B624,2,FALSE))^(1/12)-1</f>
        <v>7.9741404289037643E-3</v>
      </c>
      <c r="M9" s="5">
        <f>K9*(1+L9)^-A9</f>
        <v>-365.83308463734056</v>
      </c>
    </row>
    <row r="10" spans="1:13" x14ac:dyDescent="0.25">
      <c r="A10" s="4">
        <v>2</v>
      </c>
      <c r="B10" s="4">
        <f t="shared" ref="B10:B73" si="0">INT($B$3+A10/12)</f>
        <v>45</v>
      </c>
      <c r="C10" s="4">
        <f t="shared" ref="C10:C73" si="1">$B$4+A10</f>
        <v>17</v>
      </c>
      <c r="D10" s="4">
        <f>IF(B10&gt;'Mortality Table'!$A$118,D9,VLOOKUP(B10,'Mortality Table'!$A$2:$B$118,2,FALSE))</f>
        <v>4.8399999999999997E-3</v>
      </c>
      <c r="E10" s="4">
        <f>IF(INT((C10-1)/12)+1&gt;'Lapse Table'!$A$11,E9,VLOOKUP(INT((C10-1)/12)+1,'Lapse Table'!$A$2:$B$11,2,FALSE))/12</f>
        <v>7.4999999999999997E-3</v>
      </c>
      <c r="F10" s="5">
        <f>F9-G10-H10</f>
        <v>0.9842326583333334</v>
      </c>
      <c r="G10" s="6">
        <f t="shared" ref="G10:G73" si="2">D10/12*(1-0.5*E10)</f>
        <v>4.0182083333333327E-4</v>
      </c>
      <c r="H10" s="6">
        <f t="shared" ref="H10:H73" si="3">E10*(1-0.5*D10)</f>
        <v>7.48185E-3</v>
      </c>
      <c r="I10" s="7">
        <f t="shared" ref="I10:I73" si="4">F10*$B$5/12</f>
        <v>32.80775527777778</v>
      </c>
      <c r="J10" s="8">
        <f t="shared" ref="J10:J73" si="5">$B$6*G10</f>
        <v>401.82083333333327</v>
      </c>
      <c r="K10" s="7">
        <f t="shared" ref="K10:K73" si="6">I10-J10</f>
        <v>-369.01307805555547</v>
      </c>
      <c r="L10" s="4">
        <f>IF(A10&gt;'Yield Curve'!A624,L9,(1+VLOOKUP(A10,'Yield Curve'!A3:B625,2,FALSE))^(1/12)-1)</f>
        <v>7.9741404289037643E-3</v>
      </c>
      <c r="M10" s="5">
        <f t="shared" ref="M10:M73" si="7">K10*(1+L10)^-A10</f>
        <v>-363.19760601247293</v>
      </c>
    </row>
    <row r="11" spans="1:13" x14ac:dyDescent="0.25">
      <c r="A11" s="4">
        <v>3</v>
      </c>
      <c r="B11" s="4">
        <f t="shared" si="0"/>
        <v>45</v>
      </c>
      <c r="C11" s="4">
        <f t="shared" si="1"/>
        <v>18</v>
      </c>
      <c r="D11" s="4">
        <f>IF(B11&gt;'Mortality Table'!$A$118,D10,VLOOKUP(B11,'Mortality Table'!$A$2:$B$118,2,FALSE))</f>
        <v>4.8399999999999997E-3</v>
      </c>
      <c r="E11" s="4">
        <f>IF(INT((C11-1)/12)+1&gt;'Lapse Table'!$A$11,E10,VLOOKUP(INT((C11-1)/12)+1,'Lapse Table'!$A$2:$B$11,2,FALSE))/12</f>
        <v>7.4999999999999997E-3</v>
      </c>
      <c r="F11" s="5">
        <f>F10-G11-H11</f>
        <v>0.9763489875000001</v>
      </c>
      <c r="G11" s="6">
        <f t="shared" si="2"/>
        <v>4.0182083333333327E-4</v>
      </c>
      <c r="H11" s="6">
        <f t="shared" si="3"/>
        <v>7.48185E-3</v>
      </c>
      <c r="I11" s="7">
        <f t="shared" si="4"/>
        <v>32.544966250000002</v>
      </c>
      <c r="J11" s="8">
        <f t="shared" si="5"/>
        <v>401.82083333333327</v>
      </c>
      <c r="K11" s="7">
        <f t="shared" si="6"/>
        <v>-369.27586708333325</v>
      </c>
      <c r="L11" s="4">
        <f>IF(A11&gt;'Yield Curve'!A625,L10,(1+VLOOKUP(A11,'Yield Curve'!A4:B626,2,FALSE))^(1/12)-1)</f>
        <v>7.9741404289037643E-3</v>
      </c>
      <c r="M11" s="5">
        <f t="shared" si="7"/>
        <v>-360.58093063228642</v>
      </c>
    </row>
    <row r="12" spans="1:13" x14ac:dyDescent="0.25">
      <c r="A12" s="4">
        <v>4</v>
      </c>
      <c r="B12" s="4">
        <f t="shared" si="0"/>
        <v>45</v>
      </c>
      <c r="C12" s="4">
        <f t="shared" si="1"/>
        <v>19</v>
      </c>
      <c r="D12" s="4">
        <f>IF(B12&gt;'Mortality Table'!$A$118,D11,VLOOKUP(B12,'Mortality Table'!$A$2:$B$118,2,FALSE))</f>
        <v>4.8399999999999997E-3</v>
      </c>
      <c r="E12" s="4">
        <f>IF(INT((C12-1)/12)+1&gt;'Lapse Table'!$A$11,E11,VLOOKUP(INT((C12-1)/12)+1,'Lapse Table'!$A$2:$B$11,2,FALSE))/12</f>
        <v>7.4999999999999997E-3</v>
      </c>
      <c r="F12" s="5">
        <f t="shared" ref="F12:F74" si="8">F11-G12-H12</f>
        <v>0.9684653166666668</v>
      </c>
      <c r="G12" s="6">
        <f t="shared" si="2"/>
        <v>4.0182083333333327E-4</v>
      </c>
      <c r="H12" s="6">
        <f t="shared" si="3"/>
        <v>7.48185E-3</v>
      </c>
      <c r="I12" s="7">
        <f t="shared" si="4"/>
        <v>32.282177222222224</v>
      </c>
      <c r="J12" s="8">
        <f t="shared" si="5"/>
        <v>401.82083333333327</v>
      </c>
      <c r="K12" s="7">
        <f t="shared" si="6"/>
        <v>-369.53865611111104</v>
      </c>
      <c r="L12" s="4">
        <f>IF(A12&gt;'Yield Curve'!A626,L11,(1+VLOOKUP(A12,'Yield Curve'!A5:B627,2,FALSE))^(1/12)-1)</f>
        <v>7.9741404289037643E-3</v>
      </c>
      <c r="M12" s="5">
        <f t="shared" si="7"/>
        <v>-357.98292593066117</v>
      </c>
    </row>
    <row r="13" spans="1:13" x14ac:dyDescent="0.25">
      <c r="A13" s="4">
        <v>5</v>
      </c>
      <c r="B13" s="4">
        <f t="shared" si="0"/>
        <v>45</v>
      </c>
      <c r="C13" s="4">
        <f t="shared" si="1"/>
        <v>20</v>
      </c>
      <c r="D13" s="4">
        <f>IF(B13&gt;'Mortality Table'!$A$118,D12,VLOOKUP(B13,'Mortality Table'!$A$2:$B$118,2,FALSE))</f>
        <v>4.8399999999999997E-3</v>
      </c>
      <c r="E13" s="4">
        <f>IF(INT((C13-1)/12)+1&gt;'Lapse Table'!$A$11,E12,VLOOKUP(INT((C13-1)/12)+1,'Lapse Table'!$A$2:$B$11,2,FALSE))/12</f>
        <v>7.4999999999999997E-3</v>
      </c>
      <c r="F13" s="5">
        <f t="shared" si="8"/>
        <v>0.9605816458333335</v>
      </c>
      <c r="G13" s="6">
        <f t="shared" si="2"/>
        <v>4.0182083333333327E-4</v>
      </c>
      <c r="H13" s="6">
        <f t="shared" si="3"/>
        <v>7.48185E-3</v>
      </c>
      <c r="I13" s="7">
        <f t="shared" si="4"/>
        <v>32.019388194444453</v>
      </c>
      <c r="J13" s="8">
        <f t="shared" si="5"/>
        <v>401.82083333333327</v>
      </c>
      <c r="K13" s="7">
        <f t="shared" si="6"/>
        <v>-369.80144513888882</v>
      </c>
      <c r="L13" s="4">
        <f>IF(A13&gt;'Yield Curve'!A627,L12,(1+VLOOKUP(A13,'Yield Curve'!A6:B628,2,FALSE))^(1/12)-1)</f>
        <v>7.9741404289037643E-3</v>
      </c>
      <c r="M13" s="5">
        <f t="shared" si="7"/>
        <v>-355.40346026215576</v>
      </c>
    </row>
    <row r="14" spans="1:13" x14ac:dyDescent="0.25">
      <c r="A14" s="4">
        <v>6</v>
      </c>
      <c r="B14" s="4">
        <f t="shared" si="0"/>
        <v>45</v>
      </c>
      <c r="C14" s="4">
        <f t="shared" si="1"/>
        <v>21</v>
      </c>
      <c r="D14" s="4">
        <f>IF(B14&gt;'Mortality Table'!$A$118,D13,VLOOKUP(B14,'Mortality Table'!$A$2:$B$118,2,FALSE))</f>
        <v>4.8399999999999997E-3</v>
      </c>
      <c r="E14" s="4">
        <f>IF(INT((C14-1)/12)+1&gt;'Lapse Table'!$A$11,E13,VLOOKUP(INT((C14-1)/12)+1,'Lapse Table'!$A$2:$B$11,2,FALSE))/12</f>
        <v>7.4999999999999997E-3</v>
      </c>
      <c r="F14" s="5">
        <f t="shared" si="8"/>
        <v>0.9526979750000002</v>
      </c>
      <c r="G14" s="6">
        <f t="shared" si="2"/>
        <v>4.0182083333333327E-4</v>
      </c>
      <c r="H14" s="6">
        <f t="shared" si="3"/>
        <v>7.48185E-3</v>
      </c>
      <c r="I14" s="7">
        <f t="shared" si="4"/>
        <v>31.756599166666675</v>
      </c>
      <c r="J14" s="8">
        <f t="shared" si="5"/>
        <v>401.82083333333327</v>
      </c>
      <c r="K14" s="7">
        <f t="shared" si="6"/>
        <v>-370.06423416666661</v>
      </c>
      <c r="L14" s="4">
        <f>IF(A14&gt;'Yield Curve'!A628,L13,(1+VLOOKUP(A14,'Yield Curve'!A7:B629,2,FALSE))^(1/12)-1)</f>
        <v>7.9741404289037643E-3</v>
      </c>
      <c r="M14" s="5">
        <f t="shared" si="7"/>
        <v>-352.84240289573711</v>
      </c>
    </row>
    <row r="15" spans="1:13" x14ac:dyDescent="0.25">
      <c r="A15" s="4">
        <v>7</v>
      </c>
      <c r="B15" s="4">
        <f t="shared" si="0"/>
        <v>45</v>
      </c>
      <c r="C15" s="4">
        <f t="shared" si="1"/>
        <v>22</v>
      </c>
      <c r="D15" s="4">
        <f>IF(B15&gt;'Mortality Table'!$A$118,D14,VLOOKUP(B15,'Mortality Table'!$A$2:$B$118,2,FALSE))</f>
        <v>4.8399999999999997E-3</v>
      </c>
      <c r="E15" s="4">
        <f>IF(INT((C15-1)/12)+1&gt;'Lapse Table'!$A$11,E14,VLOOKUP(INT((C15-1)/12)+1,'Lapse Table'!$A$2:$B$11,2,FALSE))/12</f>
        <v>7.4999999999999997E-3</v>
      </c>
      <c r="F15" s="5">
        <f t="shared" si="8"/>
        <v>0.9448143041666669</v>
      </c>
      <c r="G15" s="6">
        <f t="shared" si="2"/>
        <v>4.0182083333333327E-4</v>
      </c>
      <c r="H15" s="6">
        <f t="shared" si="3"/>
        <v>7.48185E-3</v>
      </c>
      <c r="I15" s="7">
        <f t="shared" si="4"/>
        <v>31.493810138888893</v>
      </c>
      <c r="J15" s="8">
        <f t="shared" si="5"/>
        <v>401.82083333333327</v>
      </c>
      <c r="K15" s="7">
        <f t="shared" si="6"/>
        <v>-370.32702319444439</v>
      </c>
      <c r="L15" s="4">
        <f>IF(A15&gt;'Yield Curve'!A629,L14,(1+VLOOKUP(A15,'Yield Curve'!A8:B630,2,FALSE))^(1/12)-1)</f>
        <v>7.9741404289037643E-3</v>
      </c>
      <c r="M15" s="5">
        <f t="shared" si="7"/>
        <v>-350.29962400855112</v>
      </c>
    </row>
    <row r="16" spans="1:13" x14ac:dyDescent="0.25">
      <c r="A16" s="4">
        <v>8</v>
      </c>
      <c r="B16" s="4">
        <f t="shared" si="0"/>
        <v>45</v>
      </c>
      <c r="C16" s="4">
        <f t="shared" si="1"/>
        <v>23</v>
      </c>
      <c r="D16" s="4">
        <f>IF(B16&gt;'Mortality Table'!$A$118,D15,VLOOKUP(B16,'Mortality Table'!$A$2:$B$118,2,FALSE))</f>
        <v>4.8399999999999997E-3</v>
      </c>
      <c r="E16" s="4">
        <f>IF(INT((C16-1)/12)+1&gt;'Lapse Table'!$A$11,E15,VLOOKUP(INT((C16-1)/12)+1,'Lapse Table'!$A$2:$B$11,2,FALSE))/12</f>
        <v>7.4999999999999997E-3</v>
      </c>
      <c r="F16" s="5">
        <f t="shared" si="8"/>
        <v>0.9369306333333336</v>
      </c>
      <c r="G16" s="6">
        <f t="shared" si="2"/>
        <v>4.0182083333333327E-4</v>
      </c>
      <c r="H16" s="6">
        <f t="shared" si="3"/>
        <v>7.48185E-3</v>
      </c>
      <c r="I16" s="7">
        <f t="shared" si="4"/>
        <v>31.231021111111119</v>
      </c>
      <c r="J16" s="8">
        <f t="shared" si="5"/>
        <v>401.82083333333327</v>
      </c>
      <c r="K16" s="7">
        <f t="shared" si="6"/>
        <v>-370.58981222222212</v>
      </c>
      <c r="L16" s="4">
        <f>IF(A16&gt;'Yield Curve'!A630,L15,(1+VLOOKUP(A16,'Yield Curve'!A9:B631,2,FALSE))^(1/12)-1)</f>
        <v>7.9741404289037643E-3</v>
      </c>
      <c r="M16" s="5">
        <f t="shared" si="7"/>
        <v>-347.7749946797353</v>
      </c>
    </row>
    <row r="17" spans="1:13" x14ac:dyDescent="0.25">
      <c r="A17" s="4">
        <v>9</v>
      </c>
      <c r="B17" s="4">
        <f t="shared" si="0"/>
        <v>45</v>
      </c>
      <c r="C17" s="4">
        <f t="shared" si="1"/>
        <v>24</v>
      </c>
      <c r="D17" s="4">
        <f>IF(B17&gt;'Mortality Table'!$A$118,D16,VLOOKUP(B17,'Mortality Table'!$A$2:$B$118,2,FALSE))</f>
        <v>4.8399999999999997E-3</v>
      </c>
      <c r="E17" s="4">
        <f>IF(INT((C17-1)/12)+1&gt;'Lapse Table'!$A$11,E16,VLOOKUP(INT((C17-1)/12)+1,'Lapse Table'!$A$2:$B$11,2,FALSE))/12</f>
        <v>7.4999999999999997E-3</v>
      </c>
      <c r="F17" s="5">
        <f t="shared" si="8"/>
        <v>0.9290469625000003</v>
      </c>
      <c r="G17" s="6">
        <f t="shared" si="2"/>
        <v>4.0182083333333327E-4</v>
      </c>
      <c r="H17" s="6">
        <f t="shared" si="3"/>
        <v>7.48185E-3</v>
      </c>
      <c r="I17" s="7">
        <f t="shared" si="4"/>
        <v>30.968232083333344</v>
      </c>
      <c r="J17" s="8">
        <f t="shared" si="5"/>
        <v>401.82083333333327</v>
      </c>
      <c r="K17" s="7">
        <f t="shared" si="6"/>
        <v>-370.85260124999991</v>
      </c>
      <c r="L17" s="4">
        <f>IF(A17&gt;'Yield Curve'!A631,L16,(1+VLOOKUP(A17,'Yield Curve'!A10:B632,2,FALSE))^(1/12)-1)</f>
        <v>7.9741404289037643E-3</v>
      </c>
      <c r="M17" s="5">
        <f t="shared" si="7"/>
        <v>-345.26838688427279</v>
      </c>
    </row>
    <row r="18" spans="1:13" x14ac:dyDescent="0.25">
      <c r="A18" s="4">
        <v>10</v>
      </c>
      <c r="B18" s="4">
        <f t="shared" si="0"/>
        <v>45</v>
      </c>
      <c r="C18" s="4">
        <f t="shared" si="1"/>
        <v>25</v>
      </c>
      <c r="D18" s="4">
        <f>IF(B18&gt;'Mortality Table'!$A$118,D17,VLOOKUP(B18,'Mortality Table'!$A$2:$B$118,2,FALSE))</f>
        <v>4.8399999999999997E-3</v>
      </c>
      <c r="E18" s="4">
        <f>IF(INT((C18-1)/12)+1&gt;'Lapse Table'!$A$11,E17,VLOOKUP(INT((C18-1)/12)+1,'Lapse Table'!$A$2:$B$11,2,FALSE))/12</f>
        <v>6.6666666666666671E-3</v>
      </c>
      <c r="F18" s="5">
        <f t="shared" si="8"/>
        <v>0.9219944402777781</v>
      </c>
      <c r="G18" s="6">
        <f t="shared" si="2"/>
        <v>4.0198888888888886E-4</v>
      </c>
      <c r="H18" s="6">
        <f t="shared" si="3"/>
        <v>6.6505333333333342E-3</v>
      </c>
      <c r="I18" s="7">
        <f t="shared" si="4"/>
        <v>30.733148009259271</v>
      </c>
      <c r="J18" s="8">
        <f t="shared" si="5"/>
        <v>401.98888888888888</v>
      </c>
      <c r="K18" s="7">
        <f t="shared" si="6"/>
        <v>-371.25574087962963</v>
      </c>
      <c r="L18" s="4">
        <f>IF(A18&gt;'Yield Curve'!A632,L17,(1+VLOOKUP(A18,'Yield Curve'!A11:B633,2,FALSE))^(1/12)-1)</f>
        <v>7.9741404289037643E-3</v>
      </c>
      <c r="M18" s="5">
        <f t="shared" si="7"/>
        <v>-342.90930792064103</v>
      </c>
    </row>
    <row r="19" spans="1:13" x14ac:dyDescent="0.25">
      <c r="A19" s="4">
        <v>11</v>
      </c>
      <c r="B19" s="4">
        <f t="shared" si="0"/>
        <v>45</v>
      </c>
      <c r="C19" s="4">
        <f t="shared" si="1"/>
        <v>26</v>
      </c>
      <c r="D19" s="4">
        <f>IF(B19&gt;'Mortality Table'!$A$118,D18,VLOOKUP(B19,'Mortality Table'!$A$2:$B$118,2,FALSE))</f>
        <v>4.8399999999999997E-3</v>
      </c>
      <c r="E19" s="4">
        <f>IF(INT((C19-1)/12)+1&gt;'Lapse Table'!$A$11,E18,VLOOKUP(INT((C19-1)/12)+1,'Lapse Table'!$A$2:$B$11,2,FALSE))/12</f>
        <v>6.6666666666666671E-3</v>
      </c>
      <c r="F19" s="5">
        <f t="shared" si="8"/>
        <v>0.91494191805555591</v>
      </c>
      <c r="G19" s="6">
        <f t="shared" si="2"/>
        <v>4.0198888888888886E-4</v>
      </c>
      <c r="H19" s="6">
        <f t="shared" si="3"/>
        <v>6.6505333333333342E-3</v>
      </c>
      <c r="I19" s="7">
        <f t="shared" si="4"/>
        <v>30.498063935185197</v>
      </c>
      <c r="J19" s="8">
        <f t="shared" si="5"/>
        <v>401.98888888888888</v>
      </c>
      <c r="K19" s="7">
        <f t="shared" si="6"/>
        <v>-371.49082495370368</v>
      </c>
      <c r="L19" s="4">
        <f>IF(A19&gt;'Yield Curve'!A633,L18,(1+VLOOKUP(A19,'Yield Curve'!A12:B634,2,FALSE))^(1/12)-1)</f>
        <v>7.9741404289037643E-3</v>
      </c>
      <c r="M19" s="5">
        <f t="shared" si="7"/>
        <v>-340.41194996357615</v>
      </c>
    </row>
    <row r="20" spans="1:13" x14ac:dyDescent="0.25">
      <c r="A20" s="4">
        <v>12</v>
      </c>
      <c r="B20" s="4">
        <f t="shared" si="0"/>
        <v>46</v>
      </c>
      <c r="C20" s="4">
        <f t="shared" si="1"/>
        <v>27</v>
      </c>
      <c r="D20" s="4">
        <f>IF(B20&gt;'Mortality Table'!$A$118,D19,VLOOKUP(B20,'Mortality Table'!$A$2:$B$118,2,FALSE))</f>
        <v>5.0299999999999997E-3</v>
      </c>
      <c r="E20" s="4">
        <f>IF(INT((C20-1)/12)+1&gt;'Lapse Table'!$A$11,E19,VLOOKUP(INT((C20-1)/12)+1,'Lapse Table'!$A$2:$B$11,2,FALSE))/12</f>
        <v>6.6666666666666671E-3</v>
      </c>
      <c r="F20" s="5">
        <f t="shared" si="8"/>
        <v>0.90787424861111143</v>
      </c>
      <c r="G20" s="6">
        <f t="shared" si="2"/>
        <v>4.1776944444444443E-4</v>
      </c>
      <c r="H20" s="6">
        <f t="shared" si="3"/>
        <v>6.6499000000000003E-3</v>
      </c>
      <c r="I20" s="7">
        <f t="shared" si="4"/>
        <v>30.262474953703716</v>
      </c>
      <c r="J20" s="8">
        <f t="shared" si="5"/>
        <v>417.76944444444445</v>
      </c>
      <c r="K20" s="7">
        <f t="shared" si="6"/>
        <v>-387.50696949074074</v>
      </c>
      <c r="L20" s="4">
        <f>IF(A20&gt;'Yield Curve'!A634,L19,(1+VLOOKUP(A20,'Yield Curve'!A13:B635,2,FALSE))^(1/12)-1)</f>
        <v>7.9741404289037643E-3</v>
      </c>
      <c r="M20" s="5">
        <f t="shared" si="7"/>
        <v>-352.27906317340057</v>
      </c>
    </row>
    <row r="21" spans="1:13" x14ac:dyDescent="0.25">
      <c r="A21" s="4">
        <v>13</v>
      </c>
      <c r="B21" s="4">
        <f t="shared" si="0"/>
        <v>46</v>
      </c>
      <c r="C21" s="4">
        <f t="shared" si="1"/>
        <v>28</v>
      </c>
      <c r="D21" s="4">
        <f>IF(B21&gt;'Mortality Table'!$A$118,D20,VLOOKUP(B21,'Mortality Table'!$A$2:$B$118,2,FALSE))</f>
        <v>5.0299999999999997E-3</v>
      </c>
      <c r="E21" s="4">
        <f>IF(INT((C21-1)/12)+1&gt;'Lapse Table'!$A$11,E20,VLOOKUP(INT((C21-1)/12)+1,'Lapse Table'!$A$2:$B$11,2,FALSE))/12</f>
        <v>6.6666666666666671E-3</v>
      </c>
      <c r="F21" s="5">
        <f t="shared" si="8"/>
        <v>0.90080657916666695</v>
      </c>
      <c r="G21" s="6">
        <f t="shared" si="2"/>
        <v>4.1776944444444443E-4</v>
      </c>
      <c r="H21" s="6">
        <f t="shared" si="3"/>
        <v>6.6499000000000003E-3</v>
      </c>
      <c r="I21" s="7">
        <f t="shared" si="4"/>
        <v>30.026885972222232</v>
      </c>
      <c r="J21" s="8">
        <f t="shared" si="5"/>
        <v>417.76944444444445</v>
      </c>
      <c r="K21" s="7">
        <f t="shared" si="6"/>
        <v>-387.74255847222219</v>
      </c>
      <c r="L21" s="4">
        <f>IF(A21&gt;'Yield Curve'!A635,L20,(1+VLOOKUP(A21,'Yield Curve'!A14:B636,2,FALSE))^(1/12)-1)</f>
        <v>7.9741404289037643E-3</v>
      </c>
      <c r="M21" s="5">
        <f t="shared" si="7"/>
        <v>-349.70464105830899</v>
      </c>
    </row>
    <row r="22" spans="1:13" x14ac:dyDescent="0.25">
      <c r="A22" s="4">
        <v>14</v>
      </c>
      <c r="B22" s="4">
        <f t="shared" si="0"/>
        <v>46</v>
      </c>
      <c r="C22" s="4">
        <f t="shared" si="1"/>
        <v>29</v>
      </c>
      <c r="D22" s="4">
        <f>IF(B22&gt;'Mortality Table'!$A$118,D21,VLOOKUP(B22,'Mortality Table'!$A$2:$B$118,2,FALSE))</f>
        <v>5.0299999999999997E-3</v>
      </c>
      <c r="E22" s="4">
        <f>IF(INT((C22-1)/12)+1&gt;'Lapse Table'!$A$11,E21,VLOOKUP(INT((C22-1)/12)+1,'Lapse Table'!$A$2:$B$11,2,FALSE))/12</f>
        <v>6.6666666666666671E-3</v>
      </c>
      <c r="F22" s="5">
        <f t="shared" si="8"/>
        <v>0.89373890972222247</v>
      </c>
      <c r="G22" s="6">
        <f t="shared" si="2"/>
        <v>4.1776944444444443E-4</v>
      </c>
      <c r="H22" s="6">
        <f t="shared" si="3"/>
        <v>6.6499000000000003E-3</v>
      </c>
      <c r="I22" s="7">
        <f t="shared" si="4"/>
        <v>29.791296990740747</v>
      </c>
      <c r="J22" s="8">
        <f t="shared" si="5"/>
        <v>417.76944444444445</v>
      </c>
      <c r="K22" s="7">
        <f t="shared" si="6"/>
        <v>-387.97814745370368</v>
      </c>
      <c r="L22" s="4">
        <f>IF(A22&gt;'Yield Curve'!A636,L21,(1+VLOOKUP(A22,'Yield Curve'!A15:B637,2,FALSE))^(1/12)-1)</f>
        <v>7.9741404289037643E-3</v>
      </c>
      <c r="M22" s="5">
        <f t="shared" si="7"/>
        <v>-347.14890442083151</v>
      </c>
    </row>
    <row r="23" spans="1:13" x14ac:dyDescent="0.25">
      <c r="A23" s="4">
        <v>15</v>
      </c>
      <c r="B23" s="4">
        <f t="shared" si="0"/>
        <v>46</v>
      </c>
      <c r="C23" s="4">
        <f t="shared" si="1"/>
        <v>30</v>
      </c>
      <c r="D23" s="4">
        <f>IF(B23&gt;'Mortality Table'!$A$118,D22,VLOOKUP(B23,'Mortality Table'!$A$2:$B$118,2,FALSE))</f>
        <v>5.0299999999999997E-3</v>
      </c>
      <c r="E23" s="4">
        <f>IF(INT((C23-1)/12)+1&gt;'Lapse Table'!$A$11,E22,VLOOKUP(INT((C23-1)/12)+1,'Lapse Table'!$A$2:$B$11,2,FALSE))/12</f>
        <v>6.6666666666666671E-3</v>
      </c>
      <c r="F23" s="5">
        <f t="shared" si="8"/>
        <v>0.88667124027777799</v>
      </c>
      <c r="G23" s="6">
        <f t="shared" si="2"/>
        <v>4.1776944444444443E-4</v>
      </c>
      <c r="H23" s="6">
        <f t="shared" si="3"/>
        <v>6.6499000000000003E-3</v>
      </c>
      <c r="I23" s="7">
        <f t="shared" si="4"/>
        <v>29.555708009259266</v>
      </c>
      <c r="J23" s="8">
        <f t="shared" si="5"/>
        <v>417.76944444444445</v>
      </c>
      <c r="K23" s="7">
        <f t="shared" si="6"/>
        <v>-388.21373643518518</v>
      </c>
      <c r="L23" s="4">
        <f>IF(A23&gt;'Yield Curve'!A637,L22,(1+VLOOKUP(A23,'Yield Curve'!A16:B638,2,FALSE))^(1/12)-1)</f>
        <v>7.9741404289037643E-3</v>
      </c>
      <c r="M23" s="5">
        <f t="shared" si="7"/>
        <v>-344.61171873696168</v>
      </c>
    </row>
    <row r="24" spans="1:13" x14ac:dyDescent="0.25">
      <c r="A24" s="4">
        <v>16</v>
      </c>
      <c r="B24" s="4">
        <f t="shared" si="0"/>
        <v>46</v>
      </c>
      <c r="C24" s="4">
        <f t="shared" si="1"/>
        <v>31</v>
      </c>
      <c r="D24" s="4">
        <f>IF(B24&gt;'Mortality Table'!$A$118,D23,VLOOKUP(B24,'Mortality Table'!$A$2:$B$118,2,FALSE))</f>
        <v>5.0299999999999997E-3</v>
      </c>
      <c r="E24" s="4">
        <f>IF(INT((C24-1)/12)+1&gt;'Lapse Table'!$A$11,E23,VLOOKUP(INT((C24-1)/12)+1,'Lapse Table'!$A$2:$B$11,2,FALSE))/12</f>
        <v>6.6666666666666671E-3</v>
      </c>
      <c r="F24" s="5">
        <f t="shared" si="8"/>
        <v>0.87960357083333351</v>
      </c>
      <c r="G24" s="6">
        <f t="shared" si="2"/>
        <v>4.1776944444444443E-4</v>
      </c>
      <c r="H24" s="6">
        <f t="shared" si="3"/>
        <v>6.6499000000000003E-3</v>
      </c>
      <c r="I24" s="7">
        <f t="shared" si="4"/>
        <v>29.320119027777782</v>
      </c>
      <c r="J24" s="8">
        <f t="shared" si="5"/>
        <v>417.76944444444445</v>
      </c>
      <c r="K24" s="7">
        <f t="shared" si="6"/>
        <v>-388.44932541666668</v>
      </c>
      <c r="L24" s="4">
        <f>IF(A24&gt;'Yield Curve'!A638,L23,(1+VLOOKUP(A24,'Yield Curve'!A17:B639,2,FALSE))^(1/12)-1)</f>
        <v>7.9741404289037643E-3</v>
      </c>
      <c r="M24" s="5">
        <f t="shared" si="7"/>
        <v>-342.09295044171972</v>
      </c>
    </row>
    <row r="25" spans="1:13" x14ac:dyDescent="0.25">
      <c r="A25" s="4">
        <v>17</v>
      </c>
      <c r="B25" s="4">
        <f t="shared" si="0"/>
        <v>46</v>
      </c>
      <c r="C25" s="4">
        <f t="shared" si="1"/>
        <v>32</v>
      </c>
      <c r="D25" s="4">
        <f>IF(B25&gt;'Mortality Table'!$A$118,D24,VLOOKUP(B25,'Mortality Table'!$A$2:$B$118,2,FALSE))</f>
        <v>5.0299999999999997E-3</v>
      </c>
      <c r="E25" s="4">
        <f>IF(INT((C25-1)/12)+1&gt;'Lapse Table'!$A$11,E24,VLOOKUP(INT((C25-1)/12)+1,'Lapse Table'!$A$2:$B$11,2,FALSE))/12</f>
        <v>6.6666666666666671E-3</v>
      </c>
      <c r="F25" s="5">
        <f t="shared" si="8"/>
        <v>0.87253590138888903</v>
      </c>
      <c r="G25" s="6">
        <f t="shared" si="2"/>
        <v>4.1776944444444443E-4</v>
      </c>
      <c r="H25" s="6">
        <f t="shared" si="3"/>
        <v>6.6499000000000003E-3</v>
      </c>
      <c r="I25" s="7">
        <f t="shared" si="4"/>
        <v>29.084530046296305</v>
      </c>
      <c r="J25" s="8">
        <f t="shared" si="5"/>
        <v>417.76944444444445</v>
      </c>
      <c r="K25" s="7">
        <f t="shared" si="6"/>
        <v>-388.68491439814812</v>
      </c>
      <c r="L25" s="4">
        <f>IF(A25&gt;'Yield Curve'!A639,L24,(1+VLOOKUP(A25,'Yield Curve'!A18:B640,2,FALSE))^(1/12)-1)</f>
        <v>7.9741404289037643E-3</v>
      </c>
      <c r="M25" s="5">
        <f t="shared" si="7"/>
        <v>-339.5924669223985</v>
      </c>
    </row>
    <row r="26" spans="1:13" x14ac:dyDescent="0.25">
      <c r="A26" s="4">
        <v>18</v>
      </c>
      <c r="B26" s="4">
        <f t="shared" si="0"/>
        <v>46</v>
      </c>
      <c r="C26" s="4">
        <f t="shared" si="1"/>
        <v>33</v>
      </c>
      <c r="D26" s="4">
        <f>IF(B26&gt;'Mortality Table'!$A$118,D25,VLOOKUP(B26,'Mortality Table'!$A$2:$B$118,2,FALSE))</f>
        <v>5.0299999999999997E-3</v>
      </c>
      <c r="E26" s="4">
        <f>IF(INT((C26-1)/12)+1&gt;'Lapse Table'!$A$11,E25,VLOOKUP(INT((C26-1)/12)+1,'Lapse Table'!$A$2:$B$11,2,FALSE))/12</f>
        <v>6.6666666666666671E-3</v>
      </c>
      <c r="F26" s="5">
        <f t="shared" si="8"/>
        <v>0.86546823194444455</v>
      </c>
      <c r="G26" s="6">
        <f t="shared" si="2"/>
        <v>4.1776944444444443E-4</v>
      </c>
      <c r="H26" s="6">
        <f t="shared" si="3"/>
        <v>6.6499000000000003E-3</v>
      </c>
      <c r="I26" s="7">
        <f t="shared" si="4"/>
        <v>28.84894106481482</v>
      </c>
      <c r="J26" s="8">
        <f t="shared" si="5"/>
        <v>417.76944444444445</v>
      </c>
      <c r="K26" s="7">
        <f t="shared" si="6"/>
        <v>-388.92050337962962</v>
      </c>
      <c r="L26" s="4">
        <f>IF(A26&gt;'Yield Curve'!A640,L25,(1+VLOOKUP(A26,'Yield Curve'!A19:B641,2,FALSE))^(1/12)-1)</f>
        <v>7.9741404289037643E-3</v>
      </c>
      <c r="M26" s="5">
        <f t="shared" si="7"/>
        <v>-337.1101365118551</v>
      </c>
    </row>
    <row r="27" spans="1:13" x14ac:dyDescent="0.25">
      <c r="A27" s="4">
        <v>19</v>
      </c>
      <c r="B27" s="4">
        <f t="shared" si="0"/>
        <v>46</v>
      </c>
      <c r="C27" s="4">
        <f t="shared" si="1"/>
        <v>34</v>
      </c>
      <c r="D27" s="4">
        <f>IF(B27&gt;'Mortality Table'!$A$118,D26,VLOOKUP(B27,'Mortality Table'!$A$2:$B$118,2,FALSE))</f>
        <v>5.0299999999999997E-3</v>
      </c>
      <c r="E27" s="4">
        <f>IF(INT((C27-1)/12)+1&gt;'Lapse Table'!$A$11,E26,VLOOKUP(INT((C27-1)/12)+1,'Lapse Table'!$A$2:$B$11,2,FALSE))/12</f>
        <v>6.6666666666666671E-3</v>
      </c>
      <c r="F27" s="5">
        <f t="shared" si="8"/>
        <v>0.85840056250000007</v>
      </c>
      <c r="G27" s="6">
        <f t="shared" si="2"/>
        <v>4.1776944444444443E-4</v>
      </c>
      <c r="H27" s="6">
        <f t="shared" si="3"/>
        <v>6.6499000000000003E-3</v>
      </c>
      <c r="I27" s="7">
        <f t="shared" si="4"/>
        <v>28.613352083333336</v>
      </c>
      <c r="J27" s="8">
        <f t="shared" si="5"/>
        <v>417.76944444444445</v>
      </c>
      <c r="K27" s="7">
        <f t="shared" si="6"/>
        <v>-389.15609236111112</v>
      </c>
      <c r="L27" s="4">
        <f>IF(A27&gt;'Yield Curve'!A641,L26,(1+VLOOKUP(A27,'Yield Curve'!A20:B642,2,FALSE))^(1/12)-1)</f>
        <v>7.9741404289037643E-3</v>
      </c>
      <c r="M27" s="5">
        <f t="shared" si="7"/>
        <v>-334.64582848184955</v>
      </c>
    </row>
    <row r="28" spans="1:13" x14ac:dyDescent="0.25">
      <c r="A28" s="4">
        <v>20</v>
      </c>
      <c r="B28" s="4">
        <f t="shared" si="0"/>
        <v>46</v>
      </c>
      <c r="C28" s="4">
        <f t="shared" si="1"/>
        <v>35</v>
      </c>
      <c r="D28" s="4">
        <f>IF(B28&gt;'Mortality Table'!$A$118,D27,VLOOKUP(B28,'Mortality Table'!$A$2:$B$118,2,FALSE))</f>
        <v>5.0299999999999997E-3</v>
      </c>
      <c r="E28" s="4">
        <f>IF(INT((C28-1)/12)+1&gt;'Lapse Table'!$A$11,E27,VLOOKUP(INT((C28-1)/12)+1,'Lapse Table'!$A$2:$B$11,2,FALSE))/12</f>
        <v>6.6666666666666671E-3</v>
      </c>
      <c r="F28" s="5">
        <f t="shared" si="8"/>
        <v>0.8513328930555556</v>
      </c>
      <c r="G28" s="6">
        <f t="shared" si="2"/>
        <v>4.1776944444444443E-4</v>
      </c>
      <c r="H28" s="6">
        <f t="shared" si="3"/>
        <v>6.6499000000000003E-3</v>
      </c>
      <c r="I28" s="7">
        <f t="shared" si="4"/>
        <v>28.377763101851855</v>
      </c>
      <c r="J28" s="8">
        <f t="shared" si="5"/>
        <v>417.76944444444445</v>
      </c>
      <c r="K28" s="7">
        <f t="shared" si="6"/>
        <v>-389.39168134259262</v>
      </c>
      <c r="L28" s="4">
        <f>IF(A28&gt;'Yield Curve'!A642,L27,(1+VLOOKUP(A28,'Yield Curve'!A21:B643,2,FALSE))^(1/12)-1)</f>
        <v>7.9741404289037643E-3</v>
      </c>
      <c r="M28" s="5">
        <f t="shared" si="7"/>
        <v>-332.19941303642997</v>
      </c>
    </row>
    <row r="29" spans="1:13" x14ac:dyDescent="0.25">
      <c r="A29" s="4">
        <v>21</v>
      </c>
      <c r="B29" s="4">
        <f t="shared" si="0"/>
        <v>46</v>
      </c>
      <c r="C29" s="4">
        <f t="shared" si="1"/>
        <v>36</v>
      </c>
      <c r="D29" s="4">
        <f>IF(B29&gt;'Mortality Table'!$A$118,D28,VLOOKUP(B29,'Mortality Table'!$A$2:$B$118,2,FALSE))</f>
        <v>5.0299999999999997E-3</v>
      </c>
      <c r="E29" s="4">
        <f>IF(INT((C29-1)/12)+1&gt;'Lapse Table'!$A$11,E28,VLOOKUP(INT((C29-1)/12)+1,'Lapse Table'!$A$2:$B$11,2,FALSE))/12</f>
        <v>6.6666666666666671E-3</v>
      </c>
      <c r="F29" s="5">
        <f t="shared" si="8"/>
        <v>0.84426522361111112</v>
      </c>
      <c r="G29" s="6">
        <f t="shared" si="2"/>
        <v>4.1776944444444443E-4</v>
      </c>
      <c r="H29" s="6">
        <f t="shared" si="3"/>
        <v>6.6499000000000003E-3</v>
      </c>
      <c r="I29" s="7">
        <f t="shared" si="4"/>
        <v>28.14217412037037</v>
      </c>
      <c r="J29" s="8">
        <f t="shared" si="5"/>
        <v>417.76944444444445</v>
      </c>
      <c r="K29" s="7">
        <f t="shared" si="6"/>
        <v>-389.62727032407406</v>
      </c>
      <c r="L29" s="4">
        <f>IF(A29&gt;'Yield Curve'!A643,L28,(1+VLOOKUP(A29,'Yield Curve'!A22:B644,2,FALSE))^(1/12)-1)</f>
        <v>7.9741404289037643E-3</v>
      </c>
      <c r="M29" s="5">
        <f t="shared" si="7"/>
        <v>-329.77076130536324</v>
      </c>
    </row>
    <row r="30" spans="1:13" x14ac:dyDescent="0.25">
      <c r="A30" s="4">
        <v>22</v>
      </c>
      <c r="B30" s="4">
        <f t="shared" si="0"/>
        <v>46</v>
      </c>
      <c r="C30" s="4">
        <f t="shared" si="1"/>
        <v>37</v>
      </c>
      <c r="D30" s="4">
        <f>IF(B30&gt;'Mortality Table'!$A$118,D29,VLOOKUP(B30,'Mortality Table'!$A$2:$B$118,2,FALSE))</f>
        <v>5.0299999999999997E-3</v>
      </c>
      <c r="E30" s="4">
        <f>IF(INT((C30-1)/12)+1&gt;'Lapse Table'!$A$11,E29,VLOOKUP(INT((C30-1)/12)+1,'Lapse Table'!$A$2:$B$11,2,FALSE))/12</f>
        <v>5.8333333333333336E-3</v>
      </c>
      <c r="F30" s="5">
        <f t="shared" si="8"/>
        <v>0.83802861701388898</v>
      </c>
      <c r="G30" s="6">
        <f t="shared" si="2"/>
        <v>4.179440972222222E-4</v>
      </c>
      <c r="H30" s="6">
        <f t="shared" si="3"/>
        <v>5.8186625000000002E-3</v>
      </c>
      <c r="I30" s="7">
        <f t="shared" si="4"/>
        <v>27.934287233796297</v>
      </c>
      <c r="J30" s="8">
        <f t="shared" si="5"/>
        <v>417.94409722222218</v>
      </c>
      <c r="K30" s="7">
        <f t="shared" si="6"/>
        <v>-390.0098099884259</v>
      </c>
      <c r="L30" s="4">
        <f>IF(A30&gt;'Yield Curve'!A644,L29,(1+VLOOKUP(A30,'Yield Curve'!A23:B645,2,FALSE))^(1/12)-1)</f>
        <v>7.9741404289037643E-3</v>
      </c>
      <c r="M30" s="5">
        <f t="shared" si="7"/>
        <v>-327.48313677378866</v>
      </c>
    </row>
    <row r="31" spans="1:13" x14ac:dyDescent="0.25">
      <c r="A31" s="4">
        <v>23</v>
      </c>
      <c r="B31" s="4">
        <f t="shared" si="0"/>
        <v>46</v>
      </c>
      <c r="C31" s="4">
        <f t="shared" si="1"/>
        <v>38</v>
      </c>
      <c r="D31" s="4">
        <f>IF(B31&gt;'Mortality Table'!$A$118,D30,VLOOKUP(B31,'Mortality Table'!$A$2:$B$118,2,FALSE))</f>
        <v>5.0299999999999997E-3</v>
      </c>
      <c r="E31" s="4">
        <f>IF(INT((C31-1)/12)+1&gt;'Lapse Table'!$A$11,E30,VLOOKUP(INT((C31-1)/12)+1,'Lapse Table'!$A$2:$B$11,2,FALSE))/12</f>
        <v>5.8333333333333336E-3</v>
      </c>
      <c r="F31" s="5">
        <f t="shared" si="8"/>
        <v>0.83179201041666684</v>
      </c>
      <c r="G31" s="6">
        <f t="shared" si="2"/>
        <v>4.179440972222222E-4</v>
      </c>
      <c r="H31" s="6">
        <f t="shared" si="3"/>
        <v>5.8186625000000002E-3</v>
      </c>
      <c r="I31" s="7">
        <f t="shared" si="4"/>
        <v>27.726400347222228</v>
      </c>
      <c r="J31" s="8">
        <f t="shared" si="5"/>
        <v>417.94409722222218</v>
      </c>
      <c r="K31" s="7">
        <f t="shared" si="6"/>
        <v>-390.21769687499994</v>
      </c>
      <c r="L31" s="4">
        <f>IF(A31&gt;'Yield Curve'!A645,L30,(1+VLOOKUP(A31,'Yield Curve'!A24:B646,2,FALSE))^(1/12)-1)</f>
        <v>7.9741404289037643E-3</v>
      </c>
      <c r="M31" s="5">
        <f t="shared" si="7"/>
        <v>-325.06557651878052</v>
      </c>
    </row>
    <row r="32" spans="1:13" x14ac:dyDescent="0.25">
      <c r="A32" s="4">
        <v>24</v>
      </c>
      <c r="B32" s="4">
        <f t="shared" si="0"/>
        <v>47</v>
      </c>
      <c r="C32" s="4">
        <f t="shared" si="1"/>
        <v>39</v>
      </c>
      <c r="D32" s="4">
        <f>IF(B32&gt;'Mortality Table'!$A$118,D31,VLOOKUP(B32,'Mortality Table'!$A$2:$B$118,2,FALSE))</f>
        <v>5.3E-3</v>
      </c>
      <c r="E32" s="4">
        <f>IF(INT((C32-1)/12)+1&gt;'Lapse Table'!$A$11,E31,VLOOKUP(INT((C32-1)/12)+1,'Lapse Table'!$A$2:$B$11,2,FALSE))/12</f>
        <v>5.8333333333333336E-3</v>
      </c>
      <c r="F32" s="5">
        <f t="shared" si="8"/>
        <v>0.82553375694444464</v>
      </c>
      <c r="G32" s="6">
        <f t="shared" si="2"/>
        <v>4.4037847222222221E-4</v>
      </c>
      <c r="H32" s="6">
        <f t="shared" si="3"/>
        <v>5.8178750000000001E-3</v>
      </c>
      <c r="I32" s="7">
        <f t="shared" si="4"/>
        <v>27.517791898148158</v>
      </c>
      <c r="J32" s="8">
        <f t="shared" si="5"/>
        <v>440.37847222222223</v>
      </c>
      <c r="K32" s="7">
        <f t="shared" si="6"/>
        <v>-412.86068032407405</v>
      </c>
      <c r="L32" s="4">
        <f>IF(A32&gt;'Yield Curve'!A646,L31,(1+VLOOKUP(A32,'Yield Curve'!A25:B647,2,FALSE))^(1/12)-1)</f>
        <v>7.9741404289037643E-3</v>
      </c>
      <c r="M32" s="5">
        <f t="shared" si="7"/>
        <v>-341.20717382154857</v>
      </c>
    </row>
    <row r="33" spans="1:13" x14ac:dyDescent="0.25">
      <c r="A33" s="4">
        <v>25</v>
      </c>
      <c r="B33" s="4">
        <f t="shared" si="0"/>
        <v>47</v>
      </c>
      <c r="C33" s="4">
        <f t="shared" si="1"/>
        <v>40</v>
      </c>
      <c r="D33" s="4">
        <f>IF(B33&gt;'Mortality Table'!$A$118,D32,VLOOKUP(B33,'Mortality Table'!$A$2:$B$118,2,FALSE))</f>
        <v>5.3E-3</v>
      </c>
      <c r="E33" s="4">
        <f>IF(INT((C33-1)/12)+1&gt;'Lapse Table'!$A$11,E32,VLOOKUP(INT((C33-1)/12)+1,'Lapse Table'!$A$2:$B$11,2,FALSE))/12</f>
        <v>5.8333333333333336E-3</v>
      </c>
      <c r="F33" s="5">
        <f t="shared" si="8"/>
        <v>0.81927550347222244</v>
      </c>
      <c r="G33" s="6">
        <f t="shared" si="2"/>
        <v>4.4037847222222221E-4</v>
      </c>
      <c r="H33" s="6">
        <f t="shared" si="3"/>
        <v>5.8178750000000001E-3</v>
      </c>
      <c r="I33" s="7">
        <f t="shared" si="4"/>
        <v>27.309183449074084</v>
      </c>
      <c r="J33" s="8">
        <f t="shared" si="5"/>
        <v>440.37847222222223</v>
      </c>
      <c r="K33" s="7">
        <f t="shared" si="6"/>
        <v>-413.06928877314817</v>
      </c>
      <c r="L33" s="4">
        <f>IF(A33&gt;'Yield Curve'!A647,L32,(1+VLOOKUP(A33,'Yield Curve'!A26:B648,2,FALSE))^(1/12)-1)</f>
        <v>7.9741404289037643E-3</v>
      </c>
      <c r="M33" s="5">
        <f t="shared" si="7"/>
        <v>-338.67890435483662</v>
      </c>
    </row>
    <row r="34" spans="1:13" x14ac:dyDescent="0.25">
      <c r="A34" s="4">
        <v>26</v>
      </c>
      <c r="B34" s="4">
        <f t="shared" si="0"/>
        <v>47</v>
      </c>
      <c r="C34" s="4">
        <f t="shared" si="1"/>
        <v>41</v>
      </c>
      <c r="D34" s="4">
        <f>IF(B34&gt;'Mortality Table'!$A$118,D33,VLOOKUP(B34,'Mortality Table'!$A$2:$B$118,2,FALSE))</f>
        <v>5.3E-3</v>
      </c>
      <c r="E34" s="4">
        <f>IF(INT((C34-1)/12)+1&gt;'Lapse Table'!$A$11,E33,VLOOKUP(INT((C34-1)/12)+1,'Lapse Table'!$A$2:$B$11,2,FALSE))/12</f>
        <v>5.8333333333333336E-3</v>
      </c>
      <c r="F34" s="5">
        <f t="shared" si="8"/>
        <v>0.81301725000000025</v>
      </c>
      <c r="G34" s="6">
        <f t="shared" si="2"/>
        <v>4.4037847222222221E-4</v>
      </c>
      <c r="H34" s="6">
        <f t="shared" si="3"/>
        <v>5.8178750000000001E-3</v>
      </c>
      <c r="I34" s="7">
        <f t="shared" si="4"/>
        <v>27.100575000000006</v>
      </c>
      <c r="J34" s="8">
        <f t="shared" si="5"/>
        <v>440.37847222222223</v>
      </c>
      <c r="K34" s="7">
        <f t="shared" si="6"/>
        <v>-413.27789722222224</v>
      </c>
      <c r="L34" s="4">
        <f>IF(A34&gt;'Yield Curve'!A648,L33,(1+VLOOKUP(A34,'Yield Curve'!A27:B649,2,FALSE))^(1/12)-1)</f>
        <v>7.9741404289037643E-3</v>
      </c>
      <c r="M34" s="5">
        <f t="shared" si="7"/>
        <v>-336.16928306547129</v>
      </c>
    </row>
    <row r="35" spans="1:13" x14ac:dyDescent="0.25">
      <c r="A35" s="4">
        <v>27</v>
      </c>
      <c r="B35" s="4">
        <f t="shared" si="0"/>
        <v>47</v>
      </c>
      <c r="C35" s="4">
        <f t="shared" si="1"/>
        <v>42</v>
      </c>
      <c r="D35" s="4">
        <f>IF(B35&gt;'Mortality Table'!$A$118,D34,VLOOKUP(B35,'Mortality Table'!$A$2:$B$118,2,FALSE))</f>
        <v>5.3E-3</v>
      </c>
      <c r="E35" s="4">
        <f>IF(INT((C35-1)/12)+1&gt;'Lapse Table'!$A$11,E34,VLOOKUP(INT((C35-1)/12)+1,'Lapse Table'!$A$2:$B$11,2,FALSE))/12</f>
        <v>5.8333333333333336E-3</v>
      </c>
      <c r="F35" s="5">
        <f t="shared" si="8"/>
        <v>0.80675899652777805</v>
      </c>
      <c r="G35" s="6">
        <f t="shared" si="2"/>
        <v>4.4037847222222221E-4</v>
      </c>
      <c r="H35" s="6">
        <f t="shared" si="3"/>
        <v>5.8178750000000001E-3</v>
      </c>
      <c r="I35" s="7">
        <f t="shared" si="4"/>
        <v>26.891966550925932</v>
      </c>
      <c r="J35" s="8">
        <f t="shared" si="5"/>
        <v>440.37847222222223</v>
      </c>
      <c r="K35" s="7">
        <f t="shared" si="6"/>
        <v>-413.4865056712963</v>
      </c>
      <c r="L35" s="4">
        <f>IF(A35&gt;'Yield Curve'!A649,L34,(1+VLOOKUP(A35,'Yield Curve'!A28:B650,2,FALSE))^(1/12)-1)</f>
        <v>7.9741404289037643E-3</v>
      </c>
      <c r="M35" s="5">
        <f t="shared" si="7"/>
        <v>-333.67817313116029</v>
      </c>
    </row>
    <row r="36" spans="1:13" x14ac:dyDescent="0.25">
      <c r="A36" s="4">
        <v>28</v>
      </c>
      <c r="B36" s="4">
        <f t="shared" si="0"/>
        <v>47</v>
      </c>
      <c r="C36" s="4">
        <f t="shared" si="1"/>
        <v>43</v>
      </c>
      <c r="D36" s="4">
        <f>IF(B36&gt;'Mortality Table'!$A$118,D35,VLOOKUP(B36,'Mortality Table'!$A$2:$B$118,2,FALSE))</f>
        <v>5.3E-3</v>
      </c>
      <c r="E36" s="4">
        <f>IF(INT((C36-1)/12)+1&gt;'Lapse Table'!$A$11,E35,VLOOKUP(INT((C36-1)/12)+1,'Lapse Table'!$A$2:$B$11,2,FALSE))/12</f>
        <v>5.8333333333333336E-3</v>
      </c>
      <c r="F36" s="5">
        <f t="shared" si="8"/>
        <v>0.80050074305555585</v>
      </c>
      <c r="G36" s="6">
        <f t="shared" si="2"/>
        <v>4.4037847222222221E-4</v>
      </c>
      <c r="H36" s="6">
        <f t="shared" si="3"/>
        <v>5.8178750000000001E-3</v>
      </c>
      <c r="I36" s="7">
        <f t="shared" si="4"/>
        <v>26.683358101851862</v>
      </c>
      <c r="J36" s="8">
        <f t="shared" si="5"/>
        <v>440.37847222222223</v>
      </c>
      <c r="K36" s="7">
        <f t="shared" si="6"/>
        <v>-413.69511412037036</v>
      </c>
      <c r="L36" s="4">
        <f>IF(A36&gt;'Yield Curve'!A650,L35,(1+VLOOKUP(A36,'Yield Curve'!A29:B651,2,FALSE))^(1/12)-1)</f>
        <v>7.9741404289037643E-3</v>
      </c>
      <c r="M36" s="5">
        <f t="shared" si="7"/>
        <v>-331.20543872733634</v>
      </c>
    </row>
    <row r="37" spans="1:13" x14ac:dyDescent="0.25">
      <c r="A37" s="4">
        <v>29</v>
      </c>
      <c r="B37" s="4">
        <f t="shared" si="0"/>
        <v>47</v>
      </c>
      <c r="C37" s="4">
        <f t="shared" si="1"/>
        <v>44</v>
      </c>
      <c r="D37" s="4">
        <f>IF(B37&gt;'Mortality Table'!$A$118,D36,VLOOKUP(B37,'Mortality Table'!$A$2:$B$118,2,FALSE))</f>
        <v>5.3E-3</v>
      </c>
      <c r="E37" s="4">
        <f>IF(INT((C37-1)/12)+1&gt;'Lapse Table'!$A$11,E36,VLOOKUP(INT((C37-1)/12)+1,'Lapse Table'!$A$2:$B$11,2,FALSE))/12</f>
        <v>5.8333333333333336E-3</v>
      </c>
      <c r="F37" s="5">
        <f t="shared" si="8"/>
        <v>0.79424248958333366</v>
      </c>
      <c r="G37" s="6">
        <f t="shared" si="2"/>
        <v>4.4037847222222221E-4</v>
      </c>
      <c r="H37" s="6">
        <f t="shared" si="3"/>
        <v>5.8178750000000001E-3</v>
      </c>
      <c r="I37" s="7">
        <f t="shared" si="4"/>
        <v>26.474749652777788</v>
      </c>
      <c r="J37" s="8">
        <f t="shared" si="5"/>
        <v>440.37847222222223</v>
      </c>
      <c r="K37" s="7">
        <f t="shared" si="6"/>
        <v>-413.90372256944443</v>
      </c>
      <c r="L37" s="4">
        <f>IF(A37&gt;'Yield Curve'!A651,L36,(1+VLOOKUP(A37,'Yield Curve'!A30:B652,2,FALSE))^(1/12)-1)</f>
        <v>7.9741404289037643E-3</v>
      </c>
      <c r="M37" s="5">
        <f t="shared" si="7"/>
        <v>-328.75094501993391</v>
      </c>
    </row>
    <row r="38" spans="1:13" x14ac:dyDescent="0.25">
      <c r="A38" s="4">
        <v>30</v>
      </c>
      <c r="B38" s="4">
        <f t="shared" si="0"/>
        <v>47</v>
      </c>
      <c r="C38" s="4">
        <f t="shared" si="1"/>
        <v>45</v>
      </c>
      <c r="D38" s="4">
        <f>IF(B38&gt;'Mortality Table'!$A$118,D37,VLOOKUP(B38,'Mortality Table'!$A$2:$B$118,2,FALSE))</f>
        <v>5.3E-3</v>
      </c>
      <c r="E38" s="4">
        <f>IF(INT((C38-1)/12)+1&gt;'Lapse Table'!$A$11,E37,VLOOKUP(INT((C38-1)/12)+1,'Lapse Table'!$A$2:$B$11,2,FALSE))/12</f>
        <v>5.8333333333333336E-3</v>
      </c>
      <c r="F38" s="5">
        <f t="shared" si="8"/>
        <v>0.78798423611111146</v>
      </c>
      <c r="G38" s="6">
        <f t="shared" si="2"/>
        <v>4.4037847222222221E-4</v>
      </c>
      <c r="H38" s="6">
        <f t="shared" si="3"/>
        <v>5.8178750000000001E-3</v>
      </c>
      <c r="I38" s="7">
        <f t="shared" si="4"/>
        <v>26.266141203703715</v>
      </c>
      <c r="J38" s="8">
        <f t="shared" si="5"/>
        <v>440.37847222222223</v>
      </c>
      <c r="K38" s="7">
        <f t="shared" si="6"/>
        <v>-414.11233101851849</v>
      </c>
      <c r="L38" s="4">
        <f>IF(A38&gt;'Yield Curve'!A652,L37,(1+VLOOKUP(A38,'Yield Curve'!A31:B653,2,FALSE))^(1/12)-1)</f>
        <v>7.9741404289037643E-3</v>
      </c>
      <c r="M38" s="5">
        <f t="shared" si="7"/>
        <v>-326.31455815821835</v>
      </c>
    </row>
    <row r="39" spans="1:13" x14ac:dyDescent="0.25">
      <c r="A39" s="4">
        <v>31</v>
      </c>
      <c r="B39" s="4">
        <f t="shared" si="0"/>
        <v>47</v>
      </c>
      <c r="C39" s="4">
        <f t="shared" si="1"/>
        <v>46</v>
      </c>
      <c r="D39" s="4">
        <f>IF(B39&gt;'Mortality Table'!$A$118,D38,VLOOKUP(B39,'Mortality Table'!$A$2:$B$118,2,FALSE))</f>
        <v>5.3E-3</v>
      </c>
      <c r="E39" s="4">
        <f>IF(INT((C39-1)/12)+1&gt;'Lapse Table'!$A$11,E38,VLOOKUP(INT((C39-1)/12)+1,'Lapse Table'!$A$2:$B$11,2,FALSE))/12</f>
        <v>5.8333333333333336E-3</v>
      </c>
      <c r="F39" s="5">
        <f t="shared" si="8"/>
        <v>0.78172598263888926</v>
      </c>
      <c r="G39" s="6">
        <f t="shared" si="2"/>
        <v>4.4037847222222221E-4</v>
      </c>
      <c r="H39" s="6">
        <f t="shared" si="3"/>
        <v>5.8178750000000001E-3</v>
      </c>
      <c r="I39" s="7">
        <f t="shared" si="4"/>
        <v>26.057532754629644</v>
      </c>
      <c r="J39" s="8">
        <f t="shared" si="5"/>
        <v>440.37847222222223</v>
      </c>
      <c r="K39" s="7">
        <f t="shared" si="6"/>
        <v>-414.32093946759261</v>
      </c>
      <c r="L39" s="4">
        <f>IF(A39&gt;'Yield Curve'!A653,L38,(1+VLOOKUP(A39,'Yield Curve'!A32:B654,2,FALSE))^(1/12)-1)</f>
        <v>7.9741404289037643E-3</v>
      </c>
      <c r="M39" s="5">
        <f t="shared" si="7"/>
        <v>-323.8961452676657</v>
      </c>
    </row>
    <row r="40" spans="1:13" x14ac:dyDescent="0.25">
      <c r="A40" s="4">
        <v>32</v>
      </c>
      <c r="B40" s="4">
        <f t="shared" si="0"/>
        <v>47</v>
      </c>
      <c r="C40" s="4">
        <f t="shared" si="1"/>
        <v>47</v>
      </c>
      <c r="D40" s="4">
        <f>IF(B40&gt;'Mortality Table'!$A$118,D39,VLOOKUP(B40,'Mortality Table'!$A$2:$B$118,2,FALSE))</f>
        <v>5.3E-3</v>
      </c>
      <c r="E40" s="4">
        <f>IF(INT((C40-1)/12)+1&gt;'Lapse Table'!$A$11,E39,VLOOKUP(INT((C40-1)/12)+1,'Lapse Table'!$A$2:$B$11,2,FALSE))/12</f>
        <v>5.8333333333333336E-3</v>
      </c>
      <c r="F40" s="5">
        <f t="shared" si="8"/>
        <v>0.77546772916666706</v>
      </c>
      <c r="G40" s="6">
        <f t="shared" si="2"/>
        <v>4.4037847222222221E-4</v>
      </c>
      <c r="H40" s="6">
        <f t="shared" si="3"/>
        <v>5.8178750000000001E-3</v>
      </c>
      <c r="I40" s="7">
        <f t="shared" si="4"/>
        <v>25.84892430555557</v>
      </c>
      <c r="J40" s="8">
        <f t="shared" si="5"/>
        <v>440.37847222222223</v>
      </c>
      <c r="K40" s="7">
        <f t="shared" si="6"/>
        <v>-414.52954791666667</v>
      </c>
      <c r="L40" s="4">
        <f>IF(A40&gt;'Yield Curve'!A654,L39,(1+VLOOKUP(A40,'Yield Curve'!A33:B655,2,FALSE))^(1/12)-1)</f>
        <v>7.9741404289037643E-3</v>
      </c>
      <c r="M40" s="5">
        <f t="shared" si="7"/>
        <v>-321.49557444289405</v>
      </c>
    </row>
    <row r="41" spans="1:13" x14ac:dyDescent="0.25">
      <c r="A41" s="4">
        <v>33</v>
      </c>
      <c r="B41" s="4">
        <f t="shared" si="0"/>
        <v>47</v>
      </c>
      <c r="C41" s="4">
        <f t="shared" si="1"/>
        <v>48</v>
      </c>
      <c r="D41" s="4">
        <f>IF(B41&gt;'Mortality Table'!$A$118,D40,VLOOKUP(B41,'Mortality Table'!$A$2:$B$118,2,FALSE))</f>
        <v>5.3E-3</v>
      </c>
      <c r="E41" s="4">
        <f>IF(INT((C41-1)/12)+1&gt;'Lapse Table'!$A$11,E40,VLOOKUP(INT((C41-1)/12)+1,'Lapse Table'!$A$2:$B$11,2,FALSE))/12</f>
        <v>5.8333333333333336E-3</v>
      </c>
      <c r="F41" s="5">
        <f t="shared" si="8"/>
        <v>0.76920947569444487</v>
      </c>
      <c r="G41" s="6">
        <f t="shared" si="2"/>
        <v>4.4037847222222221E-4</v>
      </c>
      <c r="H41" s="6">
        <f t="shared" si="3"/>
        <v>5.8178750000000001E-3</v>
      </c>
      <c r="I41" s="7">
        <f t="shared" si="4"/>
        <v>25.640315856481497</v>
      </c>
      <c r="J41" s="8">
        <f t="shared" si="5"/>
        <v>440.37847222222223</v>
      </c>
      <c r="K41" s="7">
        <f t="shared" si="6"/>
        <v>-414.73815636574074</v>
      </c>
      <c r="L41" s="4">
        <f>IF(A41&gt;'Yield Curve'!A655,L40,(1+VLOOKUP(A41,'Yield Curve'!A34:B656,2,FALSE))^(1/12)-1)</f>
        <v>7.9741404289037643E-3</v>
      </c>
      <c r="M41" s="5">
        <f t="shared" si="7"/>
        <v>-319.11271474064597</v>
      </c>
    </row>
    <row r="42" spans="1:13" x14ac:dyDescent="0.25">
      <c r="A42" s="4">
        <v>34</v>
      </c>
      <c r="B42" s="4">
        <f t="shared" si="0"/>
        <v>47</v>
      </c>
      <c r="C42" s="4">
        <f t="shared" si="1"/>
        <v>49</v>
      </c>
      <c r="D42" s="4">
        <f>IF(B42&gt;'Mortality Table'!$A$118,D41,VLOOKUP(B42,'Mortality Table'!$A$2:$B$118,2,FALSE))</f>
        <v>5.3E-3</v>
      </c>
      <c r="E42" s="4">
        <f>IF(INT((C42-1)/12)+1&gt;'Lapse Table'!$A$11,E41,VLOOKUP(INT((C42-1)/12)+1,'Lapse Table'!$A$2:$B$11,2,FALSE))/12</f>
        <v>5.0000000000000001E-3</v>
      </c>
      <c r="F42" s="5">
        <f t="shared" si="8"/>
        <v>0.76378216319444481</v>
      </c>
      <c r="G42" s="6">
        <f t="shared" si="2"/>
        <v>4.4056249999999998E-4</v>
      </c>
      <c r="H42" s="6">
        <f t="shared" si="3"/>
        <v>4.9867499999999999E-3</v>
      </c>
      <c r="I42" s="7">
        <f t="shared" si="4"/>
        <v>25.459405439814827</v>
      </c>
      <c r="J42" s="8">
        <f t="shared" si="5"/>
        <v>440.5625</v>
      </c>
      <c r="K42" s="7">
        <f t="shared" si="6"/>
        <v>-415.10309456018518</v>
      </c>
      <c r="L42" s="4">
        <f>IF(A42&gt;'Yield Curve'!A656,L41,(1+VLOOKUP(A42,'Yield Curve'!A35:B657,2,FALSE))^(1/12)-1)</f>
        <v>7.9741404289037643E-3</v>
      </c>
      <c r="M42" s="5">
        <f t="shared" si="7"/>
        <v>-316.86676966386653</v>
      </c>
    </row>
    <row r="43" spans="1:13" x14ac:dyDescent="0.25">
      <c r="A43" s="4">
        <v>35</v>
      </c>
      <c r="B43" s="4">
        <f t="shared" si="0"/>
        <v>47</v>
      </c>
      <c r="C43" s="4">
        <f t="shared" si="1"/>
        <v>50</v>
      </c>
      <c r="D43" s="4">
        <f>IF(B43&gt;'Mortality Table'!$A$118,D42,VLOOKUP(B43,'Mortality Table'!$A$2:$B$118,2,FALSE))</f>
        <v>5.3E-3</v>
      </c>
      <c r="E43" s="4">
        <f>IF(INT((C43-1)/12)+1&gt;'Lapse Table'!$A$11,E42,VLOOKUP(INT((C43-1)/12)+1,'Lapse Table'!$A$2:$B$11,2,FALSE))/12</f>
        <v>5.0000000000000001E-3</v>
      </c>
      <c r="F43" s="5">
        <f t="shared" si="8"/>
        <v>0.75835485069444475</v>
      </c>
      <c r="G43" s="6">
        <f t="shared" si="2"/>
        <v>4.4056249999999998E-4</v>
      </c>
      <c r="H43" s="6">
        <f t="shared" si="3"/>
        <v>4.9867499999999999E-3</v>
      </c>
      <c r="I43" s="7">
        <f t="shared" si="4"/>
        <v>25.278495023148157</v>
      </c>
      <c r="J43" s="8">
        <f t="shared" si="5"/>
        <v>440.5625</v>
      </c>
      <c r="K43" s="7">
        <f t="shared" si="6"/>
        <v>-415.28400497685186</v>
      </c>
      <c r="L43" s="4">
        <f>IF(A43&gt;'Yield Curve'!A657,L42,(1+VLOOKUP(A43,'Yield Curve'!A36:B658,2,FALSE))^(1/12)-1)</f>
        <v>7.9741404289037643E-3</v>
      </c>
      <c r="M43" s="5">
        <f t="shared" si="7"/>
        <v>-314.49702325350449</v>
      </c>
    </row>
    <row r="44" spans="1:13" x14ac:dyDescent="0.25">
      <c r="A44" s="4">
        <v>36</v>
      </c>
      <c r="B44" s="4">
        <f t="shared" si="0"/>
        <v>48</v>
      </c>
      <c r="C44" s="4">
        <f t="shared" si="1"/>
        <v>51</v>
      </c>
      <c r="D44" s="4">
        <f>IF(B44&gt;'Mortality Table'!$A$118,D43,VLOOKUP(B44,'Mortality Table'!$A$2:$B$118,2,FALSE))</f>
        <v>5.6699999999999997E-3</v>
      </c>
      <c r="E44" s="4">
        <f>IF(INT((C44-1)/12)+1&gt;'Lapse Table'!$A$11,E43,VLOOKUP(INT((C44-1)/12)+1,'Lapse Table'!$A$2:$B$11,2,FALSE))/12</f>
        <v>5.0000000000000001E-3</v>
      </c>
      <c r="F44" s="5">
        <f t="shared" si="8"/>
        <v>0.7528977069444448</v>
      </c>
      <c r="G44" s="6">
        <f t="shared" si="2"/>
        <v>4.7131875000000001E-4</v>
      </c>
      <c r="H44" s="6">
        <f t="shared" si="3"/>
        <v>4.9858250000000002E-3</v>
      </c>
      <c r="I44" s="7">
        <f t="shared" si="4"/>
        <v>25.096590231481496</v>
      </c>
      <c r="J44" s="8">
        <f t="shared" si="5"/>
        <v>471.31875000000002</v>
      </c>
      <c r="K44" s="7">
        <f t="shared" si="6"/>
        <v>-446.22215976851851</v>
      </c>
      <c r="L44" s="4">
        <f>IF(A44&gt;'Yield Curve'!A658,L43,(1+VLOOKUP(A44,'Yield Curve'!A37:B659,2,FALSE))^(1/12)-1)</f>
        <v>7.9741404289037643E-3</v>
      </c>
      <c r="M44" s="5">
        <f t="shared" si="7"/>
        <v>-335.25331312435617</v>
      </c>
    </row>
    <row r="45" spans="1:13" x14ac:dyDescent="0.25">
      <c r="A45" s="4">
        <v>37</v>
      </c>
      <c r="B45" s="4">
        <f t="shared" si="0"/>
        <v>48</v>
      </c>
      <c r="C45" s="4">
        <f t="shared" si="1"/>
        <v>52</v>
      </c>
      <c r="D45" s="4">
        <f>IF(B45&gt;'Mortality Table'!$A$118,D44,VLOOKUP(B45,'Mortality Table'!$A$2:$B$118,2,FALSE))</f>
        <v>5.6699999999999997E-3</v>
      </c>
      <c r="E45" s="4">
        <f>IF(INT((C45-1)/12)+1&gt;'Lapse Table'!$A$11,E44,VLOOKUP(INT((C45-1)/12)+1,'Lapse Table'!$A$2:$B$11,2,FALSE))/12</f>
        <v>5.0000000000000001E-3</v>
      </c>
      <c r="F45" s="5">
        <f t="shared" si="8"/>
        <v>0.74744056319444485</v>
      </c>
      <c r="G45" s="6">
        <f t="shared" si="2"/>
        <v>4.7131875000000001E-4</v>
      </c>
      <c r="H45" s="6">
        <f t="shared" si="3"/>
        <v>4.9858250000000002E-3</v>
      </c>
      <c r="I45" s="7">
        <f t="shared" si="4"/>
        <v>24.914685439814829</v>
      </c>
      <c r="J45" s="8">
        <f t="shared" si="5"/>
        <v>471.31875000000002</v>
      </c>
      <c r="K45" s="7">
        <f t="shared" si="6"/>
        <v>-446.40406456018519</v>
      </c>
      <c r="L45" s="4">
        <f>IF(A45&gt;'Yield Curve'!A659,L44,(1+VLOOKUP(A45,'Yield Curve'!A38:B660,2,FALSE))^(1/12)-1)</f>
        <v>7.9741404289037643E-3</v>
      </c>
      <c r="M45" s="5">
        <f t="shared" si="7"/>
        <v>-332.73669178058299</v>
      </c>
    </row>
    <row r="46" spans="1:13" x14ac:dyDescent="0.25">
      <c r="A46" s="4">
        <v>38</v>
      </c>
      <c r="B46" s="4">
        <f t="shared" si="0"/>
        <v>48</v>
      </c>
      <c r="C46" s="4">
        <f t="shared" si="1"/>
        <v>53</v>
      </c>
      <c r="D46" s="4">
        <f>IF(B46&gt;'Mortality Table'!$A$118,D45,VLOOKUP(B46,'Mortality Table'!$A$2:$B$118,2,FALSE))</f>
        <v>5.6699999999999997E-3</v>
      </c>
      <c r="E46" s="4">
        <f>IF(INT((C46-1)/12)+1&gt;'Lapse Table'!$A$11,E45,VLOOKUP(INT((C46-1)/12)+1,'Lapse Table'!$A$2:$B$11,2,FALSE))/12</f>
        <v>5.0000000000000001E-3</v>
      </c>
      <c r="F46" s="5">
        <f t="shared" si="8"/>
        <v>0.7419834194444449</v>
      </c>
      <c r="G46" s="6">
        <f t="shared" si="2"/>
        <v>4.7131875000000001E-4</v>
      </c>
      <c r="H46" s="6">
        <f t="shared" si="3"/>
        <v>4.9858250000000002E-3</v>
      </c>
      <c r="I46" s="7">
        <f t="shared" si="4"/>
        <v>24.732780648148164</v>
      </c>
      <c r="J46" s="8">
        <f t="shared" si="5"/>
        <v>471.31875000000002</v>
      </c>
      <c r="K46" s="7">
        <f t="shared" si="6"/>
        <v>-446.58596935185187</v>
      </c>
      <c r="L46" s="4">
        <f>IF(A46&gt;'Yield Curve'!A660,L45,(1+VLOOKUP(A46,'Yield Curve'!A39:B661,2,FALSE))^(1/12)-1)</f>
        <v>7.9741404289037643E-3</v>
      </c>
      <c r="M46" s="5">
        <f t="shared" si="7"/>
        <v>-330.23890693751292</v>
      </c>
    </row>
    <row r="47" spans="1:13" x14ac:dyDescent="0.25">
      <c r="A47" s="4">
        <v>39</v>
      </c>
      <c r="B47" s="4">
        <f t="shared" si="0"/>
        <v>48</v>
      </c>
      <c r="C47" s="4">
        <f t="shared" si="1"/>
        <v>54</v>
      </c>
      <c r="D47" s="4">
        <f>IF(B47&gt;'Mortality Table'!$A$118,D46,VLOOKUP(B47,'Mortality Table'!$A$2:$B$118,2,FALSE))</f>
        <v>5.6699999999999997E-3</v>
      </c>
      <c r="E47" s="4">
        <f>IF(INT((C47-1)/12)+1&gt;'Lapse Table'!$A$11,E46,VLOOKUP(INT((C47-1)/12)+1,'Lapse Table'!$A$2:$B$11,2,FALSE))/12</f>
        <v>5.0000000000000001E-3</v>
      </c>
      <c r="F47" s="5">
        <f t="shared" si="8"/>
        <v>0.73652627569444495</v>
      </c>
      <c r="G47" s="6">
        <f t="shared" si="2"/>
        <v>4.7131875000000001E-4</v>
      </c>
      <c r="H47" s="6">
        <f t="shared" si="3"/>
        <v>4.9858250000000002E-3</v>
      </c>
      <c r="I47" s="7">
        <f t="shared" si="4"/>
        <v>24.550875856481497</v>
      </c>
      <c r="J47" s="8">
        <f t="shared" si="5"/>
        <v>471.31875000000002</v>
      </c>
      <c r="K47" s="7">
        <f t="shared" si="6"/>
        <v>-446.7678741435185</v>
      </c>
      <c r="L47" s="4">
        <f>IF(A47&gt;'Yield Curve'!A661,L46,(1+VLOOKUP(A47,'Yield Curve'!A40:B662,2,FALSE))^(1/12)-1)</f>
        <v>7.9741404289037643E-3</v>
      </c>
      <c r="M47" s="5">
        <f t="shared" si="7"/>
        <v>-327.75981806418446</v>
      </c>
    </row>
    <row r="48" spans="1:13" x14ac:dyDescent="0.25">
      <c r="A48" s="4">
        <v>40</v>
      </c>
      <c r="B48" s="4">
        <f t="shared" si="0"/>
        <v>48</v>
      </c>
      <c r="C48" s="4">
        <f t="shared" si="1"/>
        <v>55</v>
      </c>
      <c r="D48" s="4">
        <f>IF(B48&gt;'Mortality Table'!$A$118,D47,VLOOKUP(B48,'Mortality Table'!$A$2:$B$118,2,FALSE))</f>
        <v>5.6699999999999997E-3</v>
      </c>
      <c r="E48" s="4">
        <f>IF(INT((C48-1)/12)+1&gt;'Lapse Table'!$A$11,E47,VLOOKUP(INT((C48-1)/12)+1,'Lapse Table'!$A$2:$B$11,2,FALSE))/12</f>
        <v>5.0000000000000001E-3</v>
      </c>
      <c r="F48" s="5">
        <f t="shared" si="8"/>
        <v>0.73106913194444501</v>
      </c>
      <c r="G48" s="6">
        <f t="shared" si="2"/>
        <v>4.7131875000000001E-4</v>
      </c>
      <c r="H48" s="6">
        <f t="shared" si="3"/>
        <v>4.9858250000000002E-3</v>
      </c>
      <c r="I48" s="7">
        <f t="shared" si="4"/>
        <v>24.368971064814833</v>
      </c>
      <c r="J48" s="8">
        <f t="shared" si="5"/>
        <v>471.31875000000002</v>
      </c>
      <c r="K48" s="7">
        <f t="shared" si="6"/>
        <v>-446.94977893518518</v>
      </c>
      <c r="L48" s="4">
        <f>IF(A48&gt;'Yield Curve'!A662,L47,(1+VLOOKUP(A48,'Yield Curve'!A41:B663,2,FALSE))^(1/12)-1)</f>
        <v>7.9741404289037643E-3</v>
      </c>
      <c r="M48" s="5">
        <f t="shared" si="7"/>
        <v>-325.29928567425384</v>
      </c>
    </row>
    <row r="49" spans="1:13" x14ac:dyDescent="0.25">
      <c r="A49" s="4">
        <v>41</v>
      </c>
      <c r="B49" s="4">
        <f t="shared" si="0"/>
        <v>48</v>
      </c>
      <c r="C49" s="4">
        <f t="shared" si="1"/>
        <v>56</v>
      </c>
      <c r="D49" s="4">
        <f>IF(B49&gt;'Mortality Table'!$A$118,D48,VLOOKUP(B49,'Mortality Table'!$A$2:$B$118,2,FALSE))</f>
        <v>5.6699999999999997E-3</v>
      </c>
      <c r="E49" s="4">
        <f>IF(INT((C49-1)/12)+1&gt;'Lapse Table'!$A$11,E48,VLOOKUP(INT((C49-1)/12)+1,'Lapse Table'!$A$2:$B$11,2,FALSE))/12</f>
        <v>5.0000000000000001E-3</v>
      </c>
      <c r="F49" s="5">
        <f t="shared" si="8"/>
        <v>0.72561198819444506</v>
      </c>
      <c r="G49" s="6">
        <f t="shared" si="2"/>
        <v>4.7131875000000001E-4</v>
      </c>
      <c r="H49" s="6">
        <f t="shared" si="3"/>
        <v>4.9858250000000002E-3</v>
      </c>
      <c r="I49" s="7">
        <f t="shared" si="4"/>
        <v>24.187066273148165</v>
      </c>
      <c r="J49" s="8">
        <f t="shared" si="5"/>
        <v>471.31875000000002</v>
      </c>
      <c r="K49" s="7">
        <f t="shared" si="6"/>
        <v>-447.13168372685186</v>
      </c>
      <c r="L49" s="4">
        <f>IF(A49&gt;'Yield Curve'!A663,L48,(1+VLOOKUP(A49,'Yield Curve'!A42:B664,2,FALSE))^(1/12)-1)</f>
        <v>7.9741404289037643E-3</v>
      </c>
      <c r="M49" s="5">
        <f t="shared" si="7"/>
        <v>-322.85717131826254</v>
      </c>
    </row>
    <row r="50" spans="1:13" x14ac:dyDescent="0.25">
      <c r="A50" s="4">
        <v>42</v>
      </c>
      <c r="B50" s="4">
        <f t="shared" si="0"/>
        <v>48</v>
      </c>
      <c r="C50" s="4">
        <f t="shared" si="1"/>
        <v>57</v>
      </c>
      <c r="D50" s="4">
        <f>IF(B50&gt;'Mortality Table'!$A$118,D49,VLOOKUP(B50,'Mortality Table'!$A$2:$B$118,2,FALSE))</f>
        <v>5.6699999999999997E-3</v>
      </c>
      <c r="E50" s="4">
        <f>IF(INT((C50-1)/12)+1&gt;'Lapse Table'!$A$11,E49,VLOOKUP(INT((C50-1)/12)+1,'Lapse Table'!$A$2:$B$11,2,FALSE))/12</f>
        <v>5.0000000000000001E-3</v>
      </c>
      <c r="F50" s="5">
        <f t="shared" si="8"/>
        <v>0.72015484444444511</v>
      </c>
      <c r="G50" s="6">
        <f t="shared" si="2"/>
        <v>4.7131875000000001E-4</v>
      </c>
      <c r="H50" s="6">
        <f t="shared" si="3"/>
        <v>4.9858250000000002E-3</v>
      </c>
      <c r="I50" s="7">
        <f t="shared" si="4"/>
        <v>24.005161481481505</v>
      </c>
      <c r="J50" s="8">
        <f t="shared" si="5"/>
        <v>471.31875000000002</v>
      </c>
      <c r="K50" s="7">
        <f t="shared" si="6"/>
        <v>-447.31358851851854</v>
      </c>
      <c r="L50" s="4">
        <f>IF(A50&gt;'Yield Curve'!A664,L49,(1+VLOOKUP(A50,'Yield Curve'!A43:B665,2,FALSE))^(1/12)-1)</f>
        <v>7.9741404289037643E-3</v>
      </c>
      <c r="M50" s="5">
        <f t="shared" si="7"/>
        <v>-320.43333757596071</v>
      </c>
    </row>
    <row r="51" spans="1:13" x14ac:dyDescent="0.25">
      <c r="A51" s="4">
        <v>43</v>
      </c>
      <c r="B51" s="4">
        <f t="shared" si="0"/>
        <v>48</v>
      </c>
      <c r="C51" s="4">
        <f t="shared" si="1"/>
        <v>58</v>
      </c>
      <c r="D51" s="4">
        <f>IF(B51&gt;'Mortality Table'!$A$118,D50,VLOOKUP(B51,'Mortality Table'!$A$2:$B$118,2,FALSE))</f>
        <v>5.6699999999999997E-3</v>
      </c>
      <c r="E51" s="4">
        <f>IF(INT((C51-1)/12)+1&gt;'Lapse Table'!$A$11,E50,VLOOKUP(INT((C51-1)/12)+1,'Lapse Table'!$A$2:$B$11,2,FALSE))/12</f>
        <v>5.0000000000000001E-3</v>
      </c>
      <c r="F51" s="5">
        <f t="shared" si="8"/>
        <v>0.71469770069444516</v>
      </c>
      <c r="G51" s="6">
        <f t="shared" si="2"/>
        <v>4.7131875000000001E-4</v>
      </c>
      <c r="H51" s="6">
        <f t="shared" si="3"/>
        <v>4.9858250000000002E-3</v>
      </c>
      <c r="I51" s="7">
        <f t="shared" si="4"/>
        <v>23.823256689814841</v>
      </c>
      <c r="J51" s="8">
        <f t="shared" si="5"/>
        <v>471.31875000000002</v>
      </c>
      <c r="K51" s="7">
        <f t="shared" si="6"/>
        <v>-447.49549331018517</v>
      </c>
      <c r="L51" s="4">
        <f>IF(A51&gt;'Yield Curve'!A665,L50,(1+VLOOKUP(A51,'Yield Curve'!A44:B666,2,FALSE))^(1/12)-1)</f>
        <v>7.9741404289037643E-3</v>
      </c>
      <c r="M51" s="5">
        <f t="shared" si="7"/>
        <v>-318.02764804868792</v>
      </c>
    </row>
    <row r="52" spans="1:13" x14ac:dyDescent="0.25">
      <c r="A52" s="4">
        <v>44</v>
      </c>
      <c r="B52" s="4">
        <f t="shared" si="0"/>
        <v>48</v>
      </c>
      <c r="C52" s="4">
        <f t="shared" si="1"/>
        <v>59</v>
      </c>
      <c r="D52" s="4">
        <f>IF(B52&gt;'Mortality Table'!$A$118,D51,VLOOKUP(B52,'Mortality Table'!$A$2:$B$118,2,FALSE))</f>
        <v>5.6699999999999997E-3</v>
      </c>
      <c r="E52" s="4">
        <f>IF(INT((C52-1)/12)+1&gt;'Lapse Table'!$A$11,E51,VLOOKUP(INT((C52-1)/12)+1,'Lapse Table'!$A$2:$B$11,2,FALSE))/12</f>
        <v>5.0000000000000001E-3</v>
      </c>
      <c r="F52" s="5">
        <f t="shared" si="8"/>
        <v>0.70924055694444521</v>
      </c>
      <c r="G52" s="6">
        <f t="shared" si="2"/>
        <v>4.7131875000000001E-4</v>
      </c>
      <c r="H52" s="6">
        <f t="shared" si="3"/>
        <v>4.9858250000000002E-3</v>
      </c>
      <c r="I52" s="7">
        <f t="shared" si="4"/>
        <v>23.641351898148173</v>
      </c>
      <c r="J52" s="8">
        <f t="shared" si="5"/>
        <v>471.31875000000002</v>
      </c>
      <c r="K52" s="7">
        <f t="shared" si="6"/>
        <v>-447.67739810185185</v>
      </c>
      <c r="L52" s="4">
        <f>IF(A52&gt;'Yield Curve'!A666,L51,(1+VLOOKUP(A52,'Yield Curve'!A45:B667,2,FALSE))^(1/12)-1)</f>
        <v>7.9741404289037643E-3</v>
      </c>
      <c r="M52" s="5">
        <f t="shared" si="7"/>
        <v>-315.63996735181001</v>
      </c>
    </row>
    <row r="53" spans="1:13" x14ac:dyDescent="0.25">
      <c r="A53" s="4">
        <v>45</v>
      </c>
      <c r="B53" s="4">
        <f t="shared" si="0"/>
        <v>48</v>
      </c>
      <c r="C53" s="4">
        <f t="shared" si="1"/>
        <v>60</v>
      </c>
      <c r="D53" s="4">
        <f>IF(B53&gt;'Mortality Table'!$A$118,D52,VLOOKUP(B53,'Mortality Table'!$A$2:$B$118,2,FALSE))</f>
        <v>5.6699999999999997E-3</v>
      </c>
      <c r="E53" s="4">
        <f>IF(INT((C53-1)/12)+1&gt;'Lapse Table'!$A$11,E52,VLOOKUP(INT((C53-1)/12)+1,'Lapse Table'!$A$2:$B$11,2,FALSE))/12</f>
        <v>5.0000000000000001E-3</v>
      </c>
      <c r="F53" s="5">
        <f t="shared" si="8"/>
        <v>0.70378341319444526</v>
      </c>
      <c r="G53" s="6">
        <f t="shared" si="2"/>
        <v>4.7131875000000001E-4</v>
      </c>
      <c r="H53" s="6">
        <f t="shared" si="3"/>
        <v>4.9858250000000002E-3</v>
      </c>
      <c r="I53" s="7">
        <f t="shared" si="4"/>
        <v>23.459447106481509</v>
      </c>
      <c r="J53" s="8">
        <f t="shared" si="5"/>
        <v>471.31875000000002</v>
      </c>
      <c r="K53" s="7">
        <f t="shared" si="6"/>
        <v>-447.85930289351853</v>
      </c>
      <c r="L53" s="4">
        <f>IF(A53&gt;'Yield Curve'!A667,L52,(1+VLOOKUP(A53,'Yield Curve'!A46:B668,2,FALSE))^(1/12)-1)</f>
        <v>7.9741404289037643E-3</v>
      </c>
      <c r="M53" s="5">
        <f t="shared" si="7"/>
        <v>-313.27016110721166</v>
      </c>
    </row>
    <row r="54" spans="1:13" x14ac:dyDescent="0.25">
      <c r="A54" s="4">
        <v>46</v>
      </c>
      <c r="B54" s="4">
        <f t="shared" si="0"/>
        <v>48</v>
      </c>
      <c r="C54" s="4">
        <f t="shared" si="1"/>
        <v>61</v>
      </c>
      <c r="D54" s="4">
        <f>IF(B54&gt;'Mortality Table'!$A$118,D53,VLOOKUP(B54,'Mortality Table'!$A$2:$B$118,2,FALSE))</f>
        <v>5.6699999999999997E-3</v>
      </c>
      <c r="E54" s="4">
        <f>IF(INT((C54-1)/12)+1&gt;'Lapse Table'!$A$11,E53,VLOOKUP(INT((C54-1)/12)+1,'Lapse Table'!$A$2:$B$11,2,FALSE))/12</f>
        <v>4.1666666666666666E-3</v>
      </c>
      <c r="F54" s="5">
        <f t="shared" si="8"/>
        <v>0.69915704340277851</v>
      </c>
      <c r="G54" s="6">
        <f t="shared" si="2"/>
        <v>4.7151562499999998E-4</v>
      </c>
      <c r="H54" s="6">
        <f t="shared" si="3"/>
        <v>4.1548541666666661E-3</v>
      </c>
      <c r="I54" s="7">
        <f t="shared" si="4"/>
        <v>23.305234780092619</v>
      </c>
      <c r="J54" s="8">
        <f t="shared" si="5"/>
        <v>471.515625</v>
      </c>
      <c r="K54" s="7">
        <f t="shared" si="6"/>
        <v>-448.21039021990737</v>
      </c>
      <c r="L54" s="4">
        <f>IF(A54&gt;'Yield Curve'!A668,L53,(1+VLOOKUP(A54,'Yield Curve'!A47:B669,2,FALSE))^(1/12)-1)</f>
        <v>7.9741404289037643E-3</v>
      </c>
      <c r="M54" s="5">
        <f t="shared" si="7"/>
        <v>-311.03550011800172</v>
      </c>
    </row>
    <row r="55" spans="1:13" x14ac:dyDescent="0.25">
      <c r="A55" s="4">
        <v>47</v>
      </c>
      <c r="B55" s="4">
        <f t="shared" si="0"/>
        <v>48</v>
      </c>
      <c r="C55" s="4">
        <f t="shared" si="1"/>
        <v>62</v>
      </c>
      <c r="D55" s="4">
        <f>IF(B55&gt;'Mortality Table'!$A$118,D54,VLOOKUP(B55,'Mortality Table'!$A$2:$B$118,2,FALSE))</f>
        <v>5.6699999999999997E-3</v>
      </c>
      <c r="E55" s="4">
        <f>IF(INT((C55-1)/12)+1&gt;'Lapse Table'!$A$11,E54,VLOOKUP(INT((C55-1)/12)+1,'Lapse Table'!$A$2:$B$11,2,FALSE))/12</f>
        <v>4.1666666666666666E-3</v>
      </c>
      <c r="F55" s="5">
        <f t="shared" si="8"/>
        <v>0.69453067361111187</v>
      </c>
      <c r="G55" s="6">
        <f t="shared" si="2"/>
        <v>4.7151562499999998E-4</v>
      </c>
      <c r="H55" s="6">
        <f t="shared" si="3"/>
        <v>4.1548541666666661E-3</v>
      </c>
      <c r="I55" s="7">
        <f t="shared" si="4"/>
        <v>23.151022453703728</v>
      </c>
      <c r="J55" s="8">
        <f t="shared" si="5"/>
        <v>471.515625</v>
      </c>
      <c r="K55" s="7">
        <f t="shared" si="6"/>
        <v>-448.36460254629628</v>
      </c>
      <c r="L55" s="4">
        <f>IF(A55&gt;'Yield Curve'!A669,L54,(1+VLOOKUP(A55,'Yield Curve'!A48:B670,2,FALSE))^(1/12)-1)</f>
        <v>7.9741404289037643E-3</v>
      </c>
      <c r="M55" s="5">
        <f t="shared" si="7"/>
        <v>-308.68104968946761</v>
      </c>
    </row>
    <row r="56" spans="1:13" x14ac:dyDescent="0.25">
      <c r="A56" s="4">
        <v>48</v>
      </c>
      <c r="B56" s="4">
        <f t="shared" si="0"/>
        <v>49</v>
      </c>
      <c r="C56" s="4">
        <f t="shared" si="1"/>
        <v>63</v>
      </c>
      <c r="D56" s="4">
        <f>IF(B56&gt;'Mortality Table'!$A$118,D55,VLOOKUP(B56,'Mortality Table'!$A$2:$B$118,2,FALSE))</f>
        <v>6.13E-3</v>
      </c>
      <c r="E56" s="4">
        <f>IF(INT((C56-1)/12)+1&gt;'Lapse Table'!$A$11,E55,VLOOKUP(INT((C56-1)/12)+1,'Lapse Table'!$A$2:$B$11,2,FALSE))/12</f>
        <v>4.1666666666666666E-3</v>
      </c>
      <c r="F56" s="5">
        <f t="shared" si="8"/>
        <v>0.68986700868055628</v>
      </c>
      <c r="G56" s="6">
        <f t="shared" si="2"/>
        <v>5.0976909722222222E-4</v>
      </c>
      <c r="H56" s="6">
        <f t="shared" si="3"/>
        <v>4.1538958333333332E-3</v>
      </c>
      <c r="I56" s="7">
        <f t="shared" si="4"/>
        <v>22.995566956018546</v>
      </c>
      <c r="J56" s="8">
        <f t="shared" si="5"/>
        <v>509.76909722222223</v>
      </c>
      <c r="K56" s="7">
        <f t="shared" si="6"/>
        <v>-486.77353026620369</v>
      </c>
      <c r="L56" s="4">
        <f>IF(A56&gt;'Yield Curve'!A670,L55,(1+VLOOKUP(A56,'Yield Curve'!A49:B671,2,FALSE))^(1/12)-1)</f>
        <v>7.9741404289037643E-3</v>
      </c>
      <c r="M56" s="5">
        <f t="shared" si="7"/>
        <v>-332.47287088737312</v>
      </c>
    </row>
    <row r="57" spans="1:13" x14ac:dyDescent="0.25">
      <c r="A57" s="4">
        <v>49</v>
      </c>
      <c r="B57" s="4">
        <f t="shared" si="0"/>
        <v>49</v>
      </c>
      <c r="C57" s="4">
        <f t="shared" si="1"/>
        <v>64</v>
      </c>
      <c r="D57" s="4">
        <f>IF(B57&gt;'Mortality Table'!$A$118,D56,VLOOKUP(B57,'Mortality Table'!$A$2:$B$118,2,FALSE))</f>
        <v>6.13E-3</v>
      </c>
      <c r="E57" s="4">
        <f>IF(INT((C57-1)/12)+1&gt;'Lapse Table'!$A$11,E56,VLOOKUP(INT((C57-1)/12)+1,'Lapse Table'!$A$2:$B$11,2,FALSE))/12</f>
        <v>4.1666666666666666E-3</v>
      </c>
      <c r="F57" s="5">
        <f t="shared" si="8"/>
        <v>0.68520334375000069</v>
      </c>
      <c r="G57" s="6">
        <f t="shared" si="2"/>
        <v>5.0976909722222222E-4</v>
      </c>
      <c r="H57" s="6">
        <f t="shared" si="3"/>
        <v>4.1538958333333332E-3</v>
      </c>
      <c r="I57" s="7">
        <f t="shared" si="4"/>
        <v>22.840111458333357</v>
      </c>
      <c r="J57" s="8">
        <f t="shared" si="5"/>
        <v>509.76909722222223</v>
      </c>
      <c r="K57" s="7">
        <f t="shared" si="6"/>
        <v>-486.92898576388887</v>
      </c>
      <c r="L57" s="4">
        <f>IF(A57&gt;'Yield Curve'!A671,L56,(1+VLOOKUP(A57,'Yield Curve'!A50:B672,2,FALSE))^(1/12)-1)</f>
        <v>7.9741404289037643E-3</v>
      </c>
      <c r="M57" s="5">
        <f t="shared" si="7"/>
        <v>-329.94799741835305</v>
      </c>
    </row>
    <row r="58" spans="1:13" x14ac:dyDescent="0.25">
      <c r="A58" s="4">
        <v>50</v>
      </c>
      <c r="B58" s="4">
        <f t="shared" si="0"/>
        <v>49</v>
      </c>
      <c r="C58" s="4">
        <f t="shared" si="1"/>
        <v>65</v>
      </c>
      <c r="D58" s="4">
        <f>IF(B58&gt;'Mortality Table'!$A$118,D57,VLOOKUP(B58,'Mortality Table'!$A$2:$B$118,2,FALSE))</f>
        <v>6.13E-3</v>
      </c>
      <c r="E58" s="4">
        <f>IF(INT((C58-1)/12)+1&gt;'Lapse Table'!$A$11,E57,VLOOKUP(INT((C58-1)/12)+1,'Lapse Table'!$A$2:$B$11,2,FALSE))/12</f>
        <v>4.1666666666666666E-3</v>
      </c>
      <c r="F58" s="5">
        <f t="shared" si="8"/>
        <v>0.6805396788194451</v>
      </c>
      <c r="G58" s="6">
        <f t="shared" si="2"/>
        <v>5.0976909722222222E-4</v>
      </c>
      <c r="H58" s="6">
        <f t="shared" si="3"/>
        <v>4.1538958333333332E-3</v>
      </c>
      <c r="I58" s="7">
        <f t="shared" si="4"/>
        <v>22.684655960648172</v>
      </c>
      <c r="J58" s="8">
        <f t="shared" si="5"/>
        <v>509.76909722222223</v>
      </c>
      <c r="K58" s="7">
        <f t="shared" si="6"/>
        <v>-487.08444126157406</v>
      </c>
      <c r="L58" s="4">
        <f>IF(A58&gt;'Yield Curve'!A672,L57,(1+VLOOKUP(A58,'Yield Curve'!A51:B673,2,FALSE))^(1/12)-1)</f>
        <v>7.9741404289037643E-3</v>
      </c>
      <c r="M58" s="5">
        <f t="shared" si="7"/>
        <v>-327.44226502956025</v>
      </c>
    </row>
    <row r="59" spans="1:13" x14ac:dyDescent="0.25">
      <c r="A59" s="4">
        <v>51</v>
      </c>
      <c r="B59" s="4">
        <f t="shared" si="0"/>
        <v>49</v>
      </c>
      <c r="C59" s="4">
        <f t="shared" si="1"/>
        <v>66</v>
      </c>
      <c r="D59" s="4">
        <f>IF(B59&gt;'Mortality Table'!$A$118,D58,VLOOKUP(B59,'Mortality Table'!$A$2:$B$118,2,FALSE))</f>
        <v>6.13E-3</v>
      </c>
      <c r="E59" s="4">
        <f>IF(INT((C59-1)/12)+1&gt;'Lapse Table'!$A$11,E58,VLOOKUP(INT((C59-1)/12)+1,'Lapse Table'!$A$2:$B$11,2,FALSE))/12</f>
        <v>4.1666666666666666E-3</v>
      </c>
      <c r="F59" s="5">
        <f t="shared" si="8"/>
        <v>0.67587601388888952</v>
      </c>
      <c r="G59" s="6">
        <f t="shared" si="2"/>
        <v>5.0976909722222222E-4</v>
      </c>
      <c r="H59" s="6">
        <f t="shared" si="3"/>
        <v>4.1538958333333332E-3</v>
      </c>
      <c r="I59" s="7">
        <f t="shared" si="4"/>
        <v>22.529200462962987</v>
      </c>
      <c r="J59" s="8">
        <f t="shared" si="5"/>
        <v>509.76909722222223</v>
      </c>
      <c r="K59" s="7">
        <f t="shared" si="6"/>
        <v>-487.23989675925924</v>
      </c>
      <c r="L59" s="4">
        <f>IF(A59&gt;'Yield Curve'!A673,L58,(1+VLOOKUP(A59,'Yield Curve'!A52:B674,2,FALSE))^(1/12)-1)</f>
        <v>7.9741404289037643E-3</v>
      </c>
      <c r="M59" s="5">
        <f t="shared" si="7"/>
        <v>-324.95552888739934</v>
      </c>
    </row>
    <row r="60" spans="1:13" x14ac:dyDescent="0.25">
      <c r="A60" s="4">
        <v>52</v>
      </c>
      <c r="B60" s="4">
        <f t="shared" si="0"/>
        <v>49</v>
      </c>
      <c r="C60" s="4">
        <f t="shared" si="1"/>
        <v>67</v>
      </c>
      <c r="D60" s="4">
        <f>IF(B60&gt;'Mortality Table'!$A$118,D59,VLOOKUP(B60,'Mortality Table'!$A$2:$B$118,2,FALSE))</f>
        <v>6.13E-3</v>
      </c>
      <c r="E60" s="4">
        <f>IF(INT((C60-1)/12)+1&gt;'Lapse Table'!$A$11,E59,VLOOKUP(INT((C60-1)/12)+1,'Lapse Table'!$A$2:$B$11,2,FALSE))/12</f>
        <v>4.1666666666666666E-3</v>
      </c>
      <c r="F60" s="5">
        <f t="shared" si="8"/>
        <v>0.67121234895833393</v>
      </c>
      <c r="G60" s="6">
        <f t="shared" si="2"/>
        <v>5.0976909722222222E-4</v>
      </c>
      <c r="H60" s="6">
        <f t="shared" si="3"/>
        <v>4.1538958333333332E-3</v>
      </c>
      <c r="I60" s="7">
        <f t="shared" si="4"/>
        <v>22.373744965277798</v>
      </c>
      <c r="J60" s="8">
        <f t="shared" si="5"/>
        <v>509.76909722222223</v>
      </c>
      <c r="K60" s="7">
        <f t="shared" si="6"/>
        <v>-487.39535225694442</v>
      </c>
      <c r="L60" s="4">
        <f>IF(A60&gt;'Yield Curve'!A674,L59,(1+VLOOKUP(A60,'Yield Curve'!A53:B675,2,FALSE))^(1/12)-1)</f>
        <v>7.9741404289037643E-3</v>
      </c>
      <c r="M60" s="5">
        <f t="shared" si="7"/>
        <v>-322.4876452519074</v>
      </c>
    </row>
    <row r="61" spans="1:13" x14ac:dyDescent="0.25">
      <c r="A61" s="4">
        <v>53</v>
      </c>
      <c r="B61" s="4">
        <f t="shared" si="0"/>
        <v>49</v>
      </c>
      <c r="C61" s="4">
        <f t="shared" si="1"/>
        <v>68</v>
      </c>
      <c r="D61" s="4">
        <f>IF(B61&gt;'Mortality Table'!$A$118,D60,VLOOKUP(B61,'Mortality Table'!$A$2:$B$118,2,FALSE))</f>
        <v>6.13E-3</v>
      </c>
      <c r="E61" s="4">
        <f>IF(INT((C61-1)/12)+1&gt;'Lapse Table'!$A$11,E60,VLOOKUP(INT((C61-1)/12)+1,'Lapse Table'!$A$2:$B$11,2,FALSE))/12</f>
        <v>4.1666666666666666E-3</v>
      </c>
      <c r="F61" s="5">
        <f t="shared" si="8"/>
        <v>0.66654868402777834</v>
      </c>
      <c r="G61" s="6">
        <f t="shared" si="2"/>
        <v>5.0976909722222222E-4</v>
      </c>
      <c r="H61" s="6">
        <f t="shared" si="3"/>
        <v>4.1538958333333332E-3</v>
      </c>
      <c r="I61" s="7">
        <f t="shared" si="4"/>
        <v>22.218289467592612</v>
      </c>
      <c r="J61" s="8">
        <f t="shared" si="5"/>
        <v>509.76909722222223</v>
      </c>
      <c r="K61" s="7">
        <f t="shared" si="6"/>
        <v>-487.5508077546296</v>
      </c>
      <c r="L61" s="4">
        <f>IF(A61&gt;'Yield Curve'!A675,L60,(1+VLOOKUP(A61,'Yield Curve'!A54:B676,2,FALSE))^(1/12)-1)</f>
        <v>7.9741404289037643E-3</v>
      </c>
      <c r="M61" s="5">
        <f t="shared" si="7"/>
        <v>-320.03847146851496</v>
      </c>
    </row>
    <row r="62" spans="1:13" x14ac:dyDescent="0.25">
      <c r="A62" s="4">
        <v>54</v>
      </c>
      <c r="B62" s="4">
        <f t="shared" si="0"/>
        <v>49</v>
      </c>
      <c r="C62" s="4">
        <f t="shared" si="1"/>
        <v>69</v>
      </c>
      <c r="D62" s="4">
        <f>IF(B62&gt;'Mortality Table'!$A$118,D61,VLOOKUP(B62,'Mortality Table'!$A$2:$B$118,2,FALSE))</f>
        <v>6.13E-3</v>
      </c>
      <c r="E62" s="4">
        <f>IF(INT((C62-1)/12)+1&gt;'Lapse Table'!$A$11,E61,VLOOKUP(INT((C62-1)/12)+1,'Lapse Table'!$A$2:$B$11,2,FALSE))/12</f>
        <v>4.1666666666666666E-3</v>
      </c>
      <c r="F62" s="5">
        <f t="shared" si="8"/>
        <v>0.66188501909722275</v>
      </c>
      <c r="G62" s="6">
        <f t="shared" si="2"/>
        <v>5.0976909722222222E-4</v>
      </c>
      <c r="H62" s="6">
        <f t="shared" si="3"/>
        <v>4.1538958333333332E-3</v>
      </c>
      <c r="I62" s="7">
        <f t="shared" si="4"/>
        <v>22.062833969907427</v>
      </c>
      <c r="J62" s="8">
        <f t="shared" si="5"/>
        <v>509.76909722222223</v>
      </c>
      <c r="K62" s="7">
        <f t="shared" si="6"/>
        <v>-487.70626325231478</v>
      </c>
      <c r="L62" s="4">
        <f>IF(A62&gt;'Yield Curve'!A676,L61,(1+VLOOKUP(A62,'Yield Curve'!A55:B677,2,FALSE))^(1/12)-1)</f>
        <v>7.9741404289037643E-3</v>
      </c>
      <c r="M62" s="5">
        <f t="shared" si="7"/>
        <v>-317.60786595986878</v>
      </c>
    </row>
    <row r="63" spans="1:13" x14ac:dyDescent="0.25">
      <c r="A63" s="4">
        <v>55</v>
      </c>
      <c r="B63" s="4">
        <f t="shared" si="0"/>
        <v>49</v>
      </c>
      <c r="C63" s="4">
        <f t="shared" si="1"/>
        <v>70</v>
      </c>
      <c r="D63" s="4">
        <f>IF(B63&gt;'Mortality Table'!$A$118,D62,VLOOKUP(B63,'Mortality Table'!$A$2:$B$118,2,FALSE))</f>
        <v>6.13E-3</v>
      </c>
      <c r="E63" s="4">
        <f>IF(INT((C63-1)/12)+1&gt;'Lapse Table'!$A$11,E62,VLOOKUP(INT((C63-1)/12)+1,'Lapse Table'!$A$2:$B$11,2,FALSE))/12</f>
        <v>4.1666666666666666E-3</v>
      </c>
      <c r="F63" s="5">
        <f t="shared" si="8"/>
        <v>0.65722135416666716</v>
      </c>
      <c r="G63" s="6">
        <f t="shared" si="2"/>
        <v>5.0976909722222222E-4</v>
      </c>
      <c r="H63" s="6">
        <f t="shared" si="3"/>
        <v>4.1538958333333332E-3</v>
      </c>
      <c r="I63" s="7">
        <f t="shared" si="4"/>
        <v>21.907378472222238</v>
      </c>
      <c r="J63" s="8">
        <f t="shared" si="5"/>
        <v>509.76909722222223</v>
      </c>
      <c r="K63" s="7">
        <f t="shared" si="6"/>
        <v>-487.86171874999997</v>
      </c>
      <c r="L63" s="4">
        <f>IF(A63&gt;'Yield Curve'!A677,L62,(1+VLOOKUP(A63,'Yield Curve'!A56:B678,2,FALSE))^(1/12)-1)</f>
        <v>7.9741404289037643E-3</v>
      </c>
      <c r="M63" s="5">
        <f t="shared" si="7"/>
        <v>-315.19568821771554</v>
      </c>
    </row>
    <row r="64" spans="1:13" x14ac:dyDescent="0.25">
      <c r="A64" s="4">
        <v>56</v>
      </c>
      <c r="B64" s="4">
        <f t="shared" si="0"/>
        <v>49</v>
      </c>
      <c r="C64" s="4">
        <f t="shared" si="1"/>
        <v>71</v>
      </c>
      <c r="D64" s="4">
        <f>IF(B64&gt;'Mortality Table'!$A$118,D63,VLOOKUP(B64,'Mortality Table'!$A$2:$B$118,2,FALSE))</f>
        <v>6.13E-3</v>
      </c>
      <c r="E64" s="4">
        <f>IF(INT((C64-1)/12)+1&gt;'Lapse Table'!$A$11,E63,VLOOKUP(INT((C64-1)/12)+1,'Lapse Table'!$A$2:$B$11,2,FALSE))/12</f>
        <v>4.1666666666666666E-3</v>
      </c>
      <c r="F64" s="5">
        <f t="shared" si="8"/>
        <v>0.65255768923611157</v>
      </c>
      <c r="G64" s="6">
        <f t="shared" si="2"/>
        <v>5.0976909722222222E-4</v>
      </c>
      <c r="H64" s="6">
        <f t="shared" si="3"/>
        <v>4.1538958333333332E-3</v>
      </c>
      <c r="I64" s="7">
        <f t="shared" si="4"/>
        <v>21.751922974537052</v>
      </c>
      <c r="J64" s="8">
        <f t="shared" si="5"/>
        <v>509.76909722222223</v>
      </c>
      <c r="K64" s="7">
        <f t="shared" si="6"/>
        <v>-488.01717424768515</v>
      </c>
      <c r="L64" s="4">
        <f>IF(A64&gt;'Yield Curve'!A678,L63,(1+VLOOKUP(A64,'Yield Curve'!A57:B679,2,FALSE))^(1/12)-1)</f>
        <v>7.9741404289037643E-3</v>
      </c>
      <c r="M64" s="5">
        <f t="shared" si="7"/>
        <v>-312.8017987948474</v>
      </c>
    </row>
    <row r="65" spans="1:13" x14ac:dyDescent="0.25">
      <c r="A65" s="4">
        <v>57</v>
      </c>
      <c r="B65" s="4">
        <f t="shared" si="0"/>
        <v>49</v>
      </c>
      <c r="C65" s="4">
        <f t="shared" si="1"/>
        <v>72</v>
      </c>
      <c r="D65" s="4">
        <f>IF(B65&gt;'Mortality Table'!$A$118,D64,VLOOKUP(B65,'Mortality Table'!$A$2:$B$118,2,FALSE))</f>
        <v>6.13E-3</v>
      </c>
      <c r="E65" s="4">
        <f>IF(INT((C65-1)/12)+1&gt;'Lapse Table'!$A$11,E64,VLOOKUP(INT((C65-1)/12)+1,'Lapse Table'!$A$2:$B$11,2,FALSE))/12</f>
        <v>4.1666666666666666E-3</v>
      </c>
      <c r="F65" s="5">
        <f t="shared" si="8"/>
        <v>0.64789402430555598</v>
      </c>
      <c r="G65" s="6">
        <f t="shared" si="2"/>
        <v>5.0976909722222222E-4</v>
      </c>
      <c r="H65" s="6">
        <f t="shared" si="3"/>
        <v>4.1538958333333332E-3</v>
      </c>
      <c r="I65" s="7">
        <f t="shared" si="4"/>
        <v>21.596467476851867</v>
      </c>
      <c r="J65" s="8">
        <f t="shared" si="5"/>
        <v>509.76909722222223</v>
      </c>
      <c r="K65" s="7">
        <f t="shared" si="6"/>
        <v>-488.17262974537039</v>
      </c>
      <c r="L65" s="4">
        <f>IF(A65&gt;'Yield Curve'!A679,L64,(1+VLOOKUP(A65,'Yield Curve'!A58:B680,2,FALSE))^(1/12)-1)</f>
        <v>7.9741404289037643E-3</v>
      </c>
      <c r="M65" s="5">
        <f t="shared" si="7"/>
        <v>-310.426059297108</v>
      </c>
    </row>
    <row r="66" spans="1:13" x14ac:dyDescent="0.25">
      <c r="A66" s="4">
        <v>58</v>
      </c>
      <c r="B66" s="4">
        <f t="shared" si="0"/>
        <v>49</v>
      </c>
      <c r="C66" s="4">
        <f t="shared" si="1"/>
        <v>73</v>
      </c>
      <c r="D66" s="4">
        <f>IF(B66&gt;'Mortality Table'!$A$118,D65,VLOOKUP(B66,'Mortality Table'!$A$2:$B$118,2,FALSE))</f>
        <v>6.13E-3</v>
      </c>
      <c r="E66" s="4">
        <f>IF(INT((C66-1)/12)+1&gt;'Lapse Table'!$A$11,E65,VLOOKUP(INT((C66-1)/12)+1,'Lapse Table'!$A$2:$B$11,2,FALSE))/12</f>
        <v>3.3333333333333335E-3</v>
      </c>
      <c r="F66" s="5">
        <f t="shared" si="8"/>
        <v>0.64406092569444495</v>
      </c>
      <c r="G66" s="6">
        <f t="shared" si="2"/>
        <v>5.0998194444444437E-4</v>
      </c>
      <c r="H66" s="6">
        <f t="shared" si="3"/>
        <v>3.3231166666666668E-3</v>
      </c>
      <c r="I66" s="7">
        <f t="shared" si="4"/>
        <v>21.468697523148165</v>
      </c>
      <c r="J66" s="8">
        <f t="shared" si="5"/>
        <v>509.98194444444437</v>
      </c>
      <c r="K66" s="7">
        <f t="shared" si="6"/>
        <v>-488.51324692129617</v>
      </c>
      <c r="L66" s="4">
        <f>IF(A66&gt;'Yield Curve'!A680,L65,(1+VLOOKUP(A66,'Yield Curve'!A59:B681,2,FALSE))^(1/12)-1)</f>
        <v>7.9741404289037643E-3</v>
      </c>
      <c r="M66" s="5">
        <f t="shared" si="7"/>
        <v>-308.18514410748605</v>
      </c>
    </row>
    <row r="67" spans="1:13" x14ac:dyDescent="0.25">
      <c r="A67" s="4">
        <v>59</v>
      </c>
      <c r="B67" s="4">
        <f t="shared" si="0"/>
        <v>49</v>
      </c>
      <c r="C67" s="4">
        <f t="shared" si="1"/>
        <v>74</v>
      </c>
      <c r="D67" s="4">
        <f>IF(B67&gt;'Mortality Table'!$A$118,D66,VLOOKUP(B67,'Mortality Table'!$A$2:$B$118,2,FALSE))</f>
        <v>6.13E-3</v>
      </c>
      <c r="E67" s="4">
        <f>IF(INT((C67-1)/12)+1&gt;'Lapse Table'!$A$11,E66,VLOOKUP(INT((C67-1)/12)+1,'Lapse Table'!$A$2:$B$11,2,FALSE))/12</f>
        <v>3.3333333333333335E-3</v>
      </c>
      <c r="F67" s="5">
        <f t="shared" si="8"/>
        <v>0.64022782708333392</v>
      </c>
      <c r="G67" s="6">
        <f t="shared" si="2"/>
        <v>5.0998194444444437E-4</v>
      </c>
      <c r="H67" s="6">
        <f t="shared" si="3"/>
        <v>3.3231166666666668E-3</v>
      </c>
      <c r="I67" s="7">
        <f t="shared" si="4"/>
        <v>21.340927569444464</v>
      </c>
      <c r="J67" s="8">
        <f t="shared" si="5"/>
        <v>509.98194444444437</v>
      </c>
      <c r="K67" s="7">
        <f t="shared" si="6"/>
        <v>-488.64101687499988</v>
      </c>
      <c r="L67" s="4">
        <f>IF(A67&gt;'Yield Curve'!A681,L66,(1+VLOOKUP(A67,'Yield Curve'!A60:B682,2,FALSE))^(1/12)-1)</f>
        <v>7.9741404289037643E-3</v>
      </c>
      <c r="M67" s="5">
        <f t="shared" si="7"/>
        <v>-305.82704172149363</v>
      </c>
    </row>
    <row r="68" spans="1:13" x14ac:dyDescent="0.25">
      <c r="A68" s="4">
        <v>60</v>
      </c>
      <c r="B68" s="4">
        <f t="shared" si="0"/>
        <v>50</v>
      </c>
      <c r="C68" s="4">
        <f t="shared" si="1"/>
        <v>75</v>
      </c>
      <c r="D68" s="4">
        <f>IF(B68&gt;'Mortality Table'!$A$118,D67,VLOOKUP(B68,'Mortality Table'!$A$2:$B$118,2,FALSE))</f>
        <v>6.6699999999999997E-3</v>
      </c>
      <c r="E68" s="4">
        <f>IF(INT((C68-1)/12)+1&gt;'Lapse Table'!$A$11,E67,VLOOKUP(INT((C68-1)/12)+1,'Lapse Table'!$A$2:$B$11,2,FALSE))/12</f>
        <v>3.3333333333333335E-3</v>
      </c>
      <c r="F68" s="5">
        <f t="shared" si="8"/>
        <v>0.63635070347222278</v>
      </c>
      <c r="G68" s="6">
        <f t="shared" si="2"/>
        <v>5.5490694444444439E-4</v>
      </c>
      <c r="H68" s="6">
        <f t="shared" si="3"/>
        <v>3.322216666666667E-3</v>
      </c>
      <c r="I68" s="7">
        <f t="shared" si="4"/>
        <v>21.211690115740758</v>
      </c>
      <c r="J68" s="8">
        <f t="shared" si="5"/>
        <v>554.90694444444443</v>
      </c>
      <c r="K68" s="7">
        <f t="shared" si="6"/>
        <v>-533.69525432870364</v>
      </c>
      <c r="L68" s="4">
        <f>IF(A68&gt;'Yield Curve'!A682,L67,(1+VLOOKUP(A68,'Yield Curve'!A61:B683,2,FALSE))^(1/12)-1)</f>
        <v>7.9741404289037643E-3</v>
      </c>
      <c r="M68" s="5">
        <f t="shared" si="7"/>
        <v>-331.38276342817045</v>
      </c>
    </row>
    <row r="69" spans="1:13" x14ac:dyDescent="0.25">
      <c r="A69" s="4">
        <v>61</v>
      </c>
      <c r="B69" s="4">
        <f t="shared" si="0"/>
        <v>50</v>
      </c>
      <c r="C69" s="4">
        <f t="shared" si="1"/>
        <v>76</v>
      </c>
      <c r="D69" s="4">
        <f>IF(B69&gt;'Mortality Table'!$A$118,D68,VLOOKUP(B69,'Mortality Table'!$A$2:$B$118,2,FALSE))</f>
        <v>6.6699999999999997E-3</v>
      </c>
      <c r="E69" s="4">
        <f>IF(INT((C69-1)/12)+1&gt;'Lapse Table'!$A$11,E68,VLOOKUP(INT((C69-1)/12)+1,'Lapse Table'!$A$2:$B$11,2,FALSE))/12</f>
        <v>3.3333333333333335E-3</v>
      </c>
      <c r="F69" s="5">
        <f t="shared" si="8"/>
        <v>0.63247357986111163</v>
      </c>
      <c r="G69" s="6">
        <f t="shared" si="2"/>
        <v>5.5490694444444439E-4</v>
      </c>
      <c r="H69" s="6">
        <f t="shared" si="3"/>
        <v>3.322216666666667E-3</v>
      </c>
      <c r="I69" s="7">
        <f t="shared" si="4"/>
        <v>21.082452662037053</v>
      </c>
      <c r="J69" s="8">
        <f t="shared" si="5"/>
        <v>554.90694444444443</v>
      </c>
      <c r="K69" s="7">
        <f t="shared" si="6"/>
        <v>-533.82449178240734</v>
      </c>
      <c r="L69" s="4">
        <f>IF(A69&gt;'Yield Curve'!A683,L68,(1+VLOOKUP(A69,'Yield Curve'!A62:B684,2,FALSE))^(1/12)-1)</f>
        <v>7.9741404289037643E-3</v>
      </c>
      <c r="M69" s="5">
        <f t="shared" si="7"/>
        <v>-328.84078710379606</v>
      </c>
    </row>
    <row r="70" spans="1:13" x14ac:dyDescent="0.25">
      <c r="A70" s="4">
        <v>62</v>
      </c>
      <c r="B70" s="4">
        <f t="shared" si="0"/>
        <v>50</v>
      </c>
      <c r="C70" s="4">
        <f t="shared" si="1"/>
        <v>77</v>
      </c>
      <c r="D70" s="4">
        <f>IF(B70&gt;'Mortality Table'!$A$118,D69,VLOOKUP(B70,'Mortality Table'!$A$2:$B$118,2,FALSE))</f>
        <v>6.6699999999999997E-3</v>
      </c>
      <c r="E70" s="4">
        <f>IF(INT((C70-1)/12)+1&gt;'Lapse Table'!$A$11,E69,VLOOKUP(INT((C70-1)/12)+1,'Lapse Table'!$A$2:$B$11,2,FALSE))/12</f>
        <v>3.3333333333333335E-3</v>
      </c>
      <c r="F70" s="5">
        <f t="shared" si="8"/>
        <v>0.62859645625000049</v>
      </c>
      <c r="G70" s="6">
        <f t="shared" si="2"/>
        <v>5.5490694444444439E-4</v>
      </c>
      <c r="H70" s="6">
        <f t="shared" si="3"/>
        <v>3.322216666666667E-3</v>
      </c>
      <c r="I70" s="7">
        <f t="shared" si="4"/>
        <v>20.953215208333351</v>
      </c>
      <c r="J70" s="8">
        <f t="shared" si="5"/>
        <v>554.90694444444443</v>
      </c>
      <c r="K70" s="7">
        <f t="shared" si="6"/>
        <v>-533.95372923611103</v>
      </c>
      <c r="L70" s="4">
        <f>IF(A70&gt;'Yield Curve'!A684,L69,(1+VLOOKUP(A70,'Yield Curve'!A63:B685,2,FALSE))^(1/12)-1)</f>
        <v>7.9741404289037643E-3</v>
      </c>
      <c r="M70" s="5">
        <f t="shared" si="7"/>
        <v>-326.31829068713529</v>
      </c>
    </row>
    <row r="71" spans="1:13" x14ac:dyDescent="0.25">
      <c r="A71" s="4">
        <v>63</v>
      </c>
      <c r="B71" s="4">
        <f t="shared" si="0"/>
        <v>50</v>
      </c>
      <c r="C71" s="4">
        <f t="shared" si="1"/>
        <v>78</v>
      </c>
      <c r="D71" s="4">
        <f>IF(B71&gt;'Mortality Table'!$A$118,D70,VLOOKUP(B71,'Mortality Table'!$A$2:$B$118,2,FALSE))</f>
        <v>6.6699999999999997E-3</v>
      </c>
      <c r="E71" s="4">
        <f>IF(INT((C71-1)/12)+1&gt;'Lapse Table'!$A$11,E70,VLOOKUP(INT((C71-1)/12)+1,'Lapse Table'!$A$2:$B$11,2,FALSE))/12</f>
        <v>3.3333333333333335E-3</v>
      </c>
      <c r="F71" s="5">
        <f t="shared" si="8"/>
        <v>0.62471933263888935</v>
      </c>
      <c r="G71" s="6">
        <f t="shared" si="2"/>
        <v>5.5490694444444439E-4</v>
      </c>
      <c r="H71" s="6">
        <f t="shared" si="3"/>
        <v>3.322216666666667E-3</v>
      </c>
      <c r="I71" s="7">
        <f t="shared" si="4"/>
        <v>20.823977754629645</v>
      </c>
      <c r="J71" s="8">
        <f t="shared" si="5"/>
        <v>554.90694444444443</v>
      </c>
      <c r="K71" s="7">
        <f t="shared" si="6"/>
        <v>-534.08296668981484</v>
      </c>
      <c r="L71" s="4">
        <f>IF(A71&gt;'Yield Curve'!A685,L70,(1+VLOOKUP(A71,'Yield Curve'!A64:B686,2,FALSE))^(1/12)-1)</f>
        <v>7.9741404289037643E-3</v>
      </c>
      <c r="M71" s="5">
        <f t="shared" si="7"/>
        <v>-323.81512505400508</v>
      </c>
    </row>
    <row r="72" spans="1:13" x14ac:dyDescent="0.25">
      <c r="A72" s="4">
        <v>64</v>
      </c>
      <c r="B72" s="4">
        <f t="shared" si="0"/>
        <v>50</v>
      </c>
      <c r="C72" s="4">
        <f t="shared" si="1"/>
        <v>79</v>
      </c>
      <c r="D72" s="4">
        <f>IF(B72&gt;'Mortality Table'!$A$118,D71,VLOOKUP(B72,'Mortality Table'!$A$2:$B$118,2,FALSE))</f>
        <v>6.6699999999999997E-3</v>
      </c>
      <c r="E72" s="4">
        <f>IF(INT((C72-1)/12)+1&gt;'Lapse Table'!$A$11,E71,VLOOKUP(INT((C72-1)/12)+1,'Lapse Table'!$A$2:$B$11,2,FALSE))/12</f>
        <v>3.3333333333333335E-3</v>
      </c>
      <c r="F72" s="5">
        <f t="shared" si="8"/>
        <v>0.6208422090277782</v>
      </c>
      <c r="G72" s="6">
        <f t="shared" si="2"/>
        <v>5.5490694444444439E-4</v>
      </c>
      <c r="H72" s="6">
        <f t="shared" si="3"/>
        <v>3.322216666666667E-3</v>
      </c>
      <c r="I72" s="7">
        <f t="shared" si="4"/>
        <v>20.69474030092594</v>
      </c>
      <c r="J72" s="8">
        <f t="shared" si="5"/>
        <v>554.90694444444443</v>
      </c>
      <c r="K72" s="7">
        <f t="shared" si="6"/>
        <v>-534.21220414351853</v>
      </c>
      <c r="L72" s="4">
        <f>IF(A72&gt;'Yield Curve'!A686,L71,(1+VLOOKUP(A72,'Yield Curve'!A65:B687,2,FALSE))^(1/12)-1)</f>
        <v>7.9741404289037643E-3</v>
      </c>
      <c r="M72" s="5">
        <f t="shared" si="7"/>
        <v>-321.33114222053518</v>
      </c>
    </row>
    <row r="73" spans="1:13" x14ac:dyDescent="0.25">
      <c r="A73" s="4">
        <v>65</v>
      </c>
      <c r="B73" s="4">
        <f t="shared" si="0"/>
        <v>50</v>
      </c>
      <c r="C73" s="4">
        <f t="shared" si="1"/>
        <v>80</v>
      </c>
      <c r="D73" s="4">
        <f>IF(B73&gt;'Mortality Table'!$A$118,D72,VLOOKUP(B73,'Mortality Table'!$A$2:$B$118,2,FALSE))</f>
        <v>6.6699999999999997E-3</v>
      </c>
      <c r="E73" s="4">
        <f>IF(INT((C73-1)/12)+1&gt;'Lapse Table'!$A$11,E72,VLOOKUP(INT((C73-1)/12)+1,'Lapse Table'!$A$2:$B$11,2,FALSE))/12</f>
        <v>3.3333333333333335E-3</v>
      </c>
      <c r="F73" s="5">
        <f t="shared" si="8"/>
        <v>0.61696508541666706</v>
      </c>
      <c r="G73" s="6">
        <f t="shared" si="2"/>
        <v>5.5490694444444439E-4</v>
      </c>
      <c r="H73" s="6">
        <f t="shared" si="3"/>
        <v>3.322216666666667E-3</v>
      </c>
      <c r="I73" s="7">
        <f t="shared" si="4"/>
        <v>20.565502847222234</v>
      </c>
      <c r="J73" s="8">
        <f t="shared" si="5"/>
        <v>554.90694444444443</v>
      </c>
      <c r="K73" s="7">
        <f t="shared" si="6"/>
        <v>-534.34144159722223</v>
      </c>
      <c r="L73" s="4">
        <f>IF(A73&gt;'Yield Curve'!A687,L72,(1+VLOOKUP(A73,'Yield Curve'!A66:B688,2,FALSE))^(1/12)-1)</f>
        <v>7.9741404289037643E-3</v>
      </c>
      <c r="M73" s="5">
        <f t="shared" si="7"/>
        <v>-318.8661953344602</v>
      </c>
    </row>
    <row r="74" spans="1:13" x14ac:dyDescent="0.25">
      <c r="A74" s="4">
        <v>66</v>
      </c>
      <c r="B74" s="4">
        <f t="shared" ref="B74:B137" si="9">INT($B$3+A74/12)</f>
        <v>50</v>
      </c>
      <c r="C74" s="4">
        <f t="shared" ref="C74:C137" si="10">$B$4+A74</f>
        <v>81</v>
      </c>
      <c r="D74" s="4">
        <f>IF(B74&gt;'Mortality Table'!$A$118,D73,VLOOKUP(B74,'Mortality Table'!$A$2:$B$118,2,FALSE))</f>
        <v>6.6699999999999997E-3</v>
      </c>
      <c r="E74" s="4">
        <f>IF(INT((C74-1)/12)+1&gt;'Lapse Table'!$A$11,E73,VLOOKUP(INT((C74-1)/12)+1,'Lapse Table'!$A$2:$B$11,2,FALSE))/12</f>
        <v>3.3333333333333335E-3</v>
      </c>
      <c r="F74" s="5">
        <f t="shared" si="8"/>
        <v>0.61308796180555591</v>
      </c>
      <c r="G74" s="6">
        <f t="shared" ref="G74:G137" si="11">D74/12*(1-0.5*E74)</f>
        <v>5.5490694444444439E-4</v>
      </c>
      <c r="H74" s="6">
        <f t="shared" ref="H74:H137" si="12">E74*(1-0.5*D74)</f>
        <v>3.322216666666667E-3</v>
      </c>
      <c r="I74" s="7">
        <f t="shared" ref="I74:I137" si="13">F74*$B$5/12</f>
        <v>20.436265393518529</v>
      </c>
      <c r="J74" s="8">
        <f t="shared" ref="J74:J137" si="14">$B$6*G74</f>
        <v>554.90694444444443</v>
      </c>
      <c r="K74" s="7">
        <f t="shared" ref="K74:K137" si="15">I74-J74</f>
        <v>-534.47067905092592</v>
      </c>
      <c r="L74" s="4">
        <f>IF(A74&gt;'Yield Curve'!A688,L73,(1+VLOOKUP(A74,'Yield Curve'!A67:B689,2,FALSE))^(1/12)-1)</f>
        <v>7.9741404289037643E-3</v>
      </c>
      <c r="M74" s="5">
        <f t="shared" ref="M74:M137" si="16">K74*(1+L74)^-A74</f>
        <v>-316.42013866647517</v>
      </c>
    </row>
    <row r="75" spans="1:13" x14ac:dyDescent="0.25">
      <c r="A75" s="4">
        <v>67</v>
      </c>
      <c r="B75" s="4">
        <f t="shared" si="9"/>
        <v>50</v>
      </c>
      <c r="C75" s="4">
        <f t="shared" si="10"/>
        <v>82</v>
      </c>
      <c r="D75" s="4">
        <f>IF(B75&gt;'Mortality Table'!$A$118,D74,VLOOKUP(B75,'Mortality Table'!$A$2:$B$118,2,FALSE))</f>
        <v>6.6699999999999997E-3</v>
      </c>
      <c r="E75" s="4">
        <f>IF(INT((C75-1)/12)+1&gt;'Lapse Table'!$A$11,E74,VLOOKUP(INT((C75-1)/12)+1,'Lapse Table'!$A$2:$B$11,2,FALSE))/12</f>
        <v>3.3333333333333335E-3</v>
      </c>
      <c r="F75" s="5">
        <f t="shared" ref="F75:F138" si="17">F74-G75-H75</f>
        <v>0.60921083819444477</v>
      </c>
      <c r="G75" s="6">
        <f t="shared" si="11"/>
        <v>5.5490694444444439E-4</v>
      </c>
      <c r="H75" s="6">
        <f t="shared" si="12"/>
        <v>3.322216666666667E-3</v>
      </c>
      <c r="I75" s="7">
        <f t="shared" si="13"/>
        <v>20.307027939814827</v>
      </c>
      <c r="J75" s="8">
        <f t="shared" si="14"/>
        <v>554.90694444444443</v>
      </c>
      <c r="K75" s="7">
        <f t="shared" si="15"/>
        <v>-534.59991650462962</v>
      </c>
      <c r="L75" s="4">
        <f>IF(A75&gt;'Yield Curve'!A689,L74,(1+VLOOKUP(A75,'Yield Curve'!A68:B690,2,FALSE))^(1/12)-1)</f>
        <v>7.9741404289037643E-3</v>
      </c>
      <c r="M75" s="5">
        <f t="shared" si="16"/>
        <v>-313.99282760165966</v>
      </c>
    </row>
    <row r="76" spans="1:13" x14ac:dyDescent="0.25">
      <c r="A76" s="4">
        <v>68</v>
      </c>
      <c r="B76" s="4">
        <f t="shared" si="9"/>
        <v>50</v>
      </c>
      <c r="C76" s="4">
        <f t="shared" si="10"/>
        <v>83</v>
      </c>
      <c r="D76" s="4">
        <f>IF(B76&gt;'Mortality Table'!$A$118,D75,VLOOKUP(B76,'Mortality Table'!$A$2:$B$118,2,FALSE))</f>
        <v>6.6699999999999997E-3</v>
      </c>
      <c r="E76" s="4">
        <f>IF(INT((C76-1)/12)+1&gt;'Lapse Table'!$A$11,E75,VLOOKUP(INT((C76-1)/12)+1,'Lapse Table'!$A$2:$B$11,2,FALSE))/12</f>
        <v>3.3333333333333335E-3</v>
      </c>
      <c r="F76" s="5">
        <f t="shared" si="17"/>
        <v>0.60533371458333363</v>
      </c>
      <c r="G76" s="6">
        <f t="shared" si="11"/>
        <v>5.5490694444444439E-4</v>
      </c>
      <c r="H76" s="6">
        <f t="shared" si="12"/>
        <v>3.322216666666667E-3</v>
      </c>
      <c r="I76" s="7">
        <f t="shared" si="13"/>
        <v>20.177790486111121</v>
      </c>
      <c r="J76" s="8">
        <f t="shared" si="14"/>
        <v>554.90694444444443</v>
      </c>
      <c r="K76" s="7">
        <f t="shared" si="15"/>
        <v>-534.72915395833331</v>
      </c>
      <c r="L76" s="4">
        <f>IF(A76&gt;'Yield Curve'!A690,L75,(1+VLOOKUP(A76,'Yield Curve'!A69:B691,2,FALSE))^(1/12)-1)</f>
        <v>7.9741404289037643E-3</v>
      </c>
      <c r="M76" s="5">
        <f t="shared" si="16"/>
        <v>-311.58411863096603</v>
      </c>
    </row>
    <row r="77" spans="1:13" x14ac:dyDescent="0.25">
      <c r="A77" s="4">
        <v>69</v>
      </c>
      <c r="B77" s="4">
        <f t="shared" si="9"/>
        <v>50</v>
      </c>
      <c r="C77" s="4">
        <f t="shared" si="10"/>
        <v>84</v>
      </c>
      <c r="D77" s="4">
        <f>IF(B77&gt;'Mortality Table'!$A$118,D76,VLOOKUP(B77,'Mortality Table'!$A$2:$B$118,2,FALSE))</f>
        <v>6.6699999999999997E-3</v>
      </c>
      <c r="E77" s="4">
        <f>IF(INT((C77-1)/12)+1&gt;'Lapse Table'!$A$11,E76,VLOOKUP(INT((C77-1)/12)+1,'Lapse Table'!$A$2:$B$11,2,FALSE))/12</f>
        <v>3.3333333333333335E-3</v>
      </c>
      <c r="F77" s="5">
        <f t="shared" si="17"/>
        <v>0.60145659097222248</v>
      </c>
      <c r="G77" s="6">
        <f t="shared" si="11"/>
        <v>5.5490694444444439E-4</v>
      </c>
      <c r="H77" s="6">
        <f t="shared" si="12"/>
        <v>3.322216666666667E-3</v>
      </c>
      <c r="I77" s="7">
        <f t="shared" si="13"/>
        <v>20.048553032407415</v>
      </c>
      <c r="J77" s="8">
        <f t="shared" si="14"/>
        <v>554.90694444444443</v>
      </c>
      <c r="K77" s="7">
        <f t="shared" si="15"/>
        <v>-534.85839141203701</v>
      </c>
      <c r="L77" s="4">
        <f>IF(A77&gt;'Yield Curve'!A691,L76,(1+VLOOKUP(A77,'Yield Curve'!A70:B692,2,FALSE))^(1/12)-1)</f>
        <v>7.9741404289037643E-3</v>
      </c>
      <c r="M77" s="5">
        <f t="shared" si="16"/>
        <v>-309.19386934277298</v>
      </c>
    </row>
    <row r="78" spans="1:13" x14ac:dyDescent="0.25">
      <c r="A78" s="4">
        <v>70</v>
      </c>
      <c r="B78" s="4">
        <f t="shared" si="9"/>
        <v>50</v>
      </c>
      <c r="C78" s="4">
        <f t="shared" si="10"/>
        <v>85</v>
      </c>
      <c r="D78" s="4">
        <f>IF(B78&gt;'Mortality Table'!$A$118,D77,VLOOKUP(B78,'Mortality Table'!$A$2:$B$118,2,FALSE))</f>
        <v>6.6699999999999997E-3</v>
      </c>
      <c r="E78" s="4">
        <f>IF(INT((C78-1)/12)+1&gt;'Lapse Table'!$A$11,E77,VLOOKUP(INT((C78-1)/12)+1,'Lapse Table'!$A$2:$B$11,2,FALSE))/12</f>
        <v>2.5000000000000001E-3</v>
      </c>
      <c r="F78" s="5">
        <f t="shared" si="17"/>
        <v>0.59840978993055582</v>
      </c>
      <c r="G78" s="6">
        <f t="shared" si="11"/>
        <v>5.5513854166666665E-4</v>
      </c>
      <c r="H78" s="6">
        <f t="shared" si="12"/>
        <v>2.4916625000000001E-3</v>
      </c>
      <c r="I78" s="7">
        <f t="shared" si="13"/>
        <v>19.946992997685197</v>
      </c>
      <c r="J78" s="8">
        <f t="shared" si="14"/>
        <v>555.1385416666667</v>
      </c>
      <c r="K78" s="7">
        <f t="shared" si="15"/>
        <v>-535.19154866898145</v>
      </c>
      <c r="L78" s="4">
        <f>IF(A78&gt;'Yield Curve'!A692,L77,(1+VLOOKUP(A78,'Yield Curve'!A71:B693,2,FALSE))^(1/12)-1)</f>
        <v>7.9741404289037643E-3</v>
      </c>
      <c r="M78" s="5">
        <f t="shared" si="16"/>
        <v>-306.93888891192717</v>
      </c>
    </row>
    <row r="79" spans="1:13" x14ac:dyDescent="0.25">
      <c r="A79" s="4">
        <v>71</v>
      </c>
      <c r="B79" s="4">
        <f t="shared" si="9"/>
        <v>50</v>
      </c>
      <c r="C79" s="4">
        <f t="shared" si="10"/>
        <v>86</v>
      </c>
      <c r="D79" s="4">
        <f>IF(B79&gt;'Mortality Table'!$A$118,D78,VLOOKUP(B79,'Mortality Table'!$A$2:$B$118,2,FALSE))</f>
        <v>6.6699999999999997E-3</v>
      </c>
      <c r="E79" s="4">
        <f>IF(INT((C79-1)/12)+1&gt;'Lapse Table'!$A$11,E78,VLOOKUP(INT((C79-1)/12)+1,'Lapse Table'!$A$2:$B$11,2,FALSE))/12</f>
        <v>2.5000000000000001E-3</v>
      </c>
      <c r="F79" s="5">
        <f t="shared" si="17"/>
        <v>0.59536298888888917</v>
      </c>
      <c r="G79" s="6">
        <f t="shared" si="11"/>
        <v>5.5513854166666665E-4</v>
      </c>
      <c r="H79" s="6">
        <f t="shared" si="12"/>
        <v>2.4916625000000001E-3</v>
      </c>
      <c r="I79" s="7">
        <f t="shared" si="13"/>
        <v>19.84543296296297</v>
      </c>
      <c r="J79" s="8">
        <f t="shared" si="14"/>
        <v>555.1385416666667</v>
      </c>
      <c r="K79" s="7">
        <f t="shared" si="15"/>
        <v>-535.29310870370375</v>
      </c>
      <c r="L79" s="4">
        <f>IF(A79&gt;'Yield Curve'!A693,L78,(1+VLOOKUP(A79,'Yield Curve'!A72:B694,2,FALSE))^(1/12)-1)</f>
        <v>7.9741404289037643E-3</v>
      </c>
      <c r="M79" s="5">
        <f t="shared" si="16"/>
        <v>-304.56846313682149</v>
      </c>
    </row>
    <row r="80" spans="1:13" x14ac:dyDescent="0.25">
      <c r="A80" s="4">
        <v>72</v>
      </c>
      <c r="B80" s="4">
        <f t="shared" si="9"/>
        <v>51</v>
      </c>
      <c r="C80" s="4">
        <f t="shared" si="10"/>
        <v>87</v>
      </c>
      <c r="D80" s="4">
        <f>IF(B80&gt;'Mortality Table'!$A$118,D79,VLOOKUP(B80,'Mortality Table'!$A$2:$B$118,2,FALSE))</f>
        <v>7.28E-3</v>
      </c>
      <c r="E80" s="4">
        <f>IF(INT((C80-1)/12)+1&gt;'Lapse Table'!$A$11,E79,VLOOKUP(INT((C80-1)/12)+1,'Lapse Table'!$A$2:$B$11,2,FALSE))/12</f>
        <v>2.5000000000000001E-3</v>
      </c>
      <c r="F80" s="5">
        <f t="shared" si="17"/>
        <v>0.59226618055555591</v>
      </c>
      <c r="G80" s="6">
        <f t="shared" si="11"/>
        <v>6.0590833333333343E-4</v>
      </c>
      <c r="H80" s="6">
        <f t="shared" si="12"/>
        <v>2.4909000000000003E-3</v>
      </c>
      <c r="I80" s="7">
        <f t="shared" si="13"/>
        <v>19.74220601851853</v>
      </c>
      <c r="J80" s="8">
        <f t="shared" si="14"/>
        <v>605.90833333333342</v>
      </c>
      <c r="K80" s="7">
        <f t="shared" si="15"/>
        <v>-586.16612731481484</v>
      </c>
      <c r="L80" s="4">
        <f>IF(A80&gt;'Yield Curve'!A694,L79,(1+VLOOKUP(A80,'Yield Curve'!A73:B695,2,FALSE))^(1/12)-1)</f>
        <v>7.9741404289037643E-3</v>
      </c>
      <c r="M80" s="5">
        <f t="shared" si="16"/>
        <v>-330.87549754979574</v>
      </c>
    </row>
    <row r="81" spans="1:13" x14ac:dyDescent="0.25">
      <c r="A81" s="4">
        <v>73</v>
      </c>
      <c r="B81" s="4">
        <f t="shared" si="9"/>
        <v>51</v>
      </c>
      <c r="C81" s="4">
        <f t="shared" si="10"/>
        <v>88</v>
      </c>
      <c r="D81" s="4">
        <f>IF(B81&gt;'Mortality Table'!$A$118,D80,VLOOKUP(B81,'Mortality Table'!$A$2:$B$118,2,FALSE))</f>
        <v>7.28E-3</v>
      </c>
      <c r="E81" s="4">
        <f>IF(INT((C81-1)/12)+1&gt;'Lapse Table'!$A$11,E80,VLOOKUP(INT((C81-1)/12)+1,'Lapse Table'!$A$2:$B$11,2,FALSE))/12</f>
        <v>2.5000000000000001E-3</v>
      </c>
      <c r="F81" s="5">
        <f t="shared" si="17"/>
        <v>0.58916937222222265</v>
      </c>
      <c r="G81" s="6">
        <f t="shared" si="11"/>
        <v>6.0590833333333343E-4</v>
      </c>
      <c r="H81" s="6">
        <f t="shared" si="12"/>
        <v>2.4909000000000003E-3</v>
      </c>
      <c r="I81" s="7">
        <f t="shared" si="13"/>
        <v>19.63897907407409</v>
      </c>
      <c r="J81" s="8">
        <f t="shared" si="14"/>
        <v>605.90833333333342</v>
      </c>
      <c r="K81" s="7">
        <f t="shared" si="15"/>
        <v>-586.26935425925933</v>
      </c>
      <c r="L81" s="4">
        <f>IF(A81&gt;'Yield Curve'!A695,L80,(1+VLOOKUP(A81,'Yield Curve'!A74:B696,2,FALSE))^(1/12)-1)</f>
        <v>7.9741404289037643E-3</v>
      </c>
      <c r="M81" s="5">
        <f t="shared" si="16"/>
        <v>-328.3157307269787</v>
      </c>
    </row>
    <row r="82" spans="1:13" x14ac:dyDescent="0.25">
      <c r="A82" s="4">
        <v>74</v>
      </c>
      <c r="B82" s="4">
        <f t="shared" si="9"/>
        <v>51</v>
      </c>
      <c r="C82" s="4">
        <f t="shared" si="10"/>
        <v>89</v>
      </c>
      <c r="D82" s="4">
        <f>IF(B82&gt;'Mortality Table'!$A$118,D81,VLOOKUP(B82,'Mortality Table'!$A$2:$B$118,2,FALSE))</f>
        <v>7.28E-3</v>
      </c>
      <c r="E82" s="4">
        <f>IF(INT((C82-1)/12)+1&gt;'Lapse Table'!$A$11,E81,VLOOKUP(INT((C82-1)/12)+1,'Lapse Table'!$A$2:$B$11,2,FALSE))/12</f>
        <v>2.5000000000000001E-3</v>
      </c>
      <c r="F82" s="5">
        <f t="shared" si="17"/>
        <v>0.5860725638888894</v>
      </c>
      <c r="G82" s="6">
        <f t="shared" si="11"/>
        <v>6.0590833333333343E-4</v>
      </c>
      <c r="H82" s="6">
        <f t="shared" si="12"/>
        <v>2.4909000000000003E-3</v>
      </c>
      <c r="I82" s="7">
        <f t="shared" si="13"/>
        <v>19.535752129629646</v>
      </c>
      <c r="J82" s="8">
        <f t="shared" si="14"/>
        <v>605.90833333333342</v>
      </c>
      <c r="K82" s="7">
        <f t="shared" si="15"/>
        <v>-586.37258120370382</v>
      </c>
      <c r="L82" s="4">
        <f>IF(A82&gt;'Yield Curve'!A696,L81,(1+VLOOKUP(A82,'Yield Curve'!A75:B697,2,FALSE))^(1/12)-1)</f>
        <v>7.9741404289037643E-3</v>
      </c>
      <c r="M82" s="5">
        <f t="shared" si="16"/>
        <v>-325.77575704229537</v>
      </c>
    </row>
    <row r="83" spans="1:13" x14ac:dyDescent="0.25">
      <c r="A83" s="4">
        <v>75</v>
      </c>
      <c r="B83" s="4">
        <f t="shared" si="9"/>
        <v>51</v>
      </c>
      <c r="C83" s="4">
        <f t="shared" si="10"/>
        <v>90</v>
      </c>
      <c r="D83" s="4">
        <f>IF(B83&gt;'Mortality Table'!$A$118,D82,VLOOKUP(B83,'Mortality Table'!$A$2:$B$118,2,FALSE))</f>
        <v>7.28E-3</v>
      </c>
      <c r="E83" s="4">
        <f>IF(INT((C83-1)/12)+1&gt;'Lapse Table'!$A$11,E82,VLOOKUP(INT((C83-1)/12)+1,'Lapse Table'!$A$2:$B$11,2,FALSE))/12</f>
        <v>2.5000000000000001E-3</v>
      </c>
      <c r="F83" s="5">
        <f t="shared" si="17"/>
        <v>0.58297575555555614</v>
      </c>
      <c r="G83" s="6">
        <f t="shared" si="11"/>
        <v>6.0590833333333343E-4</v>
      </c>
      <c r="H83" s="6">
        <f t="shared" si="12"/>
        <v>2.4909000000000003E-3</v>
      </c>
      <c r="I83" s="7">
        <f t="shared" si="13"/>
        <v>19.432525185185202</v>
      </c>
      <c r="J83" s="8">
        <f t="shared" si="14"/>
        <v>605.90833333333342</v>
      </c>
      <c r="K83" s="7">
        <f t="shared" si="15"/>
        <v>-586.47580814814819</v>
      </c>
      <c r="L83" s="4">
        <f>IF(A83&gt;'Yield Curve'!A697,L82,(1+VLOOKUP(A83,'Yield Curve'!A76:B698,2,FALSE))^(1/12)-1)</f>
        <v>7.9741404289037643E-3</v>
      </c>
      <c r="M83" s="5">
        <f t="shared" si="16"/>
        <v>-323.2554235290105</v>
      </c>
    </row>
    <row r="84" spans="1:13" x14ac:dyDescent="0.25">
      <c r="A84" s="4">
        <v>76</v>
      </c>
      <c r="B84" s="4">
        <f t="shared" si="9"/>
        <v>51</v>
      </c>
      <c r="C84" s="4">
        <f t="shared" si="10"/>
        <v>91</v>
      </c>
      <c r="D84" s="4">
        <f>IF(B84&gt;'Mortality Table'!$A$118,D83,VLOOKUP(B84,'Mortality Table'!$A$2:$B$118,2,FALSE))</f>
        <v>7.28E-3</v>
      </c>
      <c r="E84" s="4">
        <f>IF(INT((C84-1)/12)+1&gt;'Lapse Table'!$A$11,E83,VLOOKUP(INT((C84-1)/12)+1,'Lapse Table'!$A$2:$B$11,2,FALSE))/12</f>
        <v>2.5000000000000001E-3</v>
      </c>
      <c r="F84" s="5">
        <f t="shared" si="17"/>
        <v>0.57987894722222288</v>
      </c>
      <c r="G84" s="6">
        <f t="shared" si="11"/>
        <v>6.0590833333333343E-4</v>
      </c>
      <c r="H84" s="6">
        <f t="shared" si="12"/>
        <v>2.4909000000000003E-3</v>
      </c>
      <c r="I84" s="7">
        <f t="shared" si="13"/>
        <v>19.329298240740762</v>
      </c>
      <c r="J84" s="8">
        <f t="shared" si="14"/>
        <v>605.90833333333342</v>
      </c>
      <c r="K84" s="7">
        <f t="shared" si="15"/>
        <v>-586.57903509259268</v>
      </c>
      <c r="L84" s="4">
        <f>IF(A84&gt;'Yield Curve'!A698,L83,(1+VLOOKUP(A84,'Yield Curve'!A77:B699,2,FALSE))^(1/12)-1)</f>
        <v>7.9741404289037643E-3</v>
      </c>
      <c r="M84" s="5">
        <f t="shared" si="16"/>
        <v>-320.75457840189614</v>
      </c>
    </row>
    <row r="85" spans="1:13" x14ac:dyDescent="0.25">
      <c r="A85" s="4">
        <v>77</v>
      </c>
      <c r="B85" s="4">
        <f t="shared" si="9"/>
        <v>51</v>
      </c>
      <c r="C85" s="4">
        <f t="shared" si="10"/>
        <v>92</v>
      </c>
      <c r="D85" s="4">
        <f>IF(B85&gt;'Mortality Table'!$A$118,D84,VLOOKUP(B85,'Mortality Table'!$A$2:$B$118,2,FALSE))</f>
        <v>7.28E-3</v>
      </c>
      <c r="E85" s="4">
        <f>IF(INT((C85-1)/12)+1&gt;'Lapse Table'!$A$11,E84,VLOOKUP(INT((C85-1)/12)+1,'Lapse Table'!$A$2:$B$11,2,FALSE))/12</f>
        <v>2.5000000000000001E-3</v>
      </c>
      <c r="F85" s="5">
        <f t="shared" si="17"/>
        <v>0.57678213888888963</v>
      </c>
      <c r="G85" s="6">
        <f t="shared" si="11"/>
        <v>6.0590833333333343E-4</v>
      </c>
      <c r="H85" s="6">
        <f t="shared" si="12"/>
        <v>2.4909000000000003E-3</v>
      </c>
      <c r="I85" s="7">
        <f t="shared" si="13"/>
        <v>19.226071296296322</v>
      </c>
      <c r="J85" s="8">
        <f t="shared" si="14"/>
        <v>605.90833333333342</v>
      </c>
      <c r="K85" s="7">
        <f t="shared" si="15"/>
        <v>-586.68226203703705</v>
      </c>
      <c r="L85" s="4">
        <f>IF(A85&gt;'Yield Curve'!A699,L84,(1+VLOOKUP(A85,'Yield Curve'!A78:B700,2,FALSE))^(1/12)-1)</f>
        <v>7.9741404289037643E-3</v>
      </c>
      <c r="M85" s="5">
        <f t="shared" si="16"/>
        <v>-318.27307104811058</v>
      </c>
    </row>
    <row r="86" spans="1:13" x14ac:dyDescent="0.25">
      <c r="A86" s="4">
        <v>78</v>
      </c>
      <c r="B86" s="4">
        <f t="shared" si="9"/>
        <v>51</v>
      </c>
      <c r="C86" s="4">
        <f t="shared" si="10"/>
        <v>93</v>
      </c>
      <c r="D86" s="4">
        <f>IF(B86&gt;'Mortality Table'!$A$118,D85,VLOOKUP(B86,'Mortality Table'!$A$2:$B$118,2,FALSE))</f>
        <v>7.28E-3</v>
      </c>
      <c r="E86" s="4">
        <f>IF(INT((C86-1)/12)+1&gt;'Lapse Table'!$A$11,E85,VLOOKUP(INT((C86-1)/12)+1,'Lapse Table'!$A$2:$B$11,2,FALSE))/12</f>
        <v>2.5000000000000001E-3</v>
      </c>
      <c r="F86" s="5">
        <f t="shared" si="17"/>
        <v>0.57368533055555637</v>
      </c>
      <c r="G86" s="6">
        <f t="shared" si="11"/>
        <v>6.0590833333333343E-4</v>
      </c>
      <c r="H86" s="6">
        <f t="shared" si="12"/>
        <v>2.4909000000000003E-3</v>
      </c>
      <c r="I86" s="7">
        <f t="shared" si="13"/>
        <v>19.122844351851878</v>
      </c>
      <c r="J86" s="8">
        <f t="shared" si="14"/>
        <v>605.90833333333342</v>
      </c>
      <c r="K86" s="7">
        <f t="shared" si="15"/>
        <v>-586.78548898148154</v>
      </c>
      <c r="L86" s="4">
        <f>IF(A86&gt;'Yield Curve'!A700,L85,(1+VLOOKUP(A86,'Yield Curve'!A79:B701,2,FALSE))^(1/12)-1)</f>
        <v>7.9741404289037643E-3</v>
      </c>
      <c r="M86" s="5">
        <f t="shared" si="16"/>
        <v>-315.81075201814855</v>
      </c>
    </row>
    <row r="87" spans="1:13" x14ac:dyDescent="0.25">
      <c r="A87" s="4">
        <v>79</v>
      </c>
      <c r="B87" s="4">
        <f t="shared" si="9"/>
        <v>51</v>
      </c>
      <c r="C87" s="4">
        <f t="shared" si="10"/>
        <v>94</v>
      </c>
      <c r="D87" s="4">
        <f>IF(B87&gt;'Mortality Table'!$A$118,D86,VLOOKUP(B87,'Mortality Table'!$A$2:$B$118,2,FALSE))</f>
        <v>7.28E-3</v>
      </c>
      <c r="E87" s="4">
        <f>IF(INT((C87-1)/12)+1&gt;'Lapse Table'!$A$11,E86,VLOOKUP(INT((C87-1)/12)+1,'Lapse Table'!$A$2:$B$11,2,FALSE))/12</f>
        <v>2.5000000000000001E-3</v>
      </c>
      <c r="F87" s="5">
        <f t="shared" si="17"/>
        <v>0.57058852222222312</v>
      </c>
      <c r="G87" s="6">
        <f t="shared" si="11"/>
        <v>6.0590833333333343E-4</v>
      </c>
      <c r="H87" s="6">
        <f t="shared" si="12"/>
        <v>2.4909000000000003E-3</v>
      </c>
      <c r="I87" s="7">
        <f t="shared" si="13"/>
        <v>19.019617407407438</v>
      </c>
      <c r="J87" s="8">
        <f t="shared" si="14"/>
        <v>605.90833333333342</v>
      </c>
      <c r="K87" s="7">
        <f t="shared" si="15"/>
        <v>-586.88871592592602</v>
      </c>
      <c r="L87" s="4">
        <f>IF(A87&gt;'Yield Curve'!A701,L86,(1+VLOOKUP(A87,'Yield Curve'!A80:B702,2,FALSE))^(1/12)-1)</f>
        <v>7.9741404289037643E-3</v>
      </c>
      <c r="M87" s="5">
        <f t="shared" si="16"/>
        <v>-313.36747301686086</v>
      </c>
    </row>
    <row r="88" spans="1:13" x14ac:dyDescent="0.25">
      <c r="A88" s="4">
        <v>80</v>
      </c>
      <c r="B88" s="4">
        <f t="shared" si="9"/>
        <v>51</v>
      </c>
      <c r="C88" s="4">
        <f t="shared" si="10"/>
        <v>95</v>
      </c>
      <c r="D88" s="4">
        <f>IF(B88&gt;'Mortality Table'!$A$118,D87,VLOOKUP(B88,'Mortality Table'!$A$2:$B$118,2,FALSE))</f>
        <v>7.28E-3</v>
      </c>
      <c r="E88" s="4">
        <f>IF(INT((C88-1)/12)+1&gt;'Lapse Table'!$A$11,E87,VLOOKUP(INT((C88-1)/12)+1,'Lapse Table'!$A$2:$B$11,2,FALSE))/12</f>
        <v>2.5000000000000001E-3</v>
      </c>
      <c r="F88" s="5">
        <f t="shared" si="17"/>
        <v>0.56749171388888986</v>
      </c>
      <c r="G88" s="6">
        <f t="shared" si="11"/>
        <v>6.0590833333333343E-4</v>
      </c>
      <c r="H88" s="6">
        <f t="shared" si="12"/>
        <v>2.4909000000000003E-3</v>
      </c>
      <c r="I88" s="7">
        <f t="shared" si="13"/>
        <v>18.916390462962998</v>
      </c>
      <c r="J88" s="8">
        <f t="shared" si="14"/>
        <v>605.90833333333342</v>
      </c>
      <c r="K88" s="7">
        <f t="shared" si="15"/>
        <v>-586.99194287037039</v>
      </c>
      <c r="L88" s="4">
        <f>IF(A88&gt;'Yield Curve'!A702,L87,(1+VLOOKUP(A88,'Yield Curve'!A81:B703,2,FALSE))^(1/12)-1)</f>
        <v>7.9741404289037643E-3</v>
      </c>
      <c r="M88" s="5">
        <f t="shared" si="16"/>
        <v>-310.943086894543</v>
      </c>
    </row>
    <row r="89" spans="1:13" x14ac:dyDescent="0.25">
      <c r="A89" s="4">
        <v>81</v>
      </c>
      <c r="B89" s="4">
        <f t="shared" si="9"/>
        <v>51</v>
      </c>
      <c r="C89" s="4">
        <f t="shared" si="10"/>
        <v>96</v>
      </c>
      <c r="D89" s="4">
        <f>IF(B89&gt;'Mortality Table'!$A$118,D88,VLOOKUP(B89,'Mortality Table'!$A$2:$B$118,2,FALSE))</f>
        <v>7.28E-3</v>
      </c>
      <c r="E89" s="4">
        <f>IF(INT((C89-1)/12)+1&gt;'Lapse Table'!$A$11,E88,VLOOKUP(INT((C89-1)/12)+1,'Lapse Table'!$A$2:$B$11,2,FALSE))/12</f>
        <v>2.5000000000000001E-3</v>
      </c>
      <c r="F89" s="5">
        <f t="shared" si="17"/>
        <v>0.5643949055555566</v>
      </c>
      <c r="G89" s="6">
        <f t="shared" si="11"/>
        <v>6.0590833333333343E-4</v>
      </c>
      <c r="H89" s="6">
        <f t="shared" si="12"/>
        <v>2.4909000000000003E-3</v>
      </c>
      <c r="I89" s="7">
        <f t="shared" si="13"/>
        <v>18.813163518518554</v>
      </c>
      <c r="J89" s="8">
        <f t="shared" si="14"/>
        <v>605.90833333333342</v>
      </c>
      <c r="K89" s="7">
        <f t="shared" si="15"/>
        <v>-587.09516981481488</v>
      </c>
      <c r="L89" s="4">
        <f>IF(A89&gt;'Yield Curve'!A703,L88,(1+VLOOKUP(A89,'Yield Curve'!A82:B704,2,FALSE))^(1/12)-1)</f>
        <v>7.9741404289037643E-3</v>
      </c>
      <c r="M89" s="5">
        <f t="shared" si="16"/>
        <v>-308.53744763809351</v>
      </c>
    </row>
    <row r="90" spans="1:13" x14ac:dyDescent="0.25">
      <c r="A90" s="4">
        <v>82</v>
      </c>
      <c r="B90" s="4">
        <f t="shared" si="9"/>
        <v>51</v>
      </c>
      <c r="C90" s="4">
        <f t="shared" si="10"/>
        <v>97</v>
      </c>
      <c r="D90" s="4">
        <f>IF(B90&gt;'Mortality Table'!$A$118,D89,VLOOKUP(B90,'Mortality Table'!$A$2:$B$118,2,FALSE))</f>
        <v>7.28E-3</v>
      </c>
      <c r="E90" s="4">
        <f>IF(INT((C90-1)/12)+1&gt;'Lapse Table'!$A$11,E89,VLOOKUP(INT((C90-1)/12)+1,'Lapse Table'!$A$2:$B$11,2,FALSE))/12</f>
        <v>1.6666666666666668E-3</v>
      </c>
      <c r="F90" s="5">
        <f t="shared" si="17"/>
        <v>0.56212814444444548</v>
      </c>
      <c r="G90" s="6">
        <f t="shared" si="11"/>
        <v>6.0616111111111111E-4</v>
      </c>
      <c r="H90" s="6">
        <f t="shared" si="12"/>
        <v>1.6606000000000001E-3</v>
      </c>
      <c r="I90" s="7">
        <f t="shared" si="13"/>
        <v>18.737604814814848</v>
      </c>
      <c r="J90" s="8">
        <f t="shared" si="14"/>
        <v>606.16111111111115</v>
      </c>
      <c r="K90" s="7">
        <f t="shared" si="15"/>
        <v>-587.4235062962963</v>
      </c>
      <c r="L90" s="4">
        <f>IF(A90&gt;'Yield Curve'!A704,L89,(1+VLOOKUP(A90,'Yield Curve'!A83:B705,2,FALSE))^(1/12)-1)</f>
        <v>7.9741404289037643E-3</v>
      </c>
      <c r="M90" s="5">
        <f t="shared" si="16"/>
        <v>-306.26777678817041</v>
      </c>
    </row>
    <row r="91" spans="1:13" x14ac:dyDescent="0.25">
      <c r="A91" s="4">
        <v>83</v>
      </c>
      <c r="B91" s="4">
        <f t="shared" si="9"/>
        <v>51</v>
      </c>
      <c r="C91" s="4">
        <f t="shared" si="10"/>
        <v>98</v>
      </c>
      <c r="D91" s="4">
        <f>IF(B91&gt;'Mortality Table'!$A$118,D90,VLOOKUP(B91,'Mortality Table'!$A$2:$B$118,2,FALSE))</f>
        <v>7.28E-3</v>
      </c>
      <c r="E91" s="4">
        <f>IF(INT((C91-1)/12)+1&gt;'Lapse Table'!$A$11,E90,VLOOKUP(INT((C91-1)/12)+1,'Lapse Table'!$A$2:$B$11,2,FALSE))/12</f>
        <v>1.6666666666666668E-3</v>
      </c>
      <c r="F91" s="5">
        <f t="shared" si="17"/>
        <v>0.55986138333333435</v>
      </c>
      <c r="G91" s="6">
        <f t="shared" si="11"/>
        <v>6.0616111111111111E-4</v>
      </c>
      <c r="H91" s="6">
        <f t="shared" si="12"/>
        <v>1.6606000000000001E-3</v>
      </c>
      <c r="I91" s="7">
        <f t="shared" si="13"/>
        <v>18.662046111111145</v>
      </c>
      <c r="J91" s="8">
        <f t="shared" si="14"/>
        <v>606.16111111111115</v>
      </c>
      <c r="K91" s="7">
        <f t="shared" si="15"/>
        <v>-587.49906499999997</v>
      </c>
      <c r="L91" s="4">
        <f>IF(A91&gt;'Yield Curve'!A705,L90,(1+VLOOKUP(A91,'Yield Curve'!A84:B706,2,FALSE))^(1/12)-1)</f>
        <v>7.9741404289037643E-3</v>
      </c>
      <c r="M91" s="5">
        <f t="shared" si="16"/>
        <v>-303.88395783367343</v>
      </c>
    </row>
    <row r="92" spans="1:13" x14ac:dyDescent="0.25">
      <c r="A92" s="4">
        <v>84</v>
      </c>
      <c r="B92" s="4">
        <f t="shared" si="9"/>
        <v>52</v>
      </c>
      <c r="C92" s="4">
        <f t="shared" si="10"/>
        <v>99</v>
      </c>
      <c r="D92" s="4">
        <f>IF(B92&gt;'Mortality Table'!$A$118,D91,VLOOKUP(B92,'Mortality Table'!$A$2:$B$118,2,FALSE))</f>
        <v>7.9600000000000001E-3</v>
      </c>
      <c r="E92" s="4">
        <f>IF(INT((C92-1)/12)+1&gt;'Lapse Table'!$A$11,E91,VLOOKUP(INT((C92-1)/12)+1,'Lapse Table'!$A$2:$B$11,2,FALSE))/12</f>
        <v>1.6666666666666668E-3</v>
      </c>
      <c r="F92" s="5">
        <f t="shared" si="17"/>
        <v>0.55753856944444546</v>
      </c>
      <c r="G92" s="6">
        <f t="shared" si="11"/>
        <v>6.6278055555555563E-4</v>
      </c>
      <c r="H92" s="6">
        <f t="shared" si="12"/>
        <v>1.6600333333333334E-3</v>
      </c>
      <c r="I92" s="7">
        <f t="shared" si="13"/>
        <v>18.584618981481515</v>
      </c>
      <c r="J92" s="8">
        <f t="shared" si="14"/>
        <v>662.78055555555568</v>
      </c>
      <c r="K92" s="7">
        <f t="shared" si="15"/>
        <v>-644.19593657407415</v>
      </c>
      <c r="L92" s="4">
        <f>IF(A92&gt;'Yield Curve'!A706,L91,(1+VLOOKUP(A92,'Yield Curve'!A85:B707,2,FALSE))^(1/12)-1)</f>
        <v>7.9741404289037643E-3</v>
      </c>
      <c r="M92" s="5">
        <f t="shared" si="16"/>
        <v>-330.5743745842189</v>
      </c>
    </row>
    <row r="93" spans="1:13" x14ac:dyDescent="0.25">
      <c r="A93" s="4">
        <v>85</v>
      </c>
      <c r="B93" s="4">
        <f t="shared" si="9"/>
        <v>52</v>
      </c>
      <c r="C93" s="4">
        <f t="shared" si="10"/>
        <v>100</v>
      </c>
      <c r="D93" s="4">
        <f>IF(B93&gt;'Mortality Table'!$A$118,D92,VLOOKUP(B93,'Mortality Table'!$A$2:$B$118,2,FALSE))</f>
        <v>7.9600000000000001E-3</v>
      </c>
      <c r="E93" s="4">
        <f>IF(INT((C93-1)/12)+1&gt;'Lapse Table'!$A$11,E92,VLOOKUP(INT((C93-1)/12)+1,'Lapse Table'!$A$2:$B$11,2,FALSE))/12</f>
        <v>1.6666666666666668E-3</v>
      </c>
      <c r="F93" s="5">
        <f t="shared" si="17"/>
        <v>0.55521575555555658</v>
      </c>
      <c r="G93" s="6">
        <f t="shared" si="11"/>
        <v>6.6278055555555563E-4</v>
      </c>
      <c r="H93" s="6">
        <f t="shared" si="12"/>
        <v>1.6600333333333334E-3</v>
      </c>
      <c r="I93" s="7">
        <f t="shared" si="13"/>
        <v>18.507191851851886</v>
      </c>
      <c r="J93" s="8">
        <f t="shared" si="14"/>
        <v>662.78055555555568</v>
      </c>
      <c r="K93" s="7">
        <f t="shared" si="15"/>
        <v>-644.27336370370381</v>
      </c>
      <c r="L93" s="4">
        <f>IF(A93&gt;'Yield Curve'!A707,L92,(1+VLOOKUP(A93,'Yield Curve'!A86:B708,2,FALSE))^(1/12)-1)</f>
        <v>7.9741404289037643E-3</v>
      </c>
      <c r="M93" s="5">
        <f t="shared" si="16"/>
        <v>-327.99860004710013</v>
      </c>
    </row>
    <row r="94" spans="1:13" x14ac:dyDescent="0.25">
      <c r="A94" s="4">
        <v>86</v>
      </c>
      <c r="B94" s="4">
        <f t="shared" si="9"/>
        <v>52</v>
      </c>
      <c r="C94" s="4">
        <f t="shared" si="10"/>
        <v>101</v>
      </c>
      <c r="D94" s="4">
        <f>IF(B94&gt;'Mortality Table'!$A$118,D93,VLOOKUP(B94,'Mortality Table'!$A$2:$B$118,2,FALSE))</f>
        <v>7.9600000000000001E-3</v>
      </c>
      <c r="E94" s="4">
        <f>IF(INT((C94-1)/12)+1&gt;'Lapse Table'!$A$11,E93,VLOOKUP(INT((C94-1)/12)+1,'Lapse Table'!$A$2:$B$11,2,FALSE))/12</f>
        <v>1.6666666666666668E-3</v>
      </c>
      <c r="F94" s="5">
        <f t="shared" si="17"/>
        <v>0.55289294166666769</v>
      </c>
      <c r="G94" s="6">
        <f t="shared" si="11"/>
        <v>6.6278055555555563E-4</v>
      </c>
      <c r="H94" s="6">
        <f t="shared" si="12"/>
        <v>1.6600333333333334E-3</v>
      </c>
      <c r="I94" s="7">
        <f t="shared" si="13"/>
        <v>18.429764722222256</v>
      </c>
      <c r="J94" s="8">
        <f t="shared" si="14"/>
        <v>662.78055555555568</v>
      </c>
      <c r="K94" s="7">
        <f t="shared" si="15"/>
        <v>-644.35079083333346</v>
      </c>
      <c r="L94" s="4">
        <f>IF(A94&gt;'Yield Curve'!A708,L93,(1+VLOOKUP(A94,'Yield Curve'!A87:B709,2,FALSE))^(1/12)-1)</f>
        <v>7.9741404289037643E-3</v>
      </c>
      <c r="M94" s="5">
        <f t="shared" si="16"/>
        <v>-325.44289076970688</v>
      </c>
    </row>
    <row r="95" spans="1:13" x14ac:dyDescent="0.25">
      <c r="A95" s="4">
        <v>87</v>
      </c>
      <c r="B95" s="4">
        <f t="shared" si="9"/>
        <v>52</v>
      </c>
      <c r="C95" s="4">
        <f t="shared" si="10"/>
        <v>102</v>
      </c>
      <c r="D95" s="4">
        <f>IF(B95&gt;'Mortality Table'!$A$118,D94,VLOOKUP(B95,'Mortality Table'!$A$2:$B$118,2,FALSE))</f>
        <v>7.9600000000000001E-3</v>
      </c>
      <c r="E95" s="4">
        <f>IF(INT((C95-1)/12)+1&gt;'Lapse Table'!$A$11,E94,VLOOKUP(INT((C95-1)/12)+1,'Lapse Table'!$A$2:$B$11,2,FALSE))/12</f>
        <v>1.6666666666666668E-3</v>
      </c>
      <c r="F95" s="5">
        <f t="shared" si="17"/>
        <v>0.55057012777777881</v>
      </c>
      <c r="G95" s="6">
        <f t="shared" si="11"/>
        <v>6.6278055555555563E-4</v>
      </c>
      <c r="H95" s="6">
        <f t="shared" si="12"/>
        <v>1.6600333333333334E-3</v>
      </c>
      <c r="I95" s="7">
        <f t="shared" si="13"/>
        <v>18.352337592592626</v>
      </c>
      <c r="J95" s="8">
        <f t="shared" si="14"/>
        <v>662.78055555555568</v>
      </c>
      <c r="K95" s="7">
        <f t="shared" si="15"/>
        <v>-644.428217962963</v>
      </c>
      <c r="L95" s="4">
        <f>IF(A95&gt;'Yield Curve'!A709,L94,(1+VLOOKUP(A95,'Yield Curve'!A88:B710,2,FALSE))^(1/12)-1)</f>
        <v>7.9741404289037643E-3</v>
      </c>
      <c r="M95" s="5">
        <f t="shared" si="16"/>
        <v>-322.90709048160488</v>
      </c>
    </row>
    <row r="96" spans="1:13" x14ac:dyDescent="0.25">
      <c r="A96" s="4">
        <v>88</v>
      </c>
      <c r="B96" s="4">
        <f t="shared" si="9"/>
        <v>52</v>
      </c>
      <c r="C96" s="4">
        <f t="shared" si="10"/>
        <v>103</v>
      </c>
      <c r="D96" s="4">
        <f>IF(B96&gt;'Mortality Table'!$A$118,D95,VLOOKUP(B96,'Mortality Table'!$A$2:$B$118,2,FALSE))</f>
        <v>7.9600000000000001E-3</v>
      </c>
      <c r="E96" s="4">
        <f>IF(INT((C96-1)/12)+1&gt;'Lapse Table'!$A$11,E95,VLOOKUP(INT((C96-1)/12)+1,'Lapse Table'!$A$2:$B$11,2,FALSE))/12</f>
        <v>1.6666666666666668E-3</v>
      </c>
      <c r="F96" s="5">
        <f t="shared" si="17"/>
        <v>0.54824731388888992</v>
      </c>
      <c r="G96" s="6">
        <f t="shared" si="11"/>
        <v>6.6278055555555563E-4</v>
      </c>
      <c r="H96" s="6">
        <f t="shared" si="12"/>
        <v>1.6600333333333334E-3</v>
      </c>
      <c r="I96" s="7">
        <f t="shared" si="13"/>
        <v>18.274910462962996</v>
      </c>
      <c r="J96" s="8">
        <f t="shared" si="14"/>
        <v>662.78055555555568</v>
      </c>
      <c r="K96" s="7">
        <f t="shared" si="15"/>
        <v>-644.50564509259266</v>
      </c>
      <c r="L96" s="4">
        <f>IF(A96&gt;'Yield Curve'!A710,L95,(1+VLOOKUP(A96,'Yield Curve'!A89:B711,2,FALSE))^(1/12)-1)</f>
        <v>7.9741404289037643E-3</v>
      </c>
      <c r="M96" s="5">
        <f t="shared" si="16"/>
        <v>-320.39104412910814</v>
      </c>
    </row>
    <row r="97" spans="1:13" x14ac:dyDescent="0.25">
      <c r="A97" s="4">
        <v>89</v>
      </c>
      <c r="B97" s="4">
        <f t="shared" si="9"/>
        <v>52</v>
      </c>
      <c r="C97" s="4">
        <f t="shared" si="10"/>
        <v>104</v>
      </c>
      <c r="D97" s="4">
        <f>IF(B97&gt;'Mortality Table'!$A$118,D96,VLOOKUP(B97,'Mortality Table'!$A$2:$B$118,2,FALSE))</f>
        <v>7.9600000000000001E-3</v>
      </c>
      <c r="E97" s="4">
        <f>IF(INT((C97-1)/12)+1&gt;'Lapse Table'!$A$11,E96,VLOOKUP(INT((C97-1)/12)+1,'Lapse Table'!$A$2:$B$11,2,FALSE))/12</f>
        <v>1.6666666666666668E-3</v>
      </c>
      <c r="F97" s="5">
        <f t="shared" si="17"/>
        <v>0.54592450000000103</v>
      </c>
      <c r="G97" s="6">
        <f t="shared" si="11"/>
        <v>6.6278055555555563E-4</v>
      </c>
      <c r="H97" s="6">
        <f t="shared" si="12"/>
        <v>1.6600333333333334E-3</v>
      </c>
      <c r="I97" s="7">
        <f t="shared" si="13"/>
        <v>18.19748333333337</v>
      </c>
      <c r="J97" s="8">
        <f t="shared" si="14"/>
        <v>662.78055555555568</v>
      </c>
      <c r="K97" s="7">
        <f t="shared" si="15"/>
        <v>-644.58307222222231</v>
      </c>
      <c r="L97" s="4">
        <f>IF(A97&gt;'Yield Curve'!A711,L96,(1+VLOOKUP(A97,'Yield Curve'!A90:B712,2,FALSE))^(1/12)-1)</f>
        <v>7.9741404289037643E-3</v>
      </c>
      <c r="M97" s="5">
        <f t="shared" si="16"/>
        <v>-317.89459786580721</v>
      </c>
    </row>
    <row r="98" spans="1:13" x14ac:dyDescent="0.25">
      <c r="A98" s="4">
        <v>90</v>
      </c>
      <c r="B98" s="4">
        <f t="shared" si="9"/>
        <v>52</v>
      </c>
      <c r="C98" s="4">
        <f t="shared" si="10"/>
        <v>105</v>
      </c>
      <c r="D98" s="4">
        <f>IF(B98&gt;'Mortality Table'!$A$118,D97,VLOOKUP(B98,'Mortality Table'!$A$2:$B$118,2,FALSE))</f>
        <v>7.9600000000000001E-3</v>
      </c>
      <c r="E98" s="4">
        <f>IF(INT((C98-1)/12)+1&gt;'Lapse Table'!$A$11,E97,VLOOKUP(INT((C98-1)/12)+1,'Lapse Table'!$A$2:$B$11,2,FALSE))/12</f>
        <v>1.6666666666666668E-3</v>
      </c>
      <c r="F98" s="5">
        <f t="shared" si="17"/>
        <v>0.54360168611111215</v>
      </c>
      <c r="G98" s="6">
        <f t="shared" si="11"/>
        <v>6.6278055555555563E-4</v>
      </c>
      <c r="H98" s="6">
        <f t="shared" si="12"/>
        <v>1.6600333333333334E-3</v>
      </c>
      <c r="I98" s="7">
        <f t="shared" si="13"/>
        <v>18.120056203703736</v>
      </c>
      <c r="J98" s="8">
        <f t="shared" si="14"/>
        <v>662.78055555555568</v>
      </c>
      <c r="K98" s="7">
        <f t="shared" si="15"/>
        <v>-644.66049935185197</v>
      </c>
      <c r="L98" s="4">
        <f>IF(A98&gt;'Yield Curve'!A712,L97,(1+VLOOKUP(A98,'Yield Curve'!A91:B713,2,FALSE))^(1/12)-1)</f>
        <v>7.9741404289037643E-3</v>
      </c>
      <c r="M98" s="5">
        <f t="shared" si="16"/>
        <v>-315.41759904317138</v>
      </c>
    </row>
    <row r="99" spans="1:13" x14ac:dyDescent="0.25">
      <c r="A99" s="4">
        <v>91</v>
      </c>
      <c r="B99" s="4">
        <f t="shared" si="9"/>
        <v>52</v>
      </c>
      <c r="C99" s="4">
        <f t="shared" si="10"/>
        <v>106</v>
      </c>
      <c r="D99" s="4">
        <f>IF(B99&gt;'Mortality Table'!$A$118,D98,VLOOKUP(B99,'Mortality Table'!$A$2:$B$118,2,FALSE))</f>
        <v>7.9600000000000001E-3</v>
      </c>
      <c r="E99" s="4">
        <f>IF(INT((C99-1)/12)+1&gt;'Lapse Table'!$A$11,E98,VLOOKUP(INT((C99-1)/12)+1,'Lapse Table'!$A$2:$B$11,2,FALSE))/12</f>
        <v>1.6666666666666668E-3</v>
      </c>
      <c r="F99" s="5">
        <f t="shared" si="17"/>
        <v>0.54127887222222326</v>
      </c>
      <c r="G99" s="6">
        <f t="shared" si="11"/>
        <v>6.6278055555555563E-4</v>
      </c>
      <c r="H99" s="6">
        <f t="shared" si="12"/>
        <v>1.6600333333333334E-3</v>
      </c>
      <c r="I99" s="7">
        <f t="shared" si="13"/>
        <v>18.04262907407411</v>
      </c>
      <c r="J99" s="8">
        <f t="shared" si="14"/>
        <v>662.78055555555568</v>
      </c>
      <c r="K99" s="7">
        <f t="shared" si="15"/>
        <v>-644.73792648148162</v>
      </c>
      <c r="L99" s="4">
        <f>IF(A99&gt;'Yield Curve'!A713,L98,(1+VLOOKUP(A99,'Yield Curve'!A92:B714,2,FALSE))^(1/12)-1)</f>
        <v>7.9741404289037643E-3</v>
      </c>
      <c r="M99" s="5">
        <f t="shared" si="16"/>
        <v>-312.95989620122435</v>
      </c>
    </row>
    <row r="100" spans="1:13" x14ac:dyDescent="0.25">
      <c r="A100" s="4">
        <v>92</v>
      </c>
      <c r="B100" s="4">
        <f t="shared" si="9"/>
        <v>52</v>
      </c>
      <c r="C100" s="4">
        <f t="shared" si="10"/>
        <v>107</v>
      </c>
      <c r="D100" s="4">
        <f>IF(B100&gt;'Mortality Table'!$A$118,D99,VLOOKUP(B100,'Mortality Table'!$A$2:$B$118,2,FALSE))</f>
        <v>7.9600000000000001E-3</v>
      </c>
      <c r="E100" s="4">
        <f>IF(INT((C100-1)/12)+1&gt;'Lapse Table'!$A$11,E99,VLOOKUP(INT((C100-1)/12)+1,'Lapse Table'!$A$2:$B$11,2,FALSE))/12</f>
        <v>1.6666666666666668E-3</v>
      </c>
      <c r="F100" s="5">
        <f t="shared" si="17"/>
        <v>0.53895605833333438</v>
      </c>
      <c r="G100" s="6">
        <f t="shared" si="11"/>
        <v>6.6278055555555563E-4</v>
      </c>
      <c r="H100" s="6">
        <f t="shared" si="12"/>
        <v>1.6600333333333334E-3</v>
      </c>
      <c r="I100" s="7">
        <f t="shared" si="13"/>
        <v>17.965201944444477</v>
      </c>
      <c r="J100" s="8">
        <f t="shared" si="14"/>
        <v>662.78055555555568</v>
      </c>
      <c r="K100" s="7">
        <f t="shared" si="15"/>
        <v>-644.81535361111116</v>
      </c>
      <c r="L100" s="4">
        <f>IF(A100&gt;'Yield Curve'!A714,L99,(1+VLOOKUP(A100,'Yield Curve'!A93:B715,2,FALSE))^(1/12)-1)</f>
        <v>7.9741404289037643E-3</v>
      </c>
      <c r="M100" s="5">
        <f t="shared" si="16"/>
        <v>-310.52133905929202</v>
      </c>
    </row>
    <row r="101" spans="1:13" x14ac:dyDescent="0.25">
      <c r="A101" s="4">
        <v>93</v>
      </c>
      <c r="B101" s="4">
        <f t="shared" si="9"/>
        <v>52</v>
      </c>
      <c r="C101" s="4">
        <f t="shared" si="10"/>
        <v>108</v>
      </c>
      <c r="D101" s="4">
        <f>IF(B101&gt;'Mortality Table'!$A$118,D100,VLOOKUP(B101,'Mortality Table'!$A$2:$B$118,2,FALSE))</f>
        <v>7.9600000000000001E-3</v>
      </c>
      <c r="E101" s="4">
        <f>IF(INT((C101-1)/12)+1&gt;'Lapse Table'!$A$11,E100,VLOOKUP(INT((C101-1)/12)+1,'Lapse Table'!$A$2:$B$11,2,FALSE))/12</f>
        <v>1.6666666666666668E-3</v>
      </c>
      <c r="F101" s="5">
        <f t="shared" si="17"/>
        <v>0.53663324444444549</v>
      </c>
      <c r="G101" s="6">
        <f t="shared" si="11"/>
        <v>6.6278055555555563E-4</v>
      </c>
      <c r="H101" s="6">
        <f t="shared" si="12"/>
        <v>1.6600333333333334E-3</v>
      </c>
      <c r="I101" s="7">
        <f t="shared" si="13"/>
        <v>17.887774814814851</v>
      </c>
      <c r="J101" s="8">
        <f t="shared" si="14"/>
        <v>662.78055555555568</v>
      </c>
      <c r="K101" s="7">
        <f t="shared" si="15"/>
        <v>-644.89278074074082</v>
      </c>
      <c r="L101" s="4">
        <f>IF(A101&gt;'Yield Curve'!A715,L100,(1+VLOOKUP(A101,'Yield Curve'!A94:B716,2,FALSE))^(1/12)-1)</f>
        <v>7.9741404289037643E-3</v>
      </c>
      <c r="M101" s="5">
        <f t="shared" si="16"/>
        <v>-308.10177850682317</v>
      </c>
    </row>
    <row r="102" spans="1:13" x14ac:dyDescent="0.25">
      <c r="A102" s="4">
        <v>94</v>
      </c>
      <c r="B102" s="4">
        <f t="shared" si="9"/>
        <v>52</v>
      </c>
      <c r="C102" s="4">
        <f t="shared" si="10"/>
        <v>109</v>
      </c>
      <c r="D102" s="4">
        <f>IF(B102&gt;'Mortality Table'!$A$118,D101,VLOOKUP(B102,'Mortality Table'!$A$2:$B$118,2,FALSE))</f>
        <v>7.9600000000000001E-3</v>
      </c>
      <c r="E102" s="4">
        <f>IF(INT((C102-1)/12)+1&gt;'Lapse Table'!$A$11,E101,VLOOKUP(INT((C102-1)/12)+1,'Lapse Table'!$A$2:$B$11,2,FALSE))/12</f>
        <v>8.3333333333333339E-4</v>
      </c>
      <c r="F102" s="5">
        <f t="shared" si="17"/>
        <v>0.53514017083333432</v>
      </c>
      <c r="G102" s="6">
        <f t="shared" si="11"/>
        <v>6.630569444444445E-4</v>
      </c>
      <c r="H102" s="6">
        <f t="shared" si="12"/>
        <v>8.3001666666666668E-4</v>
      </c>
      <c r="I102" s="7">
        <f t="shared" si="13"/>
        <v>17.838005694444476</v>
      </c>
      <c r="J102" s="8">
        <f t="shared" si="14"/>
        <v>663.05694444444453</v>
      </c>
      <c r="K102" s="7">
        <f t="shared" si="15"/>
        <v>-645.21893875000001</v>
      </c>
      <c r="L102" s="4">
        <f>IF(A102&gt;'Yield Curve'!A716,L101,(1+VLOOKUP(A102,'Yield Curve'!A95:B717,2,FALSE))^(1/12)-1)</f>
        <v>7.9741404289037643E-3</v>
      </c>
      <c r="M102" s="5">
        <f t="shared" si="16"/>
        <v>-305.81895931904438</v>
      </c>
    </row>
    <row r="103" spans="1:13" x14ac:dyDescent="0.25">
      <c r="A103" s="4">
        <v>95</v>
      </c>
      <c r="B103" s="4">
        <f t="shared" si="9"/>
        <v>52</v>
      </c>
      <c r="C103" s="4">
        <f t="shared" si="10"/>
        <v>110</v>
      </c>
      <c r="D103" s="4">
        <f>IF(B103&gt;'Mortality Table'!$A$118,D102,VLOOKUP(B103,'Mortality Table'!$A$2:$B$118,2,FALSE))</f>
        <v>7.9600000000000001E-3</v>
      </c>
      <c r="E103" s="4">
        <f>IF(INT((C103-1)/12)+1&gt;'Lapse Table'!$A$11,E102,VLOOKUP(INT((C103-1)/12)+1,'Lapse Table'!$A$2:$B$11,2,FALSE))/12</f>
        <v>8.3333333333333339E-4</v>
      </c>
      <c r="F103" s="5">
        <f t="shared" si="17"/>
        <v>0.53364709722222314</v>
      </c>
      <c r="G103" s="6">
        <f t="shared" si="11"/>
        <v>6.630569444444445E-4</v>
      </c>
      <c r="H103" s="6">
        <f t="shared" si="12"/>
        <v>8.3001666666666668E-4</v>
      </c>
      <c r="I103" s="7">
        <f t="shared" si="13"/>
        <v>17.788236574074105</v>
      </c>
      <c r="J103" s="8">
        <f t="shared" si="14"/>
        <v>663.05694444444453</v>
      </c>
      <c r="K103" s="7">
        <f t="shared" si="15"/>
        <v>-645.26870787037046</v>
      </c>
      <c r="L103" s="4">
        <f>IF(A103&gt;'Yield Curve'!A717,L102,(1+VLOOKUP(A103,'Yield Curve'!A96:B718,2,FALSE))^(1/12)-1)</f>
        <v>7.9741404289037643E-3</v>
      </c>
      <c r="M103" s="5">
        <f t="shared" si="16"/>
        <v>-303.42301103974535</v>
      </c>
    </row>
    <row r="104" spans="1:13" x14ac:dyDescent="0.25">
      <c r="A104" s="4">
        <v>96</v>
      </c>
      <c r="B104" s="4">
        <f t="shared" si="9"/>
        <v>53</v>
      </c>
      <c r="C104" s="4">
        <f t="shared" si="10"/>
        <v>111</v>
      </c>
      <c r="D104" s="4">
        <f>IF(B104&gt;'Mortality Table'!$A$118,D103,VLOOKUP(B104,'Mortality Table'!$A$2:$B$118,2,FALSE))</f>
        <v>8.6999999999999994E-3</v>
      </c>
      <c r="E104" s="4">
        <f>IF(INT((C104-1)/12)+1&gt;'Lapse Table'!$A$11,E103,VLOOKUP(INT((C104-1)/12)+1,'Lapse Table'!$A$2:$B$11,2,FALSE))/12</f>
        <v>8.3333333333333339E-4</v>
      </c>
      <c r="F104" s="5">
        <f t="shared" si="17"/>
        <v>0.53209269097222323</v>
      </c>
      <c r="G104" s="6">
        <f t="shared" si="11"/>
        <v>7.2469791666666668E-4</v>
      </c>
      <c r="H104" s="6">
        <f t="shared" si="12"/>
        <v>8.2970833333333345E-4</v>
      </c>
      <c r="I104" s="7">
        <f t="shared" si="13"/>
        <v>17.736423032407441</v>
      </c>
      <c r="J104" s="8">
        <f t="shared" si="14"/>
        <v>724.69791666666663</v>
      </c>
      <c r="K104" s="7">
        <f t="shared" si="15"/>
        <v>-706.96149363425923</v>
      </c>
      <c r="L104" s="4">
        <f>IF(A104&gt;'Yield Curve'!A718,L103,(1+VLOOKUP(A104,'Yield Curve'!A97:B719,2,FALSE))^(1/12)-1)</f>
        <v>7.9741404289037643E-3</v>
      </c>
      <c r="M104" s="5">
        <f t="shared" si="16"/>
        <v>-329.80275430447756</v>
      </c>
    </row>
    <row r="105" spans="1:13" x14ac:dyDescent="0.25">
      <c r="A105" s="4">
        <v>97</v>
      </c>
      <c r="B105" s="4">
        <f t="shared" si="9"/>
        <v>53</v>
      </c>
      <c r="C105" s="4">
        <f t="shared" si="10"/>
        <v>112</v>
      </c>
      <c r="D105" s="4">
        <f>IF(B105&gt;'Mortality Table'!$A$118,D104,VLOOKUP(B105,'Mortality Table'!$A$2:$B$118,2,FALSE))</f>
        <v>8.6999999999999994E-3</v>
      </c>
      <c r="E105" s="4">
        <f>IF(INT((C105-1)/12)+1&gt;'Lapse Table'!$A$11,E104,VLOOKUP(INT((C105-1)/12)+1,'Lapse Table'!$A$2:$B$11,2,FALSE))/12</f>
        <v>8.3333333333333339E-4</v>
      </c>
      <c r="F105" s="5">
        <f t="shared" si="17"/>
        <v>0.53053828472222331</v>
      </c>
      <c r="G105" s="6">
        <f t="shared" si="11"/>
        <v>7.2469791666666668E-4</v>
      </c>
      <c r="H105" s="6">
        <f t="shared" si="12"/>
        <v>8.2970833333333345E-4</v>
      </c>
      <c r="I105" s="7">
        <f t="shared" si="13"/>
        <v>17.684609490740776</v>
      </c>
      <c r="J105" s="8">
        <f t="shared" si="14"/>
        <v>724.69791666666663</v>
      </c>
      <c r="K105" s="7">
        <f t="shared" si="15"/>
        <v>-707.01330717592589</v>
      </c>
      <c r="L105" s="4">
        <f>IF(A105&gt;'Yield Curve'!A719,L104,(1+VLOOKUP(A105,'Yield Curve'!A98:B720,2,FALSE))^(1/12)-1)</f>
        <v>7.9741404289037643E-3</v>
      </c>
      <c r="M105" s="5">
        <f t="shared" si="16"/>
        <v>-327.21764624210988</v>
      </c>
    </row>
    <row r="106" spans="1:13" x14ac:dyDescent="0.25">
      <c r="A106" s="4">
        <v>98</v>
      </c>
      <c r="B106" s="4">
        <f t="shared" si="9"/>
        <v>53</v>
      </c>
      <c r="C106" s="4">
        <f t="shared" si="10"/>
        <v>113</v>
      </c>
      <c r="D106" s="4">
        <f>IF(B106&gt;'Mortality Table'!$A$118,D105,VLOOKUP(B106,'Mortality Table'!$A$2:$B$118,2,FALSE))</f>
        <v>8.6999999999999994E-3</v>
      </c>
      <c r="E106" s="4">
        <f>IF(INT((C106-1)/12)+1&gt;'Lapse Table'!$A$11,E105,VLOOKUP(INT((C106-1)/12)+1,'Lapse Table'!$A$2:$B$11,2,FALSE))/12</f>
        <v>8.3333333333333339E-4</v>
      </c>
      <c r="F106" s="5">
        <f t="shared" si="17"/>
        <v>0.52898387847222339</v>
      </c>
      <c r="G106" s="6">
        <f t="shared" si="11"/>
        <v>7.2469791666666668E-4</v>
      </c>
      <c r="H106" s="6">
        <f t="shared" si="12"/>
        <v>8.2970833333333345E-4</v>
      </c>
      <c r="I106" s="7">
        <f t="shared" si="13"/>
        <v>17.632795949074112</v>
      </c>
      <c r="J106" s="8">
        <f t="shared" si="14"/>
        <v>724.69791666666663</v>
      </c>
      <c r="K106" s="7">
        <f t="shared" si="15"/>
        <v>-707.06512071759255</v>
      </c>
      <c r="L106" s="4">
        <f>IF(A106&gt;'Yield Curve'!A720,L105,(1+VLOOKUP(A106,'Yield Curve'!A99:B721,2,FALSE))^(1/12)-1)</f>
        <v>7.9741404289037643E-3</v>
      </c>
      <c r="M106" s="5">
        <f t="shared" si="16"/>
        <v>-324.65279940727277</v>
      </c>
    </row>
    <row r="107" spans="1:13" x14ac:dyDescent="0.25">
      <c r="A107" s="4">
        <v>99</v>
      </c>
      <c r="B107" s="4">
        <f t="shared" si="9"/>
        <v>53</v>
      </c>
      <c r="C107" s="4">
        <f t="shared" si="10"/>
        <v>114</v>
      </c>
      <c r="D107" s="4">
        <f>IF(B107&gt;'Mortality Table'!$A$118,D106,VLOOKUP(B107,'Mortality Table'!$A$2:$B$118,2,FALSE))</f>
        <v>8.6999999999999994E-3</v>
      </c>
      <c r="E107" s="4">
        <f>IF(INT((C107-1)/12)+1&gt;'Lapse Table'!$A$11,E106,VLOOKUP(INT((C107-1)/12)+1,'Lapse Table'!$A$2:$B$11,2,FALSE))/12</f>
        <v>8.3333333333333339E-4</v>
      </c>
      <c r="F107" s="5">
        <f t="shared" si="17"/>
        <v>0.52742947222222347</v>
      </c>
      <c r="G107" s="6">
        <f t="shared" si="11"/>
        <v>7.2469791666666668E-4</v>
      </c>
      <c r="H107" s="6">
        <f t="shared" si="12"/>
        <v>8.2970833333333345E-4</v>
      </c>
      <c r="I107" s="7">
        <f t="shared" si="13"/>
        <v>17.580982407407451</v>
      </c>
      <c r="J107" s="8">
        <f t="shared" si="14"/>
        <v>724.69791666666663</v>
      </c>
      <c r="K107" s="7">
        <f t="shared" si="15"/>
        <v>-707.11693425925921</v>
      </c>
      <c r="L107" s="4">
        <f>IF(A107&gt;'Yield Curve'!A721,L106,(1+VLOOKUP(A107,'Yield Curve'!A100:B722,2,FALSE))^(1/12)-1)</f>
        <v>7.9741404289037643E-3</v>
      </c>
      <c r="M107" s="5">
        <f t="shared" si="16"/>
        <v>-322.10805501304452</v>
      </c>
    </row>
    <row r="108" spans="1:13" x14ac:dyDescent="0.25">
      <c r="A108" s="4">
        <v>100</v>
      </c>
      <c r="B108" s="4">
        <f t="shared" si="9"/>
        <v>53</v>
      </c>
      <c r="C108" s="4">
        <f t="shared" si="10"/>
        <v>115</v>
      </c>
      <c r="D108" s="4">
        <f>IF(B108&gt;'Mortality Table'!$A$118,D107,VLOOKUP(B108,'Mortality Table'!$A$2:$B$118,2,FALSE))</f>
        <v>8.6999999999999994E-3</v>
      </c>
      <c r="E108" s="4">
        <f>IF(INT((C108-1)/12)+1&gt;'Lapse Table'!$A$11,E107,VLOOKUP(INT((C108-1)/12)+1,'Lapse Table'!$A$2:$B$11,2,FALSE))/12</f>
        <v>8.3333333333333339E-4</v>
      </c>
      <c r="F108" s="5">
        <f t="shared" si="17"/>
        <v>0.52587506597222355</v>
      </c>
      <c r="G108" s="6">
        <f t="shared" si="11"/>
        <v>7.2469791666666668E-4</v>
      </c>
      <c r="H108" s="6">
        <f t="shared" si="12"/>
        <v>8.2970833333333345E-4</v>
      </c>
      <c r="I108" s="7">
        <f t="shared" si="13"/>
        <v>17.529168865740786</v>
      </c>
      <c r="J108" s="8">
        <f t="shared" si="14"/>
        <v>724.69791666666663</v>
      </c>
      <c r="K108" s="7">
        <f t="shared" si="15"/>
        <v>-707.16874780092587</v>
      </c>
      <c r="L108" s="4">
        <f>IF(A108&gt;'Yield Curve'!A722,L107,(1+VLOOKUP(A108,'Yield Curve'!A101:B723,2,FALSE))^(1/12)-1)</f>
        <v>7.9741404289037643E-3</v>
      </c>
      <c r="M108" s="5">
        <f t="shared" si="16"/>
        <v>-319.58325551680258</v>
      </c>
    </row>
    <row r="109" spans="1:13" x14ac:dyDescent="0.25">
      <c r="A109" s="4">
        <v>101</v>
      </c>
      <c r="B109" s="4">
        <f t="shared" si="9"/>
        <v>53</v>
      </c>
      <c r="C109" s="4">
        <f t="shared" si="10"/>
        <v>116</v>
      </c>
      <c r="D109" s="4">
        <f>IF(B109&gt;'Mortality Table'!$A$118,D108,VLOOKUP(B109,'Mortality Table'!$A$2:$B$118,2,FALSE))</f>
        <v>8.6999999999999994E-3</v>
      </c>
      <c r="E109" s="4">
        <f>IF(INT((C109-1)/12)+1&gt;'Lapse Table'!$A$11,E108,VLOOKUP(INT((C109-1)/12)+1,'Lapse Table'!$A$2:$B$11,2,FALSE))/12</f>
        <v>8.3333333333333339E-4</v>
      </c>
      <c r="F109" s="5">
        <f t="shared" si="17"/>
        <v>0.52432065972222364</v>
      </c>
      <c r="G109" s="6">
        <f t="shared" si="11"/>
        <v>7.2469791666666668E-4</v>
      </c>
      <c r="H109" s="6">
        <f t="shared" si="12"/>
        <v>8.2970833333333345E-4</v>
      </c>
      <c r="I109" s="7">
        <f t="shared" si="13"/>
        <v>17.477355324074122</v>
      </c>
      <c r="J109" s="8">
        <f t="shared" si="14"/>
        <v>724.69791666666663</v>
      </c>
      <c r="K109" s="7">
        <f t="shared" si="15"/>
        <v>-707.22056134259253</v>
      </c>
      <c r="L109" s="4">
        <f>IF(A109&gt;'Yield Curve'!A723,L108,(1+VLOOKUP(A109,'Yield Curve'!A102:B724,2,FALSE))^(1/12)-1)</f>
        <v>7.9741404289037643E-3</v>
      </c>
      <c r="M109" s="5">
        <f t="shared" si="16"/>
        <v>-317.07824461047448</v>
      </c>
    </row>
    <row r="110" spans="1:13" x14ac:dyDescent="0.25">
      <c r="A110" s="4">
        <v>102</v>
      </c>
      <c r="B110" s="4">
        <f t="shared" si="9"/>
        <v>53</v>
      </c>
      <c r="C110" s="4">
        <f t="shared" si="10"/>
        <v>117</v>
      </c>
      <c r="D110" s="4">
        <f>IF(B110&gt;'Mortality Table'!$A$118,D109,VLOOKUP(B110,'Mortality Table'!$A$2:$B$118,2,FALSE))</f>
        <v>8.6999999999999994E-3</v>
      </c>
      <c r="E110" s="4">
        <f>IF(INT((C110-1)/12)+1&gt;'Lapse Table'!$A$11,E109,VLOOKUP(INT((C110-1)/12)+1,'Lapse Table'!$A$2:$B$11,2,FALSE))/12</f>
        <v>8.3333333333333339E-4</v>
      </c>
      <c r="F110" s="5">
        <f t="shared" si="17"/>
        <v>0.52276625347222372</v>
      </c>
      <c r="G110" s="6">
        <f t="shared" si="11"/>
        <v>7.2469791666666668E-4</v>
      </c>
      <c r="H110" s="6">
        <f t="shared" si="12"/>
        <v>8.2970833333333345E-4</v>
      </c>
      <c r="I110" s="7">
        <f t="shared" si="13"/>
        <v>17.425541782407457</v>
      </c>
      <c r="J110" s="8">
        <f t="shared" si="14"/>
        <v>724.69791666666663</v>
      </c>
      <c r="K110" s="7">
        <f t="shared" si="15"/>
        <v>-707.27237488425919</v>
      </c>
      <c r="L110" s="4">
        <f>IF(A110&gt;'Yield Curve'!A724,L109,(1+VLOOKUP(A110,'Yield Curve'!A103:B725,2,FALSE))^(1/12)-1)</f>
        <v>7.9741404289037643E-3</v>
      </c>
      <c r="M110" s="5">
        <f t="shared" si="16"/>
        <v>-314.59286721086363</v>
      </c>
    </row>
    <row r="111" spans="1:13" x14ac:dyDescent="0.25">
      <c r="A111" s="4">
        <v>103</v>
      </c>
      <c r="B111" s="4">
        <f t="shared" si="9"/>
        <v>53</v>
      </c>
      <c r="C111" s="4">
        <f t="shared" si="10"/>
        <v>118</v>
      </c>
      <c r="D111" s="4">
        <f>IF(B111&gt;'Mortality Table'!$A$118,D110,VLOOKUP(B111,'Mortality Table'!$A$2:$B$118,2,FALSE))</f>
        <v>8.6999999999999994E-3</v>
      </c>
      <c r="E111" s="4">
        <f>IF(INT((C111-1)/12)+1&gt;'Lapse Table'!$A$11,E110,VLOOKUP(INT((C111-1)/12)+1,'Lapse Table'!$A$2:$B$11,2,FALSE))/12</f>
        <v>8.3333333333333339E-4</v>
      </c>
      <c r="F111" s="5">
        <f t="shared" si="17"/>
        <v>0.5212118472222238</v>
      </c>
      <c r="G111" s="6">
        <f t="shared" si="11"/>
        <v>7.2469791666666668E-4</v>
      </c>
      <c r="H111" s="6">
        <f t="shared" si="12"/>
        <v>8.2970833333333345E-4</v>
      </c>
      <c r="I111" s="7">
        <f t="shared" si="13"/>
        <v>17.373728240740792</v>
      </c>
      <c r="J111" s="8">
        <f t="shared" si="14"/>
        <v>724.69791666666663</v>
      </c>
      <c r="K111" s="7">
        <f t="shared" si="15"/>
        <v>-707.32418842592585</v>
      </c>
      <c r="L111" s="4">
        <f>IF(A111&gt;'Yield Curve'!A725,L110,(1+VLOOKUP(A111,'Yield Curve'!A104:B726,2,FALSE))^(1/12)-1)</f>
        <v>7.9741404289037643E-3</v>
      </c>
      <c r="M111" s="5">
        <f t="shared" si="16"/>
        <v>-312.12696945005223</v>
      </c>
    </row>
    <row r="112" spans="1:13" x14ac:dyDescent="0.25">
      <c r="A112" s="4">
        <v>104</v>
      </c>
      <c r="B112" s="4">
        <f t="shared" si="9"/>
        <v>53</v>
      </c>
      <c r="C112" s="4">
        <f t="shared" si="10"/>
        <v>119</v>
      </c>
      <c r="D112" s="4">
        <f>IF(B112&gt;'Mortality Table'!$A$118,D111,VLOOKUP(B112,'Mortality Table'!$A$2:$B$118,2,FALSE))</f>
        <v>8.6999999999999994E-3</v>
      </c>
      <c r="E112" s="4">
        <f>IF(INT((C112-1)/12)+1&gt;'Lapse Table'!$A$11,E111,VLOOKUP(INT((C112-1)/12)+1,'Lapse Table'!$A$2:$B$11,2,FALSE))/12</f>
        <v>8.3333333333333339E-4</v>
      </c>
      <c r="F112" s="5">
        <f t="shared" si="17"/>
        <v>0.51965744097222388</v>
      </c>
      <c r="G112" s="6">
        <f t="shared" si="11"/>
        <v>7.2469791666666668E-4</v>
      </c>
      <c r="H112" s="6">
        <f t="shared" si="12"/>
        <v>8.2970833333333345E-4</v>
      </c>
      <c r="I112" s="7">
        <f t="shared" si="13"/>
        <v>17.321914699074132</v>
      </c>
      <c r="J112" s="8">
        <f t="shared" si="14"/>
        <v>724.69791666666663</v>
      </c>
      <c r="K112" s="7">
        <f t="shared" si="15"/>
        <v>-707.37600196759252</v>
      </c>
      <c r="L112" s="4">
        <f>IF(A112&gt;'Yield Curve'!A726,L111,(1+VLOOKUP(A112,'Yield Curve'!A105:B727,2,FALSE))^(1/12)-1)</f>
        <v>7.9741404289037643E-3</v>
      </c>
      <c r="M112" s="5">
        <f t="shared" si="16"/>
        <v>-309.68039866587856</v>
      </c>
    </row>
    <row r="113" spans="1:13" x14ac:dyDescent="0.25">
      <c r="A113" s="4">
        <v>105</v>
      </c>
      <c r="B113" s="4">
        <f t="shared" si="9"/>
        <v>53</v>
      </c>
      <c r="C113" s="4">
        <f t="shared" si="10"/>
        <v>120</v>
      </c>
      <c r="D113" s="4">
        <f>IF(B113&gt;'Mortality Table'!$A$118,D112,VLOOKUP(B113,'Mortality Table'!$A$2:$B$118,2,FALSE))</f>
        <v>8.6999999999999994E-3</v>
      </c>
      <c r="E113" s="4">
        <f>IF(INT((C113-1)/12)+1&gt;'Lapse Table'!$A$11,E112,VLOOKUP(INT((C113-1)/12)+1,'Lapse Table'!$A$2:$B$11,2,FALSE))/12</f>
        <v>8.3333333333333339E-4</v>
      </c>
      <c r="F113" s="5">
        <f t="shared" si="17"/>
        <v>0.51810303472222397</v>
      </c>
      <c r="G113" s="6">
        <f t="shared" si="11"/>
        <v>7.2469791666666668E-4</v>
      </c>
      <c r="H113" s="6">
        <f t="shared" si="12"/>
        <v>8.2970833333333345E-4</v>
      </c>
      <c r="I113" s="7">
        <f t="shared" si="13"/>
        <v>17.270101157407463</v>
      </c>
      <c r="J113" s="8">
        <f t="shared" si="14"/>
        <v>724.69791666666663</v>
      </c>
      <c r="K113" s="7">
        <f t="shared" si="15"/>
        <v>-707.42781550925918</v>
      </c>
      <c r="L113" s="4">
        <f>IF(A113&gt;'Yield Curve'!A727,L112,(1+VLOOKUP(A113,'Yield Curve'!A106:B728,2,FALSE))^(1/12)-1)</f>
        <v>7.9741404289037643E-3</v>
      </c>
      <c r="M113" s="5">
        <f t="shared" si="16"/>
        <v>-307.2530033924894</v>
      </c>
    </row>
    <row r="114" spans="1:13" x14ac:dyDescent="0.25">
      <c r="A114" s="4">
        <v>106</v>
      </c>
      <c r="B114" s="4">
        <f t="shared" si="9"/>
        <v>53</v>
      </c>
      <c r="C114" s="4">
        <f t="shared" si="10"/>
        <v>121</v>
      </c>
      <c r="D114" s="4">
        <f>IF(B114&gt;'Mortality Table'!$A$118,D113,VLOOKUP(B114,'Mortality Table'!$A$2:$B$118,2,FALSE))</f>
        <v>8.6999999999999994E-3</v>
      </c>
      <c r="E114" s="4">
        <f>IF(INT((C114-1)/12)+1&gt;'Lapse Table'!$A$11,E113,VLOOKUP(INT((C114-1)/12)+1,'Lapse Table'!$A$2:$B$11,2,FALSE))/12</f>
        <v>6.9444444444444444E-5</v>
      </c>
      <c r="F114" s="5">
        <f t="shared" si="17"/>
        <v>0.51730891753472397</v>
      </c>
      <c r="G114" s="6">
        <f t="shared" si="11"/>
        <v>7.2497482638888883E-4</v>
      </c>
      <c r="H114" s="6">
        <f t="shared" si="12"/>
        <v>6.9142361111111116E-5</v>
      </c>
      <c r="I114" s="7">
        <f t="shared" si="13"/>
        <v>17.243630584490798</v>
      </c>
      <c r="J114" s="8">
        <f t="shared" si="14"/>
        <v>724.9748263888888</v>
      </c>
      <c r="K114" s="7">
        <f t="shared" si="15"/>
        <v>-707.731195804398</v>
      </c>
      <c r="L114" s="4">
        <f>IF(A114&gt;'Yield Curve'!A728,L113,(1+VLOOKUP(A114,'Yield Curve'!A107:B729,2,FALSE))^(1/12)-1)</f>
        <v>7.9741404289037643E-3</v>
      </c>
      <c r="M114" s="5">
        <f t="shared" si="16"/>
        <v>-304.95303049991082</v>
      </c>
    </row>
    <row r="115" spans="1:13" x14ac:dyDescent="0.25">
      <c r="A115" s="4">
        <v>107</v>
      </c>
      <c r="B115" s="4">
        <f t="shared" si="9"/>
        <v>53</v>
      </c>
      <c r="C115" s="4">
        <f t="shared" si="10"/>
        <v>122</v>
      </c>
      <c r="D115" s="4">
        <f>IF(B115&gt;'Mortality Table'!$A$118,D114,VLOOKUP(B115,'Mortality Table'!$A$2:$B$118,2,FALSE))</f>
        <v>8.6999999999999994E-3</v>
      </c>
      <c r="E115" s="4">
        <f>IF(INT((C115-1)/12)+1&gt;'Lapse Table'!$A$11,E114,VLOOKUP(INT((C115-1)/12)+1,'Lapse Table'!$A$2:$B$11,2,FALSE))/12</f>
        <v>5.7870370370370367E-6</v>
      </c>
      <c r="F115" s="5">
        <f t="shared" si="17"/>
        <v>0.51657815776909899</v>
      </c>
      <c r="G115" s="6">
        <f t="shared" si="11"/>
        <v>7.2499790219907403E-4</v>
      </c>
      <c r="H115" s="6">
        <f t="shared" si="12"/>
        <v>5.7618634259259261E-6</v>
      </c>
      <c r="I115" s="7">
        <f t="shared" si="13"/>
        <v>17.219271925636633</v>
      </c>
      <c r="J115" s="8">
        <f t="shared" si="14"/>
        <v>724.99790219907402</v>
      </c>
      <c r="K115" s="7">
        <f t="shared" si="15"/>
        <v>-707.77863027343733</v>
      </c>
      <c r="L115" s="4">
        <f>IF(A115&gt;'Yield Curve'!A729,L114,(1+VLOOKUP(A115,'Yield Curve'!A108:B730,2,FALSE))^(1/12)-1)</f>
        <v>7.9741404289037643E-3</v>
      </c>
      <c r="M115" s="5">
        <f t="shared" si="16"/>
        <v>-302.56080708951271</v>
      </c>
    </row>
    <row r="116" spans="1:13" x14ac:dyDescent="0.25">
      <c r="A116" s="4">
        <v>108</v>
      </c>
      <c r="B116" s="4">
        <f t="shared" si="9"/>
        <v>54</v>
      </c>
      <c r="C116" s="4">
        <f t="shared" si="10"/>
        <v>123</v>
      </c>
      <c r="D116" s="4">
        <f>IF(B116&gt;'Mortality Table'!$A$118,D115,VLOOKUP(B116,'Mortality Table'!$A$2:$B$118,2,FALSE))</f>
        <v>9.4900000000000002E-3</v>
      </c>
      <c r="E116" s="4">
        <f>IF(INT((C116-1)/12)+1&gt;'Lapse Table'!$A$11,E115,VLOOKUP(INT((C116-1)/12)+1,'Lapse Table'!$A$2:$B$11,2,FALSE))/12</f>
        <v>4.822530864197531E-7</v>
      </c>
      <c r="F116" s="5">
        <f t="shared" si="17"/>
        <v>0.51578684466166103</v>
      </c>
      <c r="G116" s="6">
        <f t="shared" si="11"/>
        <v>7.9083314264242544E-4</v>
      </c>
      <c r="H116" s="6">
        <f t="shared" si="12"/>
        <v>4.7996479552469132E-7</v>
      </c>
      <c r="I116" s="7">
        <f t="shared" si="13"/>
        <v>17.192894822055369</v>
      </c>
      <c r="J116" s="8">
        <f t="shared" si="14"/>
        <v>790.8331426424254</v>
      </c>
      <c r="K116" s="7">
        <f t="shared" si="15"/>
        <v>-773.64024782037006</v>
      </c>
      <c r="L116" s="4">
        <f>IF(A116&gt;'Yield Curve'!A730,L115,(1+VLOOKUP(A116,'Yield Curve'!A109:B731,2,FALSE))^(1/12)-1)</f>
        <v>7.9741404289037643E-3</v>
      </c>
      <c r="M116" s="5">
        <f t="shared" si="16"/>
        <v>-328.09898657771697</v>
      </c>
    </row>
    <row r="117" spans="1:13" x14ac:dyDescent="0.25">
      <c r="A117" s="4">
        <v>109</v>
      </c>
      <c r="B117" s="4">
        <f t="shared" si="9"/>
        <v>54</v>
      </c>
      <c r="C117" s="4">
        <f t="shared" si="10"/>
        <v>124</v>
      </c>
      <c r="D117" s="4">
        <f>IF(B117&gt;'Mortality Table'!$A$118,D116,VLOOKUP(B117,'Mortality Table'!$A$2:$B$118,2,FALSE))</f>
        <v>9.4900000000000002E-3</v>
      </c>
      <c r="E117" s="4">
        <f>IF(INT((C117-1)/12)+1&gt;'Lapse Table'!$A$11,E116,VLOOKUP(INT((C117-1)/12)+1,'Lapse Table'!$A$2:$B$11,2,FALSE))/12</f>
        <v>4.0187757201646094E-8</v>
      </c>
      <c r="F117" s="5">
        <f t="shared" si="17"/>
        <v>0.51499597134715225</v>
      </c>
      <c r="G117" s="6">
        <f t="shared" si="11"/>
        <v>7.9083331744242446E-4</v>
      </c>
      <c r="H117" s="6">
        <f t="shared" si="12"/>
        <v>3.9997066293724284E-8</v>
      </c>
      <c r="I117" s="7">
        <f t="shared" si="13"/>
        <v>17.166532378238408</v>
      </c>
      <c r="J117" s="8">
        <f t="shared" si="14"/>
        <v>790.83331744242446</v>
      </c>
      <c r="K117" s="7">
        <f t="shared" si="15"/>
        <v>-773.666785064186</v>
      </c>
      <c r="L117" s="4">
        <f>IF(A117&gt;'Yield Curve'!A731,L116,(1+VLOOKUP(A117,'Yield Curve'!A110:B732,2,FALSE))^(1/12)-1)</f>
        <v>7.9741404289037643E-3</v>
      </c>
      <c r="M117" s="5">
        <f t="shared" si="16"/>
        <v>-325.51454228776453</v>
      </c>
    </row>
    <row r="118" spans="1:13" x14ac:dyDescent="0.25">
      <c r="A118" s="4">
        <v>110</v>
      </c>
      <c r="B118" s="4">
        <f t="shared" si="9"/>
        <v>54</v>
      </c>
      <c r="C118" s="4">
        <f t="shared" si="10"/>
        <v>125</v>
      </c>
      <c r="D118" s="4">
        <f>IF(B118&gt;'Mortality Table'!$A$118,D117,VLOOKUP(B118,'Mortality Table'!$A$2:$B$118,2,FALSE))</f>
        <v>9.4900000000000002E-3</v>
      </c>
      <c r="E118" s="4">
        <f>IF(INT((C118-1)/12)+1&gt;'Lapse Table'!$A$11,E117,VLOOKUP(INT((C118-1)/12)+1,'Lapse Table'!$A$2:$B$11,2,FALSE))/12</f>
        <v>3.3489797668038413E-9</v>
      </c>
      <c r="F118" s="5">
        <f t="shared" si="17"/>
        <v>0.51420513468205431</v>
      </c>
      <c r="G118" s="6">
        <f t="shared" si="11"/>
        <v>7.9083333200909102E-4</v>
      </c>
      <c r="H118" s="6">
        <f t="shared" si="12"/>
        <v>3.333088857810357E-9</v>
      </c>
      <c r="I118" s="7">
        <f t="shared" si="13"/>
        <v>17.140171156068476</v>
      </c>
      <c r="J118" s="8">
        <f t="shared" si="14"/>
        <v>790.83333200909101</v>
      </c>
      <c r="K118" s="7">
        <f t="shared" si="15"/>
        <v>-773.6931608530225</v>
      </c>
      <c r="L118" s="4">
        <f>IF(A118&gt;'Yield Curve'!A732,L117,(1+VLOOKUP(A118,'Yield Curve'!A111:B733,2,FALSE))^(1/12)-1)</f>
        <v>7.9741404289037643E-3</v>
      </c>
      <c r="M118" s="5">
        <f t="shared" si="16"/>
        <v>-322.95038795947454</v>
      </c>
    </row>
    <row r="119" spans="1:13" x14ac:dyDescent="0.25">
      <c r="A119" s="4">
        <v>111</v>
      </c>
      <c r="B119" s="4">
        <f t="shared" si="9"/>
        <v>54</v>
      </c>
      <c r="C119" s="4">
        <f t="shared" si="10"/>
        <v>126</v>
      </c>
      <c r="D119" s="4">
        <f>IF(B119&gt;'Mortality Table'!$A$118,D118,VLOOKUP(B119,'Mortality Table'!$A$2:$B$118,2,FALSE))</f>
        <v>9.4900000000000002E-3</v>
      </c>
      <c r="E119" s="4">
        <f>IF(INT((C119-1)/12)+1&gt;'Lapse Table'!$A$11,E118,VLOOKUP(INT((C119-1)/12)+1,'Lapse Table'!$A$2:$B$11,2,FALSE))/12</f>
        <v>2.7908164723365346E-10</v>
      </c>
      <c r="F119" s="5">
        <f t="shared" si="17"/>
        <v>0.513414301071074</v>
      </c>
      <c r="G119" s="6">
        <f t="shared" si="11"/>
        <v>7.9083333322297982E-4</v>
      </c>
      <c r="H119" s="6">
        <f t="shared" si="12"/>
        <v>2.7775740481752975E-10</v>
      </c>
      <c r="I119" s="7">
        <f t="shared" si="13"/>
        <v>17.113810035702468</v>
      </c>
      <c r="J119" s="8">
        <f t="shared" si="14"/>
        <v>790.83333322297983</v>
      </c>
      <c r="K119" s="7">
        <f t="shared" si="15"/>
        <v>-773.71952318727733</v>
      </c>
      <c r="L119" s="4">
        <f>IF(A119&gt;'Yield Curve'!A733,L118,(1+VLOOKUP(A119,'Yield Curve'!A112:B734,2,FALSE))^(1/12)-1)</f>
        <v>7.9741404289037643E-3</v>
      </c>
      <c r="M119" s="5">
        <f t="shared" si="16"/>
        <v>-320.40642613162186</v>
      </c>
    </row>
    <row r="120" spans="1:13" x14ac:dyDescent="0.25">
      <c r="A120" s="4">
        <v>112</v>
      </c>
      <c r="B120" s="4">
        <f t="shared" si="9"/>
        <v>54</v>
      </c>
      <c r="C120" s="4">
        <f t="shared" si="10"/>
        <v>127</v>
      </c>
      <c r="D120" s="4">
        <f>IF(B120&gt;'Mortality Table'!$A$118,D119,VLOOKUP(B120,'Mortality Table'!$A$2:$B$118,2,FALSE))</f>
        <v>9.4900000000000002E-3</v>
      </c>
      <c r="E120" s="4">
        <f>IF(INT((C120-1)/12)+1&gt;'Lapse Table'!$A$11,E119,VLOOKUP(INT((C120-1)/12)+1,'Lapse Table'!$A$2:$B$11,2,FALSE))/12</f>
        <v>2.3256803936137788E-11</v>
      </c>
      <c r="F120" s="5">
        <f t="shared" si="17"/>
        <v>0.51262346771460332</v>
      </c>
      <c r="G120" s="6">
        <f t="shared" si="11"/>
        <v>7.9083333332413729E-4</v>
      </c>
      <c r="H120" s="6">
        <f t="shared" si="12"/>
        <v>2.3146450401460816E-11</v>
      </c>
      <c r="I120" s="7">
        <f t="shared" si="13"/>
        <v>17.087448923820109</v>
      </c>
      <c r="J120" s="8">
        <f t="shared" si="14"/>
        <v>790.83333332413724</v>
      </c>
      <c r="K120" s="7">
        <f t="shared" si="15"/>
        <v>-773.7458844003171</v>
      </c>
      <c r="L120" s="4">
        <f>IF(A120&gt;'Yield Curve'!A734,L119,(1+VLOOKUP(A120,'Yield Curve'!A113:B735,2,FALSE))^(1/12)-1)</f>
        <v>7.9741404289037643E-3</v>
      </c>
      <c r="M120" s="5">
        <f t="shared" si="16"/>
        <v>-317.88250290437333</v>
      </c>
    </row>
    <row r="121" spans="1:13" x14ac:dyDescent="0.25">
      <c r="A121" s="4">
        <v>113</v>
      </c>
      <c r="B121" s="4">
        <f t="shared" si="9"/>
        <v>54</v>
      </c>
      <c r="C121" s="4">
        <f t="shared" si="10"/>
        <v>128</v>
      </c>
      <c r="D121" s="4">
        <f>IF(B121&gt;'Mortality Table'!$A$118,D120,VLOOKUP(B121,'Mortality Table'!$A$2:$B$118,2,FALSE))</f>
        <v>9.4900000000000002E-3</v>
      </c>
      <c r="E121" s="4">
        <f>IF(INT((C121-1)/12)+1&gt;'Lapse Table'!$A$11,E120,VLOOKUP(INT((C121-1)/12)+1,'Lapse Table'!$A$2:$B$11,2,FALSE))/12</f>
        <v>1.9380669946781489E-12</v>
      </c>
      <c r="F121" s="5">
        <f t="shared" si="17"/>
        <v>0.5118326343793419</v>
      </c>
      <c r="G121" s="6">
        <f t="shared" si="11"/>
        <v>7.9083333333256707E-4</v>
      </c>
      <c r="H121" s="6">
        <f t="shared" si="12"/>
        <v>1.9288708667884009E-12</v>
      </c>
      <c r="I121" s="7">
        <f t="shared" si="13"/>
        <v>17.061087812644729</v>
      </c>
      <c r="J121" s="8">
        <f t="shared" si="14"/>
        <v>790.83333333256712</v>
      </c>
      <c r="K121" s="7">
        <f t="shared" si="15"/>
        <v>-773.77224551992242</v>
      </c>
      <c r="L121" s="4">
        <f>IF(A121&gt;'Yield Curve'!A735,L120,(1+VLOOKUP(A121,'Yield Curve'!A114:B736,2,FALSE))^(1/12)-1)</f>
        <v>7.9741404289037643E-3</v>
      </c>
      <c r="M121" s="5">
        <f t="shared" si="16"/>
        <v>-315.37846086065906</v>
      </c>
    </row>
    <row r="122" spans="1:13" x14ac:dyDescent="0.25">
      <c r="A122" s="4">
        <v>114</v>
      </c>
      <c r="B122" s="4">
        <f t="shared" si="9"/>
        <v>54</v>
      </c>
      <c r="C122" s="4">
        <f t="shared" si="10"/>
        <v>129</v>
      </c>
      <c r="D122" s="4">
        <f>IF(B122&gt;'Mortality Table'!$A$118,D121,VLOOKUP(B122,'Mortality Table'!$A$2:$B$118,2,FALSE))</f>
        <v>9.4900000000000002E-3</v>
      </c>
      <c r="E122" s="4">
        <f>IF(INT((C122-1)/12)+1&gt;'Lapse Table'!$A$11,E121,VLOOKUP(INT((C122-1)/12)+1,'Lapse Table'!$A$2:$B$11,2,FALSE))/12</f>
        <v>1.6150558288984574E-13</v>
      </c>
      <c r="F122" s="5">
        <f t="shared" si="17"/>
        <v>0.51104180104584784</v>
      </c>
      <c r="G122" s="6">
        <f t="shared" si="11"/>
        <v>7.9083333333326952E-4</v>
      </c>
      <c r="H122" s="6">
        <f t="shared" si="12"/>
        <v>1.6073923889903342E-13</v>
      </c>
      <c r="I122" s="7">
        <f t="shared" si="13"/>
        <v>17.03472670152826</v>
      </c>
      <c r="J122" s="8">
        <f t="shared" si="14"/>
        <v>790.83333333326948</v>
      </c>
      <c r="K122" s="7">
        <f t="shared" si="15"/>
        <v>-773.79860663174122</v>
      </c>
      <c r="L122" s="4">
        <f>IF(A122&gt;'Yield Curve'!A736,L121,(1+VLOOKUP(A122,'Yield Curve'!A115:B737,2,FALSE))^(1/12)-1)</f>
        <v>7.9741404289037643E-3</v>
      </c>
      <c r="M122" s="5">
        <f t="shared" si="16"/>
        <v>-312.89414343234859</v>
      </c>
    </row>
    <row r="123" spans="1:13" x14ac:dyDescent="0.25">
      <c r="A123" s="4">
        <v>115</v>
      </c>
      <c r="B123" s="4">
        <f t="shared" si="9"/>
        <v>54</v>
      </c>
      <c r="C123" s="4">
        <f t="shared" si="10"/>
        <v>130</v>
      </c>
      <c r="D123" s="4">
        <f>IF(B123&gt;'Mortality Table'!$A$118,D122,VLOOKUP(B123,'Mortality Table'!$A$2:$B$118,2,FALSE))</f>
        <v>9.4900000000000002E-3</v>
      </c>
      <c r="E123" s="4">
        <f>IF(INT((C123-1)/12)+1&gt;'Lapse Table'!$A$11,E122,VLOOKUP(INT((C123-1)/12)+1,'Lapse Table'!$A$2:$B$11,2,FALSE))/12</f>
        <v>1.3458798574153812E-14</v>
      </c>
      <c r="F123" s="5">
        <f t="shared" si="17"/>
        <v>0.51025096771250111</v>
      </c>
      <c r="G123" s="6">
        <f t="shared" si="11"/>
        <v>7.9083333333332807E-4</v>
      </c>
      <c r="H123" s="6">
        <f t="shared" si="12"/>
        <v>1.3394936574919453E-14</v>
      </c>
      <c r="I123" s="7">
        <f t="shared" si="13"/>
        <v>17.008365590416705</v>
      </c>
      <c r="J123" s="8">
        <f t="shared" si="14"/>
        <v>790.83333333332803</v>
      </c>
      <c r="K123" s="7">
        <f t="shared" si="15"/>
        <v>-773.82496774291133</v>
      </c>
      <c r="L123" s="4">
        <f>IF(A123&gt;'Yield Curve'!A737,L122,(1+VLOOKUP(A123,'Yield Curve'!A116:B738,2,FALSE))^(1/12)-1)</f>
        <v>7.9741404289037643E-3</v>
      </c>
      <c r="M123" s="5">
        <f t="shared" si="16"/>
        <v>-310.42939525224438</v>
      </c>
    </row>
    <row r="124" spans="1:13" x14ac:dyDescent="0.25">
      <c r="A124" s="4">
        <v>116</v>
      </c>
      <c r="B124" s="4">
        <f t="shared" si="9"/>
        <v>54</v>
      </c>
      <c r="C124" s="4">
        <f t="shared" si="10"/>
        <v>131</v>
      </c>
      <c r="D124" s="4">
        <f>IF(B124&gt;'Mortality Table'!$A$118,D123,VLOOKUP(B124,'Mortality Table'!$A$2:$B$118,2,FALSE))</f>
        <v>9.4900000000000002E-3</v>
      </c>
      <c r="E124" s="4">
        <f>IF(INT((C124-1)/12)+1&gt;'Lapse Table'!$A$11,E123,VLOOKUP(INT((C124-1)/12)+1,'Lapse Table'!$A$2:$B$11,2,FALSE))/12</f>
        <v>1.121566547846151E-15</v>
      </c>
      <c r="F124" s="5">
        <f t="shared" si="17"/>
        <v>0.50946013437916671</v>
      </c>
      <c r="G124" s="6">
        <f t="shared" si="11"/>
        <v>7.9083333333333295E-4</v>
      </c>
      <c r="H124" s="6">
        <f t="shared" si="12"/>
        <v>1.116244714576621E-15</v>
      </c>
      <c r="I124" s="7">
        <f t="shared" si="13"/>
        <v>16.982004479305555</v>
      </c>
      <c r="J124" s="8">
        <f t="shared" si="14"/>
        <v>790.83333333333292</v>
      </c>
      <c r="K124" s="7">
        <f t="shared" si="15"/>
        <v>-773.85132885402732</v>
      </c>
      <c r="L124" s="4">
        <f>IF(A124&gt;'Yield Curve'!A738,L123,(1+VLOOKUP(A124,'Yield Curve'!A117:B739,2,FALSE))^(1/12)-1)</f>
        <v>7.9741404289037643E-3</v>
      </c>
      <c r="M124" s="5">
        <f t="shared" si="16"/>
        <v>-307.98406217427527</v>
      </c>
    </row>
    <row r="125" spans="1:13" x14ac:dyDescent="0.25">
      <c r="A125" s="4">
        <v>117</v>
      </c>
      <c r="B125" s="4">
        <f t="shared" si="9"/>
        <v>54</v>
      </c>
      <c r="C125" s="4">
        <f t="shared" si="10"/>
        <v>132</v>
      </c>
      <c r="D125" s="4">
        <f>IF(B125&gt;'Mortality Table'!$A$118,D124,VLOOKUP(B125,'Mortality Table'!$A$2:$B$118,2,FALSE))</f>
        <v>9.4900000000000002E-3</v>
      </c>
      <c r="E125" s="4">
        <f>IF(INT((C125-1)/12)+1&gt;'Lapse Table'!$A$11,E124,VLOOKUP(INT((C125-1)/12)+1,'Lapse Table'!$A$2:$B$11,2,FALSE))/12</f>
        <v>9.3463878987179251E-17</v>
      </c>
      <c r="F125" s="5">
        <f t="shared" si="17"/>
        <v>0.5086693010458333</v>
      </c>
      <c r="G125" s="6">
        <f t="shared" si="11"/>
        <v>7.9083333333333338E-4</v>
      </c>
      <c r="H125" s="6">
        <f t="shared" si="12"/>
        <v>9.3020392881385081E-17</v>
      </c>
      <c r="I125" s="7">
        <f t="shared" si="13"/>
        <v>16.955643368194444</v>
      </c>
      <c r="J125" s="8">
        <f t="shared" si="14"/>
        <v>790.83333333333337</v>
      </c>
      <c r="K125" s="7">
        <f t="shared" si="15"/>
        <v>-773.87768996513887</v>
      </c>
      <c r="L125" s="4">
        <f>IF(A125&gt;'Yield Curve'!A739,L124,(1+VLOOKUP(A125,'Yield Curve'!A118:B740,2,FALSE))^(1/12)-1)</f>
        <v>7.9741404289037643E-3</v>
      </c>
      <c r="M125" s="5">
        <f t="shared" si="16"/>
        <v>-305.55799126632962</v>
      </c>
    </row>
    <row r="126" spans="1:13" x14ac:dyDescent="0.25">
      <c r="A126" s="4">
        <v>118</v>
      </c>
      <c r="B126" s="4">
        <f t="shared" si="9"/>
        <v>54</v>
      </c>
      <c r="C126" s="4">
        <f t="shared" si="10"/>
        <v>133</v>
      </c>
      <c r="D126" s="4">
        <f>IF(B126&gt;'Mortality Table'!$A$118,D125,VLOOKUP(B126,'Mortality Table'!$A$2:$B$118,2,FALSE))</f>
        <v>9.4900000000000002E-3</v>
      </c>
      <c r="E126" s="4">
        <f>IF(INT((C126-1)/12)+1&gt;'Lapse Table'!$A$11,E125,VLOOKUP(INT((C126-1)/12)+1,'Lapse Table'!$A$2:$B$11,2,FALSE))/12</f>
        <v>7.7886565822649371E-18</v>
      </c>
      <c r="F126" s="5">
        <f t="shared" si="17"/>
        <v>0.5078784677125</v>
      </c>
      <c r="G126" s="6">
        <f t="shared" si="11"/>
        <v>7.9083333333333338E-4</v>
      </c>
      <c r="H126" s="6">
        <f t="shared" si="12"/>
        <v>7.7516994067820906E-18</v>
      </c>
      <c r="I126" s="7">
        <f t="shared" si="13"/>
        <v>16.929282257083333</v>
      </c>
      <c r="J126" s="8">
        <f t="shared" si="14"/>
        <v>790.83333333333337</v>
      </c>
      <c r="K126" s="7">
        <f t="shared" si="15"/>
        <v>-773.90405107625008</v>
      </c>
      <c r="L126" s="4">
        <f>IF(A126&gt;'Yield Curve'!A740,L125,(1+VLOOKUP(A126,'Yield Curve'!A119:B741,2,FALSE))^(1/12)-1)</f>
        <v>7.9741404289037643E-3</v>
      </c>
      <c r="M126" s="5">
        <f t="shared" si="16"/>
        <v>-303.15103080089693</v>
      </c>
    </row>
    <row r="127" spans="1:13" x14ac:dyDescent="0.25">
      <c r="A127" s="4">
        <v>119</v>
      </c>
      <c r="B127" s="4">
        <f t="shared" si="9"/>
        <v>54</v>
      </c>
      <c r="C127" s="4">
        <f t="shared" si="10"/>
        <v>134</v>
      </c>
      <c r="D127" s="4">
        <f>IF(B127&gt;'Mortality Table'!$A$118,D126,VLOOKUP(B127,'Mortality Table'!$A$2:$B$118,2,FALSE))</f>
        <v>9.4900000000000002E-3</v>
      </c>
      <c r="E127" s="4">
        <f>IF(INT((C127-1)/12)+1&gt;'Lapse Table'!$A$11,E126,VLOOKUP(INT((C127-1)/12)+1,'Lapse Table'!$A$2:$B$11,2,FALSE))/12</f>
        <v>6.4905471518874472E-19</v>
      </c>
      <c r="F127" s="5">
        <f t="shared" si="17"/>
        <v>0.50708763437916671</v>
      </c>
      <c r="G127" s="6">
        <f t="shared" si="11"/>
        <v>7.9083333333333338E-4</v>
      </c>
      <c r="H127" s="6">
        <f t="shared" si="12"/>
        <v>6.4597495056517409E-19</v>
      </c>
      <c r="I127" s="7">
        <f t="shared" si="13"/>
        <v>16.902921145972226</v>
      </c>
      <c r="J127" s="8">
        <f t="shared" si="14"/>
        <v>790.83333333333337</v>
      </c>
      <c r="K127" s="7">
        <f t="shared" si="15"/>
        <v>-773.93041218736118</v>
      </c>
      <c r="L127" s="4">
        <f>IF(A127&gt;'Yield Curve'!A741,L126,(1+VLOOKUP(A127,'Yield Curve'!A120:B742,2,FALSE))^(1/12)-1)</f>
        <v>7.9741404289037643E-3</v>
      </c>
      <c r="M127" s="5">
        <f t="shared" si="16"/>
        <v>-300.76303024559496</v>
      </c>
    </row>
    <row r="128" spans="1:13" x14ac:dyDescent="0.25">
      <c r="A128" s="4">
        <v>120</v>
      </c>
      <c r="B128" s="4">
        <f t="shared" si="9"/>
        <v>55</v>
      </c>
      <c r="C128" s="4">
        <f t="shared" si="10"/>
        <v>135</v>
      </c>
      <c r="D128" s="4">
        <f>IF(B128&gt;'Mortality Table'!$A$118,D127,VLOOKUP(B128,'Mortality Table'!$A$2:$B$118,2,FALSE))</f>
        <v>1.038E-2</v>
      </c>
      <c r="E128" s="4">
        <f>IF(INT((C128-1)/12)+1&gt;'Lapse Table'!$A$11,E127,VLOOKUP(INT((C128-1)/12)+1,'Lapse Table'!$A$2:$B$11,2,FALSE))/12</f>
        <v>5.4087892932395396E-20</v>
      </c>
      <c r="F128" s="5">
        <f t="shared" si="17"/>
        <v>0.5062226343791667</v>
      </c>
      <c r="G128" s="6">
        <f t="shared" si="11"/>
        <v>8.6499999999999999E-4</v>
      </c>
      <c r="H128" s="6">
        <f t="shared" si="12"/>
        <v>5.3807176768076261E-20</v>
      </c>
      <c r="I128" s="7">
        <f t="shared" si="13"/>
        <v>16.874087812638891</v>
      </c>
      <c r="J128" s="8">
        <f t="shared" si="14"/>
        <v>865</v>
      </c>
      <c r="K128" s="7">
        <f t="shared" si="15"/>
        <v>-848.12591218736111</v>
      </c>
      <c r="L128" s="4">
        <f>IF(A128&gt;'Yield Curve'!A742,L127,(1+VLOOKUP(A128,'Yield Curve'!A121:B743,2,FALSE))^(1/12)-1)</f>
        <v>7.9741404289037643E-3</v>
      </c>
      <c r="M128" s="5">
        <f t="shared" si="16"/>
        <v>-326.98925403513624</v>
      </c>
    </row>
    <row r="129" spans="1:13" x14ac:dyDescent="0.25">
      <c r="A129" s="4">
        <v>121</v>
      </c>
      <c r="B129" s="4">
        <f t="shared" si="9"/>
        <v>55</v>
      </c>
      <c r="C129" s="4">
        <f t="shared" si="10"/>
        <v>136</v>
      </c>
      <c r="D129" s="4">
        <f>IF(B129&gt;'Mortality Table'!$A$118,D128,VLOOKUP(B129,'Mortality Table'!$A$2:$B$118,2,FALSE))</f>
        <v>1.038E-2</v>
      </c>
      <c r="E129" s="4">
        <f>IF(INT((C129-1)/12)+1&gt;'Lapse Table'!$A$11,E128,VLOOKUP(INT((C129-1)/12)+1,'Lapse Table'!$A$2:$B$11,2,FALSE))/12</f>
        <v>4.5073244110329496E-21</v>
      </c>
      <c r="F129" s="5">
        <f t="shared" si="17"/>
        <v>0.5053576343791667</v>
      </c>
      <c r="G129" s="6">
        <f t="shared" si="11"/>
        <v>8.6499999999999999E-4</v>
      </c>
      <c r="H129" s="6">
        <f t="shared" si="12"/>
        <v>4.4839313973396882E-21</v>
      </c>
      <c r="I129" s="7">
        <f t="shared" si="13"/>
        <v>16.845254479305556</v>
      </c>
      <c r="J129" s="8">
        <f t="shared" si="14"/>
        <v>865</v>
      </c>
      <c r="K129" s="7">
        <f t="shared" si="15"/>
        <v>-848.15474552069441</v>
      </c>
      <c r="L129" s="4">
        <f>IF(A129&gt;'Yield Curve'!A743,L128,(1+VLOOKUP(A129,'Yield Curve'!A122:B744,2,FALSE))^(1/12)-1)</f>
        <v>7.9741404289037643E-3</v>
      </c>
      <c r="M129" s="5">
        <f t="shared" si="16"/>
        <v>-324.41345210917086</v>
      </c>
    </row>
    <row r="130" spans="1:13" x14ac:dyDescent="0.25">
      <c r="A130" s="4">
        <v>122</v>
      </c>
      <c r="B130" s="4">
        <f t="shared" si="9"/>
        <v>55</v>
      </c>
      <c r="C130" s="4">
        <f t="shared" si="10"/>
        <v>137</v>
      </c>
      <c r="D130" s="4">
        <f>IF(B130&gt;'Mortality Table'!$A$118,D129,VLOOKUP(B130,'Mortality Table'!$A$2:$B$118,2,FALSE))</f>
        <v>1.038E-2</v>
      </c>
      <c r="E130" s="4">
        <f>IF(INT((C130-1)/12)+1&gt;'Lapse Table'!$A$11,E129,VLOOKUP(INT((C130-1)/12)+1,'Lapse Table'!$A$2:$B$11,2,FALSE))/12</f>
        <v>3.7561036758607914E-22</v>
      </c>
      <c r="F130" s="5">
        <f t="shared" si="17"/>
        <v>0.50449263437916669</v>
      </c>
      <c r="G130" s="6">
        <f t="shared" si="11"/>
        <v>8.6499999999999999E-4</v>
      </c>
      <c r="H130" s="6">
        <f t="shared" si="12"/>
        <v>3.7366094977830738E-22</v>
      </c>
      <c r="I130" s="7">
        <f t="shared" si="13"/>
        <v>16.816421145972225</v>
      </c>
      <c r="J130" s="8">
        <f t="shared" si="14"/>
        <v>865</v>
      </c>
      <c r="K130" s="7">
        <f t="shared" si="15"/>
        <v>-848.18357885402781</v>
      </c>
      <c r="L130" s="4">
        <f>IF(A130&gt;'Yield Curve'!A744,L129,(1+VLOOKUP(A130,'Yield Curve'!A123:B745,2,FALSE))^(1/12)-1)</f>
        <v>7.9741404289037643E-3</v>
      </c>
      <c r="M130" s="5">
        <f t="shared" si="16"/>
        <v>-321.85794025038939</v>
      </c>
    </row>
    <row r="131" spans="1:13" x14ac:dyDescent="0.25">
      <c r="A131" s="4">
        <v>123</v>
      </c>
      <c r="B131" s="4">
        <f t="shared" si="9"/>
        <v>55</v>
      </c>
      <c r="C131" s="4">
        <f t="shared" si="10"/>
        <v>138</v>
      </c>
      <c r="D131" s="4">
        <f>IF(B131&gt;'Mortality Table'!$A$118,D130,VLOOKUP(B131,'Mortality Table'!$A$2:$B$118,2,FALSE))</f>
        <v>1.038E-2</v>
      </c>
      <c r="E131" s="4">
        <f>IF(INT((C131-1)/12)+1&gt;'Lapse Table'!$A$11,E130,VLOOKUP(INT((C131-1)/12)+1,'Lapse Table'!$A$2:$B$11,2,FALSE))/12</f>
        <v>3.1300863965506595E-23</v>
      </c>
      <c r="F131" s="5">
        <f t="shared" si="17"/>
        <v>0.50362763437916669</v>
      </c>
      <c r="G131" s="6">
        <f t="shared" si="11"/>
        <v>8.6499999999999999E-4</v>
      </c>
      <c r="H131" s="6">
        <f t="shared" si="12"/>
        <v>3.1138412481525617E-23</v>
      </c>
      <c r="I131" s="7">
        <f t="shared" si="13"/>
        <v>16.78758781263889</v>
      </c>
      <c r="J131" s="8">
        <f t="shared" si="14"/>
        <v>865</v>
      </c>
      <c r="K131" s="7">
        <f t="shared" si="15"/>
        <v>-848.21241218736111</v>
      </c>
      <c r="L131" s="4">
        <f>IF(A131&gt;'Yield Curve'!A745,L130,(1+VLOOKUP(A131,'Yield Curve'!A124:B746,2,FALSE))^(1/12)-1)</f>
        <v>7.9741404289037643E-3</v>
      </c>
      <c r="M131" s="5">
        <f t="shared" si="16"/>
        <v>-319.32255863314288</v>
      </c>
    </row>
    <row r="132" spans="1:13" x14ac:dyDescent="0.25">
      <c r="A132" s="4">
        <v>124</v>
      </c>
      <c r="B132" s="4">
        <f t="shared" si="9"/>
        <v>55</v>
      </c>
      <c r="C132" s="4">
        <f t="shared" si="10"/>
        <v>139</v>
      </c>
      <c r="D132" s="4">
        <f>IF(B132&gt;'Mortality Table'!$A$118,D131,VLOOKUP(B132,'Mortality Table'!$A$2:$B$118,2,FALSE))</f>
        <v>1.038E-2</v>
      </c>
      <c r="E132" s="4">
        <f>IF(INT((C132-1)/12)+1&gt;'Lapse Table'!$A$11,E131,VLOOKUP(INT((C132-1)/12)+1,'Lapse Table'!$A$2:$B$11,2,FALSE))/12</f>
        <v>2.608405330458883E-24</v>
      </c>
      <c r="F132" s="5">
        <f t="shared" si="17"/>
        <v>0.50276263437916668</v>
      </c>
      <c r="G132" s="6">
        <f t="shared" si="11"/>
        <v>8.6499999999999999E-4</v>
      </c>
      <c r="H132" s="6">
        <f t="shared" si="12"/>
        <v>2.5948677067938014E-24</v>
      </c>
      <c r="I132" s="7">
        <f t="shared" si="13"/>
        <v>16.758754479305555</v>
      </c>
      <c r="J132" s="8">
        <f t="shared" si="14"/>
        <v>865</v>
      </c>
      <c r="K132" s="7">
        <f t="shared" si="15"/>
        <v>-848.24124552069441</v>
      </c>
      <c r="L132" s="4">
        <f>IF(A132&gt;'Yield Curve'!A746,L131,(1+VLOOKUP(A132,'Yield Curve'!A125:B747,2,FALSE))^(1/12)-1)</f>
        <v>7.9741404289037643E-3</v>
      </c>
      <c r="M132" s="5">
        <f t="shared" si="16"/>
        <v>-316.80714869071187</v>
      </c>
    </row>
    <row r="133" spans="1:13" x14ac:dyDescent="0.25">
      <c r="A133" s="4">
        <v>125</v>
      </c>
      <c r="B133" s="4">
        <f t="shared" si="9"/>
        <v>55</v>
      </c>
      <c r="C133" s="4">
        <f t="shared" si="10"/>
        <v>140</v>
      </c>
      <c r="D133" s="4">
        <f>IF(B133&gt;'Mortality Table'!$A$118,D132,VLOOKUP(B133,'Mortality Table'!$A$2:$B$118,2,FALSE))</f>
        <v>1.038E-2</v>
      </c>
      <c r="E133" s="4">
        <f>IF(INT((C133-1)/12)+1&gt;'Lapse Table'!$A$11,E132,VLOOKUP(INT((C133-1)/12)+1,'Lapse Table'!$A$2:$B$11,2,FALSE))/12</f>
        <v>2.1736711087157357E-25</v>
      </c>
      <c r="F133" s="5">
        <f t="shared" si="17"/>
        <v>0.50189763437916668</v>
      </c>
      <c r="G133" s="6">
        <f t="shared" si="11"/>
        <v>8.6499999999999999E-4</v>
      </c>
      <c r="H133" s="6">
        <f t="shared" si="12"/>
        <v>2.1623897556615009E-25</v>
      </c>
      <c r="I133" s="7">
        <f t="shared" si="13"/>
        <v>16.729921145972224</v>
      </c>
      <c r="J133" s="8">
        <f t="shared" si="14"/>
        <v>865</v>
      </c>
      <c r="K133" s="7">
        <f t="shared" si="15"/>
        <v>-848.27007885402782</v>
      </c>
      <c r="L133" s="4">
        <f>IF(A133&gt;'Yield Curve'!A747,L132,(1+VLOOKUP(A133,'Yield Curve'!A126:B748,2,FALSE))^(1/12)-1)</f>
        <v>7.9741404289037643E-3</v>
      </c>
      <c r="M133" s="5">
        <f t="shared" si="16"/>
        <v>-314.31155310538992</v>
      </c>
    </row>
    <row r="134" spans="1:13" x14ac:dyDescent="0.25">
      <c r="A134" s="4">
        <v>126</v>
      </c>
      <c r="B134" s="4">
        <f t="shared" si="9"/>
        <v>55</v>
      </c>
      <c r="C134" s="4">
        <f t="shared" si="10"/>
        <v>141</v>
      </c>
      <c r="D134" s="4">
        <f>IF(B134&gt;'Mortality Table'!$A$118,D133,VLOOKUP(B134,'Mortality Table'!$A$2:$B$118,2,FALSE))</f>
        <v>1.038E-2</v>
      </c>
      <c r="E134" s="4">
        <f>IF(INT((C134-1)/12)+1&gt;'Lapse Table'!$A$11,E133,VLOOKUP(INT((C134-1)/12)+1,'Lapse Table'!$A$2:$B$11,2,FALSE))/12</f>
        <v>1.8113925905964465E-26</v>
      </c>
      <c r="F134" s="5">
        <f t="shared" si="17"/>
        <v>0.50103263437916667</v>
      </c>
      <c r="G134" s="6">
        <f t="shared" si="11"/>
        <v>8.6499999999999999E-4</v>
      </c>
      <c r="H134" s="6">
        <f t="shared" si="12"/>
        <v>1.8019914630512509E-26</v>
      </c>
      <c r="I134" s="7">
        <f t="shared" si="13"/>
        <v>16.701087812638889</v>
      </c>
      <c r="J134" s="8">
        <f t="shared" si="14"/>
        <v>865</v>
      </c>
      <c r="K134" s="7">
        <f t="shared" si="15"/>
        <v>-848.29891218736111</v>
      </c>
      <c r="L134" s="4">
        <f>IF(A134&gt;'Yield Curve'!A748,L133,(1+VLOOKUP(A134,'Yield Curve'!A127:B749,2,FALSE))^(1/12)-1)</f>
        <v>7.9741404289037643E-3</v>
      </c>
      <c r="M134" s="5">
        <f t="shared" si="16"/>
        <v>-311.83561579864585</v>
      </c>
    </row>
    <row r="135" spans="1:13" x14ac:dyDescent="0.25">
      <c r="A135" s="4">
        <v>127</v>
      </c>
      <c r="B135" s="4">
        <f t="shared" si="9"/>
        <v>55</v>
      </c>
      <c r="C135" s="4">
        <f t="shared" si="10"/>
        <v>142</v>
      </c>
      <c r="D135" s="4">
        <f>IF(B135&gt;'Mortality Table'!$A$118,D134,VLOOKUP(B135,'Mortality Table'!$A$2:$B$118,2,FALSE))</f>
        <v>1.038E-2</v>
      </c>
      <c r="E135" s="4">
        <f>IF(INT((C135-1)/12)+1&gt;'Lapse Table'!$A$11,E134,VLOOKUP(INT((C135-1)/12)+1,'Lapse Table'!$A$2:$B$11,2,FALSE))/12</f>
        <v>1.5094938254970387E-27</v>
      </c>
      <c r="F135" s="5">
        <f t="shared" si="17"/>
        <v>0.50016763437916667</v>
      </c>
      <c r="G135" s="6">
        <f t="shared" si="11"/>
        <v>8.6499999999999999E-4</v>
      </c>
      <c r="H135" s="6">
        <f t="shared" si="12"/>
        <v>1.5016595525427091E-27</v>
      </c>
      <c r="I135" s="7">
        <f t="shared" si="13"/>
        <v>16.672254479305554</v>
      </c>
      <c r="J135" s="8">
        <f t="shared" si="14"/>
        <v>865</v>
      </c>
      <c r="K135" s="7">
        <f t="shared" si="15"/>
        <v>-848.32774552069441</v>
      </c>
      <c r="L135" s="4">
        <f>IF(A135&gt;'Yield Curve'!A749,L134,(1+VLOOKUP(A135,'Yield Curve'!A128:B750,2,FALSE))^(1/12)-1)</f>
        <v>7.9741404289037643E-3</v>
      </c>
      <c r="M135" s="5">
        <f t="shared" si="16"/>
        <v>-309.3791819213622</v>
      </c>
    </row>
    <row r="136" spans="1:13" x14ac:dyDescent="0.25">
      <c r="A136" s="4">
        <v>128</v>
      </c>
      <c r="B136" s="4">
        <f t="shared" si="9"/>
        <v>55</v>
      </c>
      <c r="C136" s="4">
        <f t="shared" si="10"/>
        <v>143</v>
      </c>
      <c r="D136" s="4">
        <f>IF(B136&gt;'Mortality Table'!$A$118,D135,VLOOKUP(B136,'Mortality Table'!$A$2:$B$118,2,FALSE))</f>
        <v>1.038E-2</v>
      </c>
      <c r="E136" s="4">
        <f>IF(INT((C136-1)/12)+1&gt;'Lapse Table'!$A$11,E135,VLOOKUP(INT((C136-1)/12)+1,'Lapse Table'!$A$2:$B$11,2,FALSE))/12</f>
        <v>1.2579115212475322E-28</v>
      </c>
      <c r="F136" s="5">
        <f t="shared" si="17"/>
        <v>0.49930263437916667</v>
      </c>
      <c r="G136" s="6">
        <f t="shared" si="11"/>
        <v>8.6499999999999999E-4</v>
      </c>
      <c r="H136" s="6">
        <f t="shared" si="12"/>
        <v>1.2513829604522574E-28</v>
      </c>
      <c r="I136" s="7">
        <f t="shared" si="13"/>
        <v>16.643421145972223</v>
      </c>
      <c r="J136" s="8">
        <f t="shared" si="14"/>
        <v>865</v>
      </c>
      <c r="K136" s="7">
        <f t="shared" si="15"/>
        <v>-848.35657885402782</v>
      </c>
      <c r="L136" s="4">
        <f>IF(A136&gt;'Yield Curve'!A750,L135,(1+VLOOKUP(A136,'Yield Curve'!A129:B751,2,FALSE))^(1/12)-1)</f>
        <v>7.9741404289037643E-3</v>
      </c>
      <c r="M136" s="5">
        <f t="shared" si="16"/>
        <v>-306.94209784415239</v>
      </c>
    </row>
    <row r="137" spans="1:13" x14ac:dyDescent="0.25">
      <c r="A137" s="4">
        <v>129</v>
      </c>
      <c r="B137" s="4">
        <f t="shared" si="9"/>
        <v>55</v>
      </c>
      <c r="C137" s="4">
        <f t="shared" si="10"/>
        <v>144</v>
      </c>
      <c r="D137" s="4">
        <f>IF(B137&gt;'Mortality Table'!$A$118,D136,VLOOKUP(B137,'Mortality Table'!$A$2:$B$118,2,FALSE))</f>
        <v>1.038E-2</v>
      </c>
      <c r="E137" s="4">
        <f>IF(INT((C137-1)/12)+1&gt;'Lapse Table'!$A$11,E136,VLOOKUP(INT((C137-1)/12)+1,'Lapse Table'!$A$2:$B$11,2,FALSE))/12</f>
        <v>1.0482596010396101E-29</v>
      </c>
      <c r="F137" s="5">
        <f t="shared" si="17"/>
        <v>0.49843763437916666</v>
      </c>
      <c r="G137" s="6">
        <f t="shared" si="11"/>
        <v>8.6499999999999999E-4</v>
      </c>
      <c r="H137" s="6">
        <f t="shared" si="12"/>
        <v>1.0428191337102146E-29</v>
      </c>
      <c r="I137" s="7">
        <f t="shared" si="13"/>
        <v>16.614587812638888</v>
      </c>
      <c r="J137" s="8">
        <f t="shared" si="14"/>
        <v>865</v>
      </c>
      <c r="K137" s="7">
        <f t="shared" si="15"/>
        <v>-848.38541218736111</v>
      </c>
      <c r="L137" s="4">
        <f>IF(A137&gt;'Yield Curve'!A751,L136,(1+VLOOKUP(A137,'Yield Curve'!A130:B752,2,FALSE))^(1/12)-1)</f>
        <v>7.9741404289037643E-3</v>
      </c>
      <c r="M137" s="5">
        <f t="shared" si="16"/>
        <v>-304.52421114775291</v>
      </c>
    </row>
    <row r="138" spans="1:13" x14ac:dyDescent="0.25">
      <c r="A138" s="4">
        <v>130</v>
      </c>
      <c r="B138" s="4">
        <f t="shared" ref="B138:B201" si="18">INT($B$3+A138/12)</f>
        <v>55</v>
      </c>
      <c r="C138" s="4">
        <f t="shared" ref="C138:C201" si="19">$B$4+A138</f>
        <v>145</v>
      </c>
      <c r="D138" s="4">
        <f>IF(B138&gt;'Mortality Table'!$A$118,D137,VLOOKUP(B138,'Mortality Table'!$A$2:$B$118,2,FALSE))</f>
        <v>1.038E-2</v>
      </c>
      <c r="E138" s="4">
        <f>IF(INT((C138-1)/12)+1&gt;'Lapse Table'!$A$11,E137,VLOOKUP(INT((C138-1)/12)+1,'Lapse Table'!$A$2:$B$11,2,FALSE))/12</f>
        <v>8.7354966753300851E-31</v>
      </c>
      <c r="F138" s="5">
        <f t="shared" si="17"/>
        <v>0.49757263437916666</v>
      </c>
      <c r="G138" s="6">
        <f t="shared" ref="G138:G201" si="20">D138/12*(1-0.5*E138)</f>
        <v>8.6499999999999999E-4</v>
      </c>
      <c r="H138" s="6">
        <f t="shared" ref="H138:H201" si="21">E138*(1-0.5*D138)</f>
        <v>8.6901594475851225E-31</v>
      </c>
      <c r="I138" s="7">
        <f t="shared" ref="I138:I201" si="22">F138*$B$5/12</f>
        <v>16.585754479305553</v>
      </c>
      <c r="J138" s="8">
        <f t="shared" ref="J138:J201" si="23">$B$6*G138</f>
        <v>865</v>
      </c>
      <c r="K138" s="7">
        <f t="shared" ref="K138:K201" si="24">I138-J138</f>
        <v>-848.41424552069441</v>
      </c>
      <c r="L138" s="4">
        <f>IF(A138&gt;'Yield Curve'!A752,L137,(1+VLOOKUP(A138,'Yield Curve'!A131:B753,2,FALSE))^(1/12)-1)</f>
        <v>7.9741404289037643E-3</v>
      </c>
      <c r="M138" s="5">
        <f t="shared" ref="M138:M201" si="25">K138*(1+L138)^-A138</f>
        <v>-302.12537061349121</v>
      </c>
    </row>
    <row r="139" spans="1:13" x14ac:dyDescent="0.25">
      <c r="A139" s="4">
        <v>131</v>
      </c>
      <c r="B139" s="4">
        <f t="shared" si="18"/>
        <v>55</v>
      </c>
      <c r="C139" s="4">
        <f t="shared" si="19"/>
        <v>146</v>
      </c>
      <c r="D139" s="4">
        <f>IF(B139&gt;'Mortality Table'!$A$118,D138,VLOOKUP(B139,'Mortality Table'!$A$2:$B$118,2,FALSE))</f>
        <v>1.038E-2</v>
      </c>
      <c r="E139" s="4">
        <f>IF(INT((C139-1)/12)+1&gt;'Lapse Table'!$A$11,E138,VLOOKUP(INT((C139-1)/12)+1,'Lapse Table'!$A$2:$B$11,2,FALSE))/12</f>
        <v>7.2795805627750713E-32</v>
      </c>
      <c r="F139" s="5">
        <f t="shared" ref="F139:F202" si="26">F138-G139-H139</f>
        <v>0.49670763437916665</v>
      </c>
      <c r="G139" s="6">
        <f t="shared" si="20"/>
        <v>8.6499999999999999E-4</v>
      </c>
      <c r="H139" s="6">
        <f t="shared" si="21"/>
        <v>7.2417995396542688E-32</v>
      </c>
      <c r="I139" s="7">
        <f t="shared" si="22"/>
        <v>16.556921145972222</v>
      </c>
      <c r="J139" s="8">
        <f t="shared" si="23"/>
        <v>865</v>
      </c>
      <c r="K139" s="7">
        <f t="shared" si="24"/>
        <v>-848.44307885402782</v>
      </c>
      <c r="L139" s="4">
        <f>IF(A139&gt;'Yield Curve'!A753,L138,(1+VLOOKUP(A139,'Yield Curve'!A132:B754,2,FALSE))^(1/12)-1)</f>
        <v>7.9741404289037643E-3</v>
      </c>
      <c r="M139" s="5">
        <f t="shared" si="25"/>
        <v>-299.74542621382915</v>
      </c>
    </row>
    <row r="140" spans="1:13" x14ac:dyDescent="0.25">
      <c r="A140" s="4">
        <v>132</v>
      </c>
      <c r="B140" s="4">
        <f t="shared" si="18"/>
        <v>56</v>
      </c>
      <c r="C140" s="4">
        <f t="shared" si="19"/>
        <v>147</v>
      </c>
      <c r="D140" s="4">
        <f>IF(B140&gt;'Mortality Table'!$A$118,D139,VLOOKUP(B140,'Mortality Table'!$A$2:$B$118,2,FALSE))</f>
        <v>1.1390000000000001E-2</v>
      </c>
      <c r="E140" s="4">
        <f>IF(INT((C140-1)/12)+1&gt;'Lapse Table'!$A$11,E139,VLOOKUP(INT((C140-1)/12)+1,'Lapse Table'!$A$2:$B$11,2,FALSE))/12</f>
        <v>6.0663171356458925E-33</v>
      </c>
      <c r="F140" s="5">
        <f t="shared" si="26"/>
        <v>0.49575846771249998</v>
      </c>
      <c r="G140" s="6">
        <f t="shared" si="20"/>
        <v>9.4916666666666673E-4</v>
      </c>
      <c r="H140" s="6">
        <f t="shared" si="21"/>
        <v>6.031769459558389E-33</v>
      </c>
      <c r="I140" s="7">
        <f t="shared" si="22"/>
        <v>16.525282257083333</v>
      </c>
      <c r="J140" s="8">
        <f t="shared" si="23"/>
        <v>949.16666666666674</v>
      </c>
      <c r="K140" s="7">
        <f t="shared" si="24"/>
        <v>-932.64138440958345</v>
      </c>
      <c r="L140" s="4">
        <f>IF(A140&gt;'Yield Curve'!A754,L139,(1+VLOOKUP(A140,'Yield Curve'!A133:B755,2,FALSE))^(1/12)-1)</f>
        <v>7.9741404289037643E-3</v>
      </c>
      <c r="M140" s="5">
        <f t="shared" si="25"/>
        <v>-326.88511563943814</v>
      </c>
    </row>
    <row r="141" spans="1:13" x14ac:dyDescent="0.25">
      <c r="A141" s="4">
        <v>133</v>
      </c>
      <c r="B141" s="4">
        <f t="shared" si="18"/>
        <v>56</v>
      </c>
      <c r="C141" s="4">
        <f t="shared" si="19"/>
        <v>148</v>
      </c>
      <c r="D141" s="4">
        <f>IF(B141&gt;'Mortality Table'!$A$118,D140,VLOOKUP(B141,'Mortality Table'!$A$2:$B$118,2,FALSE))</f>
        <v>1.1390000000000001E-2</v>
      </c>
      <c r="E141" s="4">
        <f>IF(INT((C141-1)/12)+1&gt;'Lapse Table'!$A$11,E140,VLOOKUP(INT((C141-1)/12)+1,'Lapse Table'!$A$2:$B$11,2,FALSE))/12</f>
        <v>5.0552642797049101E-34</v>
      </c>
      <c r="F141" s="5">
        <f t="shared" si="26"/>
        <v>0.49480930104583332</v>
      </c>
      <c r="G141" s="6">
        <f t="shared" si="20"/>
        <v>9.4916666666666673E-4</v>
      </c>
      <c r="H141" s="6">
        <f t="shared" si="21"/>
        <v>5.0264745496319909E-34</v>
      </c>
      <c r="I141" s="7">
        <f t="shared" si="22"/>
        <v>16.493643368194444</v>
      </c>
      <c r="J141" s="8">
        <f t="shared" si="23"/>
        <v>949.16666666666674</v>
      </c>
      <c r="K141" s="7">
        <f t="shared" si="24"/>
        <v>-932.67302329847234</v>
      </c>
      <c r="L141" s="4">
        <f>IF(A141&gt;'Yield Curve'!A755,L140,(1+VLOOKUP(A141,'Yield Curve'!A134:B756,2,FALSE))^(1/12)-1)</f>
        <v>7.9741404289037643E-3</v>
      </c>
      <c r="M141" s="5">
        <f t="shared" si="25"/>
        <v>-324.31011051323418</v>
      </c>
    </row>
    <row r="142" spans="1:13" x14ac:dyDescent="0.25">
      <c r="A142" s="4">
        <v>134</v>
      </c>
      <c r="B142" s="4">
        <f t="shared" si="18"/>
        <v>56</v>
      </c>
      <c r="C142" s="4">
        <f t="shared" si="19"/>
        <v>149</v>
      </c>
      <c r="D142" s="4">
        <f>IF(B142&gt;'Mortality Table'!$A$118,D141,VLOOKUP(B142,'Mortality Table'!$A$2:$B$118,2,FALSE))</f>
        <v>1.1390000000000001E-2</v>
      </c>
      <c r="E142" s="4">
        <f>IF(INT((C142-1)/12)+1&gt;'Lapse Table'!$A$11,E141,VLOOKUP(INT((C142-1)/12)+1,'Lapse Table'!$A$2:$B$11,2,FALSE))/12</f>
        <v>4.2127202330874249E-35</v>
      </c>
      <c r="F142" s="5">
        <f t="shared" si="26"/>
        <v>0.49386013437916665</v>
      </c>
      <c r="G142" s="6">
        <f t="shared" si="20"/>
        <v>9.4916666666666673E-4</v>
      </c>
      <c r="H142" s="6">
        <f t="shared" si="21"/>
        <v>4.1887287913599922E-35</v>
      </c>
      <c r="I142" s="7">
        <f t="shared" si="22"/>
        <v>16.462004479305556</v>
      </c>
      <c r="J142" s="8">
        <f t="shared" si="23"/>
        <v>949.16666666666674</v>
      </c>
      <c r="K142" s="7">
        <f t="shared" si="24"/>
        <v>-932.70466218736124</v>
      </c>
      <c r="L142" s="4">
        <f>IF(A142&gt;'Yield Curve'!A756,L141,(1+VLOOKUP(A142,'Yield Curve'!A135:B757,2,FALSE))^(1/12)-1)</f>
        <v>7.9741404289037643E-3</v>
      </c>
      <c r="M142" s="5">
        <f t="shared" si="25"/>
        <v>-321.75538936464062</v>
      </c>
    </row>
    <row r="143" spans="1:13" x14ac:dyDescent="0.25">
      <c r="A143" s="4">
        <v>135</v>
      </c>
      <c r="B143" s="4">
        <f t="shared" si="18"/>
        <v>56</v>
      </c>
      <c r="C143" s="4">
        <f t="shared" si="19"/>
        <v>150</v>
      </c>
      <c r="D143" s="4">
        <f>IF(B143&gt;'Mortality Table'!$A$118,D142,VLOOKUP(B143,'Mortality Table'!$A$2:$B$118,2,FALSE))</f>
        <v>1.1390000000000001E-2</v>
      </c>
      <c r="E143" s="4">
        <f>IF(INT((C143-1)/12)+1&gt;'Lapse Table'!$A$11,E142,VLOOKUP(INT((C143-1)/12)+1,'Lapse Table'!$A$2:$B$11,2,FALSE))/12</f>
        <v>3.5106001942395206E-36</v>
      </c>
      <c r="F143" s="5">
        <f t="shared" si="26"/>
        <v>0.49291096771249998</v>
      </c>
      <c r="G143" s="6">
        <f t="shared" si="20"/>
        <v>9.4916666666666673E-4</v>
      </c>
      <c r="H143" s="6">
        <f t="shared" si="21"/>
        <v>3.4906073261333264E-36</v>
      </c>
      <c r="I143" s="7">
        <f t="shared" si="22"/>
        <v>16.430365590416667</v>
      </c>
      <c r="J143" s="8">
        <f t="shared" si="23"/>
        <v>949.16666666666674</v>
      </c>
      <c r="K143" s="7">
        <f t="shared" si="24"/>
        <v>-932.73630107625013</v>
      </c>
      <c r="L143" s="4">
        <f>IF(A143&gt;'Yield Curve'!A757,L142,(1+VLOOKUP(A143,'Yield Curve'!A136:B758,2,FALSE))^(1/12)-1)</f>
        <v>7.9741404289037643E-3</v>
      </c>
      <c r="M143" s="5">
        <f t="shared" si="25"/>
        <v>-319.22079241449069</v>
      </c>
    </row>
    <row r="144" spans="1:13" x14ac:dyDescent="0.25">
      <c r="A144" s="4">
        <v>136</v>
      </c>
      <c r="B144" s="4">
        <f t="shared" si="18"/>
        <v>56</v>
      </c>
      <c r="C144" s="4">
        <f t="shared" si="19"/>
        <v>151</v>
      </c>
      <c r="D144" s="4">
        <f>IF(B144&gt;'Mortality Table'!$A$118,D143,VLOOKUP(B144,'Mortality Table'!$A$2:$B$118,2,FALSE))</f>
        <v>1.1390000000000001E-2</v>
      </c>
      <c r="E144" s="4">
        <f>IF(INT((C144-1)/12)+1&gt;'Lapse Table'!$A$11,E143,VLOOKUP(INT((C144-1)/12)+1,'Lapse Table'!$A$2:$B$11,2,FALSE))/12</f>
        <v>2.925500161866267E-37</v>
      </c>
      <c r="F144" s="5">
        <f t="shared" si="26"/>
        <v>0.49196180104583331</v>
      </c>
      <c r="G144" s="6">
        <f t="shared" si="20"/>
        <v>9.4916666666666673E-4</v>
      </c>
      <c r="H144" s="6">
        <f t="shared" si="21"/>
        <v>2.9088394384444385E-37</v>
      </c>
      <c r="I144" s="7">
        <f t="shared" si="22"/>
        <v>16.398726701527778</v>
      </c>
      <c r="J144" s="8">
        <f t="shared" si="23"/>
        <v>949.16666666666674</v>
      </c>
      <c r="K144" s="7">
        <f t="shared" si="24"/>
        <v>-932.76793996513902</v>
      </c>
      <c r="L144" s="4">
        <f>IF(A144&gt;'Yield Curve'!A758,L143,(1+VLOOKUP(A144,'Yield Curve'!A137:B759,2,FALSE))^(1/12)-1)</f>
        <v>7.9741404289037643E-3</v>
      </c>
      <c r="M144" s="5">
        <f t="shared" si="25"/>
        <v>-316.70616114219297</v>
      </c>
    </row>
    <row r="145" spans="1:13" x14ac:dyDescent="0.25">
      <c r="A145" s="4">
        <v>137</v>
      </c>
      <c r="B145" s="4">
        <f t="shared" si="18"/>
        <v>56</v>
      </c>
      <c r="C145" s="4">
        <f t="shared" si="19"/>
        <v>152</v>
      </c>
      <c r="D145" s="4">
        <f>IF(B145&gt;'Mortality Table'!$A$118,D144,VLOOKUP(B145,'Mortality Table'!$A$2:$B$118,2,FALSE))</f>
        <v>1.1390000000000001E-2</v>
      </c>
      <c r="E145" s="4">
        <f>IF(INT((C145-1)/12)+1&gt;'Lapse Table'!$A$11,E144,VLOOKUP(INT((C145-1)/12)+1,'Lapse Table'!$A$2:$B$11,2,FALSE))/12</f>
        <v>2.4379168015552227E-38</v>
      </c>
      <c r="F145" s="5">
        <f t="shared" si="26"/>
        <v>0.49101263437916665</v>
      </c>
      <c r="G145" s="6">
        <f t="shared" si="20"/>
        <v>9.4916666666666673E-4</v>
      </c>
      <c r="H145" s="6">
        <f t="shared" si="21"/>
        <v>2.4240328653703656E-38</v>
      </c>
      <c r="I145" s="7">
        <f t="shared" si="22"/>
        <v>16.367087812638889</v>
      </c>
      <c r="J145" s="8">
        <f t="shared" si="23"/>
        <v>949.16666666666674</v>
      </c>
      <c r="K145" s="7">
        <f t="shared" si="24"/>
        <v>-932.7995788540278</v>
      </c>
      <c r="L145" s="4">
        <f>IF(A145&gt;'Yield Curve'!A759,L144,(1+VLOOKUP(A145,'Yield Curve'!A138:B760,2,FALSE))^(1/12)-1)</f>
        <v>7.9741404289037643E-3</v>
      </c>
      <c r="M145" s="5">
        <f t="shared" si="25"/>
        <v>-314.21133827581752</v>
      </c>
    </row>
    <row r="146" spans="1:13" x14ac:dyDescent="0.25">
      <c r="A146" s="4">
        <v>138</v>
      </c>
      <c r="B146" s="4">
        <f t="shared" si="18"/>
        <v>56</v>
      </c>
      <c r="C146" s="4">
        <f t="shared" si="19"/>
        <v>153</v>
      </c>
      <c r="D146" s="4">
        <f>IF(B146&gt;'Mortality Table'!$A$118,D145,VLOOKUP(B146,'Mortality Table'!$A$2:$B$118,2,FALSE))</f>
        <v>1.1390000000000001E-2</v>
      </c>
      <c r="E146" s="4">
        <f>IF(INT((C146-1)/12)+1&gt;'Lapse Table'!$A$11,E145,VLOOKUP(INT((C146-1)/12)+1,'Lapse Table'!$A$2:$B$11,2,FALSE))/12</f>
        <v>2.0315973346293523E-39</v>
      </c>
      <c r="F146" s="5">
        <f t="shared" si="26"/>
        <v>0.49006346771249998</v>
      </c>
      <c r="G146" s="6">
        <f t="shared" si="20"/>
        <v>9.4916666666666673E-4</v>
      </c>
      <c r="H146" s="6">
        <f t="shared" si="21"/>
        <v>2.0200273878086381E-39</v>
      </c>
      <c r="I146" s="7">
        <f t="shared" si="22"/>
        <v>16.335448923749997</v>
      </c>
      <c r="J146" s="8">
        <f t="shared" si="23"/>
        <v>949.16666666666674</v>
      </c>
      <c r="K146" s="7">
        <f t="shared" si="24"/>
        <v>-932.83121774291669</v>
      </c>
      <c r="L146" s="4">
        <f>IF(A146&gt;'Yield Curve'!A760,L145,(1+VLOOKUP(A146,'Yield Curve'!A139:B761,2,FALSE))^(1/12)-1)</f>
        <v>7.9741404289037643E-3</v>
      </c>
      <c r="M146" s="5">
        <f t="shared" si="25"/>
        <v>-311.73616778226028</v>
      </c>
    </row>
    <row r="147" spans="1:13" x14ac:dyDescent="0.25">
      <c r="A147" s="4">
        <v>139</v>
      </c>
      <c r="B147" s="4">
        <f t="shared" si="18"/>
        <v>56</v>
      </c>
      <c r="C147" s="4">
        <f t="shared" si="19"/>
        <v>154</v>
      </c>
      <c r="D147" s="4">
        <f>IF(B147&gt;'Mortality Table'!$A$118,D146,VLOOKUP(B147,'Mortality Table'!$A$2:$B$118,2,FALSE))</f>
        <v>1.1390000000000001E-2</v>
      </c>
      <c r="E147" s="4">
        <f>IF(INT((C147-1)/12)+1&gt;'Lapse Table'!$A$11,E146,VLOOKUP(INT((C147-1)/12)+1,'Lapse Table'!$A$2:$B$11,2,FALSE))/12</f>
        <v>1.6929977788577935E-40</v>
      </c>
      <c r="F147" s="5">
        <f t="shared" si="26"/>
        <v>0.48911430104583331</v>
      </c>
      <c r="G147" s="6">
        <f t="shared" si="20"/>
        <v>9.4916666666666673E-4</v>
      </c>
      <c r="H147" s="6">
        <f t="shared" si="21"/>
        <v>1.6833561565071984E-40</v>
      </c>
      <c r="I147" s="7">
        <f t="shared" si="22"/>
        <v>16.303810034861112</v>
      </c>
      <c r="J147" s="8">
        <f t="shared" si="23"/>
        <v>949.16666666666674</v>
      </c>
      <c r="K147" s="7">
        <f t="shared" si="24"/>
        <v>-932.86285663180558</v>
      </c>
      <c r="L147" s="4">
        <f>IF(A147&gt;'Yield Curve'!A761,L146,(1+VLOOKUP(A147,'Yield Curve'!A140:B762,2,FALSE))^(1/12)-1)</f>
        <v>7.9741404289037643E-3</v>
      </c>
      <c r="M147" s="5">
        <f t="shared" si="25"/>
        <v>-309.28049485748539</v>
      </c>
    </row>
    <row r="148" spans="1:13" x14ac:dyDescent="0.25">
      <c r="A148" s="4">
        <v>140</v>
      </c>
      <c r="B148" s="4">
        <f t="shared" si="18"/>
        <v>56</v>
      </c>
      <c r="C148" s="4">
        <f t="shared" si="19"/>
        <v>155</v>
      </c>
      <c r="D148" s="4">
        <f>IF(B148&gt;'Mortality Table'!$A$118,D147,VLOOKUP(B148,'Mortality Table'!$A$2:$B$118,2,FALSE))</f>
        <v>1.1390000000000001E-2</v>
      </c>
      <c r="E148" s="4">
        <f>IF(INT((C148-1)/12)+1&gt;'Lapse Table'!$A$11,E147,VLOOKUP(INT((C148-1)/12)+1,'Lapse Table'!$A$2:$B$11,2,FALSE))/12</f>
        <v>1.4108314823814946E-41</v>
      </c>
      <c r="F148" s="5">
        <f t="shared" si="26"/>
        <v>0.48816513437916664</v>
      </c>
      <c r="G148" s="6">
        <f t="shared" si="20"/>
        <v>9.4916666666666673E-4</v>
      </c>
      <c r="H148" s="6">
        <f t="shared" si="21"/>
        <v>1.402796797089332E-41</v>
      </c>
      <c r="I148" s="7">
        <f t="shared" si="22"/>
        <v>16.272171145972219</v>
      </c>
      <c r="J148" s="8">
        <f t="shared" si="23"/>
        <v>949.16666666666674</v>
      </c>
      <c r="K148" s="7">
        <f t="shared" si="24"/>
        <v>-932.89449552069448</v>
      </c>
      <c r="L148" s="4">
        <f>IF(A148&gt;'Yield Curve'!A762,L147,(1+VLOOKUP(A148,'Yield Curve'!A141:B763,2,FALSE))^(1/12)-1)</f>
        <v>7.9741404289037643E-3</v>
      </c>
      <c r="M148" s="5">
        <f t="shared" si="25"/>
        <v>-306.84416591684351</v>
      </c>
    </row>
    <row r="149" spans="1:13" x14ac:dyDescent="0.25">
      <c r="A149" s="4">
        <v>141</v>
      </c>
      <c r="B149" s="4">
        <f t="shared" si="18"/>
        <v>56</v>
      </c>
      <c r="C149" s="4">
        <f t="shared" si="19"/>
        <v>156</v>
      </c>
      <c r="D149" s="4">
        <f>IF(B149&gt;'Mortality Table'!$A$118,D148,VLOOKUP(B149,'Mortality Table'!$A$2:$B$118,2,FALSE))</f>
        <v>1.1390000000000001E-2</v>
      </c>
      <c r="E149" s="4">
        <f>IF(INT((C149-1)/12)+1&gt;'Lapse Table'!$A$11,E148,VLOOKUP(INT((C149-1)/12)+1,'Lapse Table'!$A$2:$B$11,2,FALSE))/12</f>
        <v>1.1756929019845789E-42</v>
      </c>
      <c r="F149" s="5">
        <f t="shared" si="26"/>
        <v>0.48721596771249998</v>
      </c>
      <c r="G149" s="6">
        <f t="shared" si="20"/>
        <v>9.4916666666666673E-4</v>
      </c>
      <c r="H149" s="6">
        <f t="shared" si="21"/>
        <v>1.1689973309077767E-42</v>
      </c>
      <c r="I149" s="7">
        <f t="shared" si="22"/>
        <v>16.240532257083334</v>
      </c>
      <c r="J149" s="8">
        <f t="shared" si="23"/>
        <v>949.16666666666674</v>
      </c>
      <c r="K149" s="7">
        <f t="shared" si="24"/>
        <v>-932.92613440958337</v>
      </c>
      <c r="L149" s="4">
        <f>IF(A149&gt;'Yield Curve'!A763,L148,(1+VLOOKUP(A149,'Yield Curve'!A142:B764,2,FALSE))^(1/12)-1)</f>
        <v>7.9741404289037643E-3</v>
      </c>
      <c r="M149" s="5">
        <f t="shared" si="25"/>
        <v>-304.42702858546738</v>
      </c>
    </row>
    <row r="150" spans="1:13" x14ac:dyDescent="0.25">
      <c r="A150" s="4">
        <v>142</v>
      </c>
      <c r="B150" s="4">
        <f t="shared" si="18"/>
        <v>56</v>
      </c>
      <c r="C150" s="4">
        <f t="shared" si="19"/>
        <v>157</v>
      </c>
      <c r="D150" s="4">
        <f>IF(B150&gt;'Mortality Table'!$A$118,D149,VLOOKUP(B150,'Mortality Table'!$A$2:$B$118,2,FALSE))</f>
        <v>1.1390000000000001E-2</v>
      </c>
      <c r="E150" s="4">
        <f>IF(INT((C150-1)/12)+1&gt;'Lapse Table'!$A$11,E149,VLOOKUP(INT((C150-1)/12)+1,'Lapse Table'!$A$2:$B$11,2,FALSE))/12</f>
        <v>9.7974408498714902E-44</v>
      </c>
      <c r="F150" s="5">
        <f t="shared" si="26"/>
        <v>0.48626680104583331</v>
      </c>
      <c r="G150" s="6">
        <f t="shared" si="20"/>
        <v>9.4916666666666673E-4</v>
      </c>
      <c r="H150" s="6">
        <f t="shared" si="21"/>
        <v>9.7416444242314711E-44</v>
      </c>
      <c r="I150" s="7">
        <f t="shared" si="22"/>
        <v>16.208893368194442</v>
      </c>
      <c r="J150" s="8">
        <f t="shared" si="23"/>
        <v>949.16666666666674</v>
      </c>
      <c r="K150" s="7">
        <f t="shared" si="24"/>
        <v>-932.95777329847226</v>
      </c>
      <c r="L150" s="4">
        <f>IF(A150&gt;'Yield Curve'!A764,L149,(1+VLOOKUP(A150,'Yield Curve'!A143:B765,2,FALSE))^(1/12)-1)</f>
        <v>7.9741404289037643E-3</v>
      </c>
      <c r="M150" s="5">
        <f t="shared" si="25"/>
        <v>-302.02893168874243</v>
      </c>
    </row>
    <row r="151" spans="1:13" x14ac:dyDescent="0.25">
      <c r="A151" s="4">
        <v>143</v>
      </c>
      <c r="B151" s="4">
        <f t="shared" si="18"/>
        <v>56</v>
      </c>
      <c r="C151" s="4">
        <f t="shared" si="19"/>
        <v>158</v>
      </c>
      <c r="D151" s="4">
        <f>IF(B151&gt;'Mortality Table'!$A$118,D150,VLOOKUP(B151,'Mortality Table'!$A$2:$B$118,2,FALSE))</f>
        <v>1.1390000000000001E-2</v>
      </c>
      <c r="E151" s="4">
        <f>IF(INT((C151-1)/12)+1&gt;'Lapse Table'!$A$11,E150,VLOOKUP(INT((C151-1)/12)+1,'Lapse Table'!$A$2:$B$11,2,FALSE))/12</f>
        <v>8.1645340415595756E-45</v>
      </c>
      <c r="F151" s="5">
        <f t="shared" si="26"/>
        <v>0.48531763437916664</v>
      </c>
      <c r="G151" s="6">
        <f t="shared" si="20"/>
        <v>9.4916666666666673E-4</v>
      </c>
      <c r="H151" s="6">
        <f t="shared" si="21"/>
        <v>8.1180370201928939E-45</v>
      </c>
      <c r="I151" s="7">
        <f t="shared" si="22"/>
        <v>16.177254479305557</v>
      </c>
      <c r="J151" s="8">
        <f t="shared" si="23"/>
        <v>949.16666666666674</v>
      </c>
      <c r="K151" s="7">
        <f t="shared" si="24"/>
        <v>-932.98941218736115</v>
      </c>
      <c r="L151" s="4">
        <f>IF(A151&gt;'Yield Curve'!A765,L150,(1+VLOOKUP(A151,'Yield Curve'!A144:B766,2,FALSE))^(1/12)-1)</f>
        <v>7.9741404289037643E-3</v>
      </c>
      <c r="M151" s="5">
        <f t="shared" si="25"/>
        <v>-299.64972524285281</v>
      </c>
    </row>
    <row r="152" spans="1:13" x14ac:dyDescent="0.25">
      <c r="A152" s="4">
        <v>144</v>
      </c>
      <c r="B152" s="4">
        <f t="shared" si="18"/>
        <v>57</v>
      </c>
      <c r="C152" s="4">
        <f t="shared" si="19"/>
        <v>159</v>
      </c>
      <c r="D152" s="4">
        <f>IF(B152&gt;'Mortality Table'!$A$118,D151,VLOOKUP(B152,'Mortality Table'!$A$2:$B$118,2,FALSE))</f>
        <v>1.2500000000000001E-2</v>
      </c>
      <c r="E152" s="4">
        <f>IF(INT((C152-1)/12)+1&gt;'Lapse Table'!$A$11,E151,VLOOKUP(INT((C152-1)/12)+1,'Lapse Table'!$A$2:$B$11,2,FALSE))/12</f>
        <v>6.8037783679663127E-46</v>
      </c>
      <c r="F152" s="5">
        <f t="shared" si="26"/>
        <v>0.48427596771249998</v>
      </c>
      <c r="G152" s="6">
        <f t="shared" si="20"/>
        <v>1.0416666666666667E-3</v>
      </c>
      <c r="H152" s="6">
        <f t="shared" si="21"/>
        <v>6.7612547531665233E-46</v>
      </c>
      <c r="I152" s="7">
        <f t="shared" si="22"/>
        <v>16.142532257083332</v>
      </c>
      <c r="J152" s="8">
        <f t="shared" si="23"/>
        <v>1041.6666666666667</v>
      </c>
      <c r="K152" s="7">
        <f t="shared" si="24"/>
        <v>-1025.5241344095834</v>
      </c>
      <c r="L152" s="4">
        <f>IF(A152&gt;'Yield Curve'!A766,L151,(1+VLOOKUP(A152,'Yield Curve'!A145:B767,2,FALSE))^(1/12)-1)</f>
        <v>7.9741404289037643E-3</v>
      </c>
      <c r="M152" s="5">
        <f t="shared" si="25"/>
        <v>-326.76359352863017</v>
      </c>
    </row>
    <row r="153" spans="1:13" x14ac:dyDescent="0.25">
      <c r="A153" s="4">
        <v>145</v>
      </c>
      <c r="B153" s="4">
        <f t="shared" si="18"/>
        <v>57</v>
      </c>
      <c r="C153" s="4">
        <f t="shared" si="19"/>
        <v>160</v>
      </c>
      <c r="D153" s="4">
        <f>IF(B153&gt;'Mortality Table'!$A$118,D152,VLOOKUP(B153,'Mortality Table'!$A$2:$B$118,2,FALSE))</f>
        <v>1.2500000000000001E-2</v>
      </c>
      <c r="E153" s="4">
        <f>IF(INT((C153-1)/12)+1&gt;'Lapse Table'!$A$11,E152,VLOOKUP(INT((C153-1)/12)+1,'Lapse Table'!$A$2:$B$11,2,FALSE))/12</f>
        <v>5.6698153066385939E-47</v>
      </c>
      <c r="F153" s="5">
        <f t="shared" si="26"/>
        <v>0.48323430104583331</v>
      </c>
      <c r="G153" s="6">
        <f t="shared" si="20"/>
        <v>1.0416666666666667E-3</v>
      </c>
      <c r="H153" s="6">
        <f t="shared" si="21"/>
        <v>5.6343789609721028E-47</v>
      </c>
      <c r="I153" s="7">
        <f t="shared" si="22"/>
        <v>16.10781003486111</v>
      </c>
      <c r="J153" s="8">
        <f t="shared" si="23"/>
        <v>1041.6666666666667</v>
      </c>
      <c r="K153" s="7">
        <f t="shared" si="24"/>
        <v>-1025.5588566318056</v>
      </c>
      <c r="L153" s="4">
        <f>IF(A153&gt;'Yield Curve'!A767,L152,(1+VLOOKUP(A153,'Yield Curve'!A146:B768,2,FALSE))^(1/12)-1)</f>
        <v>7.9741404289037643E-3</v>
      </c>
      <c r="M153" s="5">
        <f t="shared" si="25"/>
        <v>-324.18952430629162</v>
      </c>
    </row>
    <row r="154" spans="1:13" x14ac:dyDescent="0.25">
      <c r="A154" s="4">
        <v>146</v>
      </c>
      <c r="B154" s="4">
        <f t="shared" si="18"/>
        <v>57</v>
      </c>
      <c r="C154" s="4">
        <f t="shared" si="19"/>
        <v>161</v>
      </c>
      <c r="D154" s="4">
        <f>IF(B154&gt;'Mortality Table'!$A$118,D153,VLOOKUP(B154,'Mortality Table'!$A$2:$B$118,2,FALSE))</f>
        <v>1.2500000000000001E-2</v>
      </c>
      <c r="E154" s="4">
        <f>IF(INT((C154-1)/12)+1&gt;'Lapse Table'!$A$11,E153,VLOOKUP(INT((C154-1)/12)+1,'Lapse Table'!$A$2:$B$11,2,FALSE))/12</f>
        <v>4.7248460888654949E-48</v>
      </c>
      <c r="F154" s="5">
        <f t="shared" si="26"/>
        <v>0.48219263437916665</v>
      </c>
      <c r="G154" s="6">
        <f t="shared" si="20"/>
        <v>1.0416666666666667E-3</v>
      </c>
      <c r="H154" s="6">
        <f t="shared" si="21"/>
        <v>4.6953158008100856E-48</v>
      </c>
      <c r="I154" s="7">
        <f t="shared" si="22"/>
        <v>16.073087812638889</v>
      </c>
      <c r="J154" s="8">
        <f t="shared" si="23"/>
        <v>1041.6666666666667</v>
      </c>
      <c r="K154" s="7">
        <f t="shared" si="24"/>
        <v>-1025.5935788540278</v>
      </c>
      <c r="L154" s="4">
        <f>IF(A154&gt;'Yield Curve'!A768,L153,(1+VLOOKUP(A154,'Yield Curve'!A147:B769,2,FALSE))^(1/12)-1)</f>
        <v>7.9741404289037643E-3</v>
      </c>
      <c r="M154" s="5">
        <f t="shared" si="25"/>
        <v>-321.6357318590255</v>
      </c>
    </row>
    <row r="155" spans="1:13" x14ac:dyDescent="0.25">
      <c r="A155" s="4">
        <v>147</v>
      </c>
      <c r="B155" s="4">
        <f t="shared" si="18"/>
        <v>57</v>
      </c>
      <c r="C155" s="4">
        <f t="shared" si="19"/>
        <v>162</v>
      </c>
      <c r="D155" s="4">
        <f>IF(B155&gt;'Mortality Table'!$A$118,D154,VLOOKUP(B155,'Mortality Table'!$A$2:$B$118,2,FALSE))</f>
        <v>1.2500000000000001E-2</v>
      </c>
      <c r="E155" s="4">
        <f>IF(INT((C155-1)/12)+1&gt;'Lapse Table'!$A$11,E154,VLOOKUP(INT((C155-1)/12)+1,'Lapse Table'!$A$2:$B$11,2,FALSE))/12</f>
        <v>3.9373717407212458E-49</v>
      </c>
      <c r="F155" s="5">
        <f t="shared" si="26"/>
        <v>0.48115096771249999</v>
      </c>
      <c r="G155" s="6">
        <f t="shared" si="20"/>
        <v>1.0416666666666667E-3</v>
      </c>
      <c r="H155" s="6">
        <f t="shared" si="21"/>
        <v>3.9127631673417378E-49</v>
      </c>
      <c r="I155" s="7">
        <f t="shared" si="22"/>
        <v>16.038365590416667</v>
      </c>
      <c r="J155" s="8">
        <f t="shared" si="23"/>
        <v>1041.6666666666667</v>
      </c>
      <c r="K155" s="7">
        <f t="shared" si="24"/>
        <v>-1025.6283010762502</v>
      </c>
      <c r="L155" s="4">
        <f>IF(A155&gt;'Yield Curve'!A769,L154,(1+VLOOKUP(A155,'Yield Curve'!A148:B770,2,FALSE))^(1/12)-1)</f>
        <v>7.9741404289037643E-3</v>
      </c>
      <c r="M155" s="5">
        <f t="shared" si="25"/>
        <v>-319.10205646305127</v>
      </c>
    </row>
    <row r="156" spans="1:13" x14ac:dyDescent="0.25">
      <c r="A156" s="4">
        <v>148</v>
      </c>
      <c r="B156" s="4">
        <f t="shared" si="18"/>
        <v>57</v>
      </c>
      <c r="C156" s="4">
        <f t="shared" si="19"/>
        <v>163</v>
      </c>
      <c r="D156" s="4">
        <f>IF(B156&gt;'Mortality Table'!$A$118,D155,VLOOKUP(B156,'Mortality Table'!$A$2:$B$118,2,FALSE))</f>
        <v>1.2500000000000001E-2</v>
      </c>
      <c r="E156" s="4">
        <f>IF(INT((C156-1)/12)+1&gt;'Lapse Table'!$A$11,E155,VLOOKUP(INT((C156-1)/12)+1,'Lapse Table'!$A$2:$B$11,2,FALSE))/12</f>
        <v>3.2811431172677047E-50</v>
      </c>
      <c r="F156" s="5">
        <f t="shared" si="26"/>
        <v>0.48010930104583333</v>
      </c>
      <c r="G156" s="6">
        <f t="shared" si="20"/>
        <v>1.0416666666666667E-3</v>
      </c>
      <c r="H156" s="6">
        <f t="shared" si="21"/>
        <v>3.2606359727847815E-50</v>
      </c>
      <c r="I156" s="7">
        <f t="shared" si="22"/>
        <v>16.003643368194442</v>
      </c>
      <c r="J156" s="8">
        <f t="shared" si="23"/>
        <v>1041.6666666666667</v>
      </c>
      <c r="K156" s="7">
        <f t="shared" si="24"/>
        <v>-1025.6630232984724</v>
      </c>
      <c r="L156" s="4">
        <f>IF(A156&gt;'Yield Curve'!A770,L155,(1+VLOOKUP(A156,'Yield Curve'!A149:B771,2,FALSE))^(1/12)-1)</f>
        <v>7.9741404289037643E-3</v>
      </c>
      <c r="M156" s="5">
        <f t="shared" si="25"/>
        <v>-316.58833965273777</v>
      </c>
    </row>
    <row r="157" spans="1:13" x14ac:dyDescent="0.25">
      <c r="A157" s="4">
        <v>149</v>
      </c>
      <c r="B157" s="4">
        <f t="shared" si="18"/>
        <v>57</v>
      </c>
      <c r="C157" s="4">
        <f t="shared" si="19"/>
        <v>164</v>
      </c>
      <c r="D157" s="4">
        <f>IF(B157&gt;'Mortality Table'!$A$118,D156,VLOOKUP(B157,'Mortality Table'!$A$2:$B$118,2,FALSE))</f>
        <v>1.2500000000000001E-2</v>
      </c>
      <c r="E157" s="4">
        <f>IF(INT((C157-1)/12)+1&gt;'Lapse Table'!$A$11,E156,VLOOKUP(INT((C157-1)/12)+1,'Lapse Table'!$A$2:$B$11,2,FALSE))/12</f>
        <v>2.7342859310564204E-51</v>
      </c>
      <c r="F157" s="5">
        <f t="shared" si="26"/>
        <v>0.47906763437916666</v>
      </c>
      <c r="G157" s="6">
        <f t="shared" si="20"/>
        <v>1.0416666666666667E-3</v>
      </c>
      <c r="H157" s="6">
        <f t="shared" si="21"/>
        <v>2.7171966439873175E-51</v>
      </c>
      <c r="I157" s="7">
        <f t="shared" si="22"/>
        <v>15.968921145972223</v>
      </c>
      <c r="J157" s="8">
        <f t="shared" si="23"/>
        <v>1041.6666666666667</v>
      </c>
      <c r="K157" s="7">
        <f t="shared" si="24"/>
        <v>-1025.6977455206945</v>
      </c>
      <c r="L157" s="4">
        <f>IF(A157&gt;'Yield Curve'!A771,L156,(1+VLOOKUP(A157,'Yield Curve'!A150:B772,2,FALSE))^(1/12)-1)</f>
        <v>7.9741404289037643E-3</v>
      </c>
      <c r="M157" s="5">
        <f t="shared" si="25"/>
        <v>-314.09442421069309</v>
      </c>
    </row>
    <row r="158" spans="1:13" x14ac:dyDescent="0.25">
      <c r="A158" s="4">
        <v>150</v>
      </c>
      <c r="B158" s="4">
        <f t="shared" si="18"/>
        <v>57</v>
      </c>
      <c r="C158" s="4">
        <f t="shared" si="19"/>
        <v>165</v>
      </c>
      <c r="D158" s="4">
        <f>IF(B158&gt;'Mortality Table'!$A$118,D157,VLOOKUP(B158,'Mortality Table'!$A$2:$B$118,2,FALSE))</f>
        <v>1.2500000000000001E-2</v>
      </c>
      <c r="E158" s="4">
        <f>IF(INT((C158-1)/12)+1&gt;'Lapse Table'!$A$11,E157,VLOOKUP(INT((C158-1)/12)+1,'Lapse Table'!$A$2:$B$11,2,FALSE))/12</f>
        <v>2.2785716092136836E-52</v>
      </c>
      <c r="F158" s="5">
        <f t="shared" si="26"/>
        <v>0.4780259677125</v>
      </c>
      <c r="G158" s="6">
        <f t="shared" si="20"/>
        <v>1.0416666666666667E-3</v>
      </c>
      <c r="H158" s="6">
        <f t="shared" si="21"/>
        <v>2.264330536656098E-52</v>
      </c>
      <c r="I158" s="7">
        <f t="shared" si="22"/>
        <v>15.934198923750001</v>
      </c>
      <c r="J158" s="8">
        <f t="shared" si="23"/>
        <v>1041.6666666666667</v>
      </c>
      <c r="K158" s="7">
        <f t="shared" si="24"/>
        <v>-1025.7324677429167</v>
      </c>
      <c r="L158" s="4">
        <f>IF(A158&gt;'Yield Curve'!A772,L157,(1+VLOOKUP(A158,'Yield Curve'!A151:B773,2,FALSE))^(1/12)-1)</f>
        <v>7.9741404289037643E-3</v>
      </c>
      <c r="M158" s="5">
        <f t="shared" si="25"/>
        <v>-311.62015415793269</v>
      </c>
    </row>
    <row r="159" spans="1:13" x14ac:dyDescent="0.25">
      <c r="A159" s="4">
        <v>151</v>
      </c>
      <c r="B159" s="4">
        <f t="shared" si="18"/>
        <v>57</v>
      </c>
      <c r="C159" s="4">
        <f t="shared" si="19"/>
        <v>166</v>
      </c>
      <c r="D159" s="4">
        <f>IF(B159&gt;'Mortality Table'!$A$118,D158,VLOOKUP(B159,'Mortality Table'!$A$2:$B$118,2,FALSE))</f>
        <v>1.2500000000000001E-2</v>
      </c>
      <c r="E159" s="4">
        <f>IF(INT((C159-1)/12)+1&gt;'Lapse Table'!$A$11,E158,VLOOKUP(INT((C159-1)/12)+1,'Lapse Table'!$A$2:$B$11,2,FALSE))/12</f>
        <v>1.8988096743447364E-53</v>
      </c>
      <c r="F159" s="5">
        <f t="shared" si="26"/>
        <v>0.47698430104583334</v>
      </c>
      <c r="G159" s="6">
        <f t="shared" si="20"/>
        <v>1.0416666666666667E-3</v>
      </c>
      <c r="H159" s="6">
        <f t="shared" si="21"/>
        <v>1.8869421138800818E-53</v>
      </c>
      <c r="I159" s="7">
        <f t="shared" si="22"/>
        <v>15.899476701527776</v>
      </c>
      <c r="J159" s="8">
        <f t="shared" si="23"/>
        <v>1041.6666666666667</v>
      </c>
      <c r="K159" s="7">
        <f t="shared" si="24"/>
        <v>-1025.7671899651389</v>
      </c>
      <c r="L159" s="4">
        <f>IF(A159&gt;'Yield Curve'!A773,L158,(1+VLOOKUP(A159,'Yield Curve'!A152:B774,2,FALSE))^(1/12)-1)</f>
        <v>7.9741404289037643E-3</v>
      </c>
      <c r="M159" s="5">
        <f t="shared" si="25"/>
        <v>-309.16537474412348</v>
      </c>
    </row>
    <row r="160" spans="1:13" x14ac:dyDescent="0.25">
      <c r="A160" s="4">
        <v>152</v>
      </c>
      <c r="B160" s="4">
        <f t="shared" si="18"/>
        <v>57</v>
      </c>
      <c r="C160" s="4">
        <f t="shared" si="19"/>
        <v>167</v>
      </c>
      <c r="D160" s="4">
        <f>IF(B160&gt;'Mortality Table'!$A$118,D159,VLOOKUP(B160,'Mortality Table'!$A$2:$B$118,2,FALSE))</f>
        <v>1.2500000000000001E-2</v>
      </c>
      <c r="E160" s="4">
        <f>IF(INT((C160-1)/12)+1&gt;'Lapse Table'!$A$11,E159,VLOOKUP(INT((C160-1)/12)+1,'Lapse Table'!$A$2:$B$11,2,FALSE))/12</f>
        <v>1.5823413952872803E-54</v>
      </c>
      <c r="F160" s="5">
        <f t="shared" si="26"/>
        <v>0.47594263437916667</v>
      </c>
      <c r="G160" s="6">
        <f t="shared" si="20"/>
        <v>1.0416666666666667E-3</v>
      </c>
      <c r="H160" s="6">
        <f t="shared" si="21"/>
        <v>1.5724517615667347E-54</v>
      </c>
      <c r="I160" s="7">
        <f t="shared" si="22"/>
        <v>15.864754479305555</v>
      </c>
      <c r="J160" s="8">
        <f t="shared" si="23"/>
        <v>1041.6666666666667</v>
      </c>
      <c r="K160" s="7">
        <f t="shared" si="24"/>
        <v>-1025.8019121873613</v>
      </c>
      <c r="L160" s="4">
        <f>IF(A160&gt;'Yield Curve'!A774,L159,(1+VLOOKUP(A160,'Yield Curve'!A153:B775,2,FALSE))^(1/12)-1)</f>
        <v>7.9741404289037643E-3</v>
      </c>
      <c r="M160" s="5">
        <f t="shared" si="25"/>
        <v>-306.72993243790711</v>
      </c>
    </row>
    <row r="161" spans="1:13" x14ac:dyDescent="0.25">
      <c r="A161" s="4">
        <v>153</v>
      </c>
      <c r="B161" s="4">
        <f t="shared" si="18"/>
        <v>57</v>
      </c>
      <c r="C161" s="4">
        <f t="shared" si="19"/>
        <v>168</v>
      </c>
      <c r="D161" s="4">
        <f>IF(B161&gt;'Mortality Table'!$A$118,D160,VLOOKUP(B161,'Mortality Table'!$A$2:$B$118,2,FALSE))</f>
        <v>1.2500000000000001E-2</v>
      </c>
      <c r="E161" s="4">
        <f>IF(INT((C161-1)/12)+1&gt;'Lapse Table'!$A$11,E160,VLOOKUP(INT((C161-1)/12)+1,'Lapse Table'!$A$2:$B$11,2,FALSE))/12</f>
        <v>1.3186178294060669E-55</v>
      </c>
      <c r="F161" s="5">
        <f t="shared" si="26"/>
        <v>0.47490096771250001</v>
      </c>
      <c r="G161" s="6">
        <f t="shared" si="20"/>
        <v>1.0416666666666667E-3</v>
      </c>
      <c r="H161" s="6">
        <f t="shared" si="21"/>
        <v>1.310376467972279E-55</v>
      </c>
      <c r="I161" s="7">
        <f t="shared" si="22"/>
        <v>15.830032257083333</v>
      </c>
      <c r="J161" s="8">
        <f t="shared" si="23"/>
        <v>1041.6666666666667</v>
      </c>
      <c r="K161" s="7">
        <f t="shared" si="24"/>
        <v>-1025.8366344095834</v>
      </c>
      <c r="L161" s="4">
        <f>IF(A161&gt;'Yield Curve'!A775,L160,(1+VLOOKUP(A161,'Yield Curve'!A154:B776,2,FALSE))^(1/12)-1)</f>
        <v>7.9741404289037643E-3</v>
      </c>
      <c r="M161" s="5">
        <f t="shared" si="25"/>
        <v>-304.31367491729742</v>
      </c>
    </row>
    <row r="162" spans="1:13" x14ac:dyDescent="0.25">
      <c r="A162" s="4">
        <v>154</v>
      </c>
      <c r="B162" s="4">
        <f t="shared" si="18"/>
        <v>57</v>
      </c>
      <c r="C162" s="4">
        <f t="shared" si="19"/>
        <v>169</v>
      </c>
      <c r="D162" s="4">
        <f>IF(B162&gt;'Mortality Table'!$A$118,D161,VLOOKUP(B162,'Mortality Table'!$A$2:$B$118,2,FALSE))</f>
        <v>1.2500000000000001E-2</v>
      </c>
      <c r="E162" s="4">
        <f>IF(INT((C162-1)/12)+1&gt;'Lapse Table'!$A$11,E161,VLOOKUP(INT((C162-1)/12)+1,'Lapse Table'!$A$2:$B$11,2,FALSE))/12</f>
        <v>1.0988481911717225E-56</v>
      </c>
      <c r="F162" s="5">
        <f t="shared" si="26"/>
        <v>0.47385930104583335</v>
      </c>
      <c r="G162" s="6">
        <f t="shared" si="20"/>
        <v>1.0416666666666667E-3</v>
      </c>
      <c r="H162" s="6">
        <f t="shared" si="21"/>
        <v>1.0919803899768993E-56</v>
      </c>
      <c r="I162" s="7">
        <f t="shared" si="22"/>
        <v>15.795310034861112</v>
      </c>
      <c r="J162" s="8">
        <f t="shared" si="23"/>
        <v>1041.6666666666667</v>
      </c>
      <c r="K162" s="7">
        <f t="shared" si="24"/>
        <v>-1025.8713566318056</v>
      </c>
      <c r="L162" s="4">
        <f>IF(A162&gt;'Yield Curve'!A776,L161,(1+VLOOKUP(A162,'Yield Curve'!A155:B777,2,FALSE))^(1/12)-1)</f>
        <v>7.9741404289037643E-3</v>
      </c>
      <c r="M162" s="5">
        <f t="shared" si="25"/>
        <v>-301.91645106015471</v>
      </c>
    </row>
    <row r="163" spans="1:13" x14ac:dyDescent="0.25">
      <c r="A163" s="4">
        <v>155</v>
      </c>
      <c r="B163" s="4">
        <f t="shared" si="18"/>
        <v>57</v>
      </c>
      <c r="C163" s="4">
        <f t="shared" si="19"/>
        <v>170</v>
      </c>
      <c r="D163" s="4">
        <f>IF(B163&gt;'Mortality Table'!$A$118,D162,VLOOKUP(B163,'Mortality Table'!$A$2:$B$118,2,FALSE))</f>
        <v>1.2500000000000001E-2</v>
      </c>
      <c r="E163" s="4">
        <f>IF(INT((C163-1)/12)+1&gt;'Lapse Table'!$A$11,E162,VLOOKUP(INT((C163-1)/12)+1,'Lapse Table'!$A$2:$B$11,2,FALSE))/12</f>
        <v>9.1570682597643545E-58</v>
      </c>
      <c r="F163" s="5">
        <f t="shared" si="26"/>
        <v>0.47281763437916668</v>
      </c>
      <c r="G163" s="6">
        <f t="shared" si="20"/>
        <v>1.0416666666666667E-3</v>
      </c>
      <c r="H163" s="6">
        <f t="shared" si="21"/>
        <v>9.0998365831408271E-58</v>
      </c>
      <c r="I163" s="7">
        <f t="shared" si="22"/>
        <v>15.760587812638889</v>
      </c>
      <c r="J163" s="8">
        <f t="shared" si="23"/>
        <v>1041.6666666666667</v>
      </c>
      <c r="K163" s="7">
        <f t="shared" si="24"/>
        <v>-1025.9060788540278</v>
      </c>
      <c r="L163" s="4">
        <f>IF(A163&gt;'Yield Curve'!A777,L162,(1+VLOOKUP(A163,'Yield Curve'!A156:B778,2,FALSE))^(1/12)-1)</f>
        <v>7.9741404289037643E-3</v>
      </c>
      <c r="M163" s="5">
        <f t="shared" si="25"/>
        <v>-299.53811093473462</v>
      </c>
    </row>
    <row r="164" spans="1:13" x14ac:dyDescent="0.25">
      <c r="A164" s="4">
        <v>156</v>
      </c>
      <c r="B164" s="4">
        <f t="shared" si="18"/>
        <v>58</v>
      </c>
      <c r="C164" s="4">
        <f t="shared" si="19"/>
        <v>171</v>
      </c>
      <c r="D164" s="4">
        <f>IF(B164&gt;'Mortality Table'!$A$118,D163,VLOOKUP(B164,'Mortality Table'!$A$2:$B$118,2,FALSE))</f>
        <v>1.371E-2</v>
      </c>
      <c r="E164" s="4">
        <f>IF(INT((C164-1)/12)+1&gt;'Lapse Table'!$A$11,E163,VLOOKUP(INT((C164-1)/12)+1,'Lapse Table'!$A$2:$B$11,2,FALSE))/12</f>
        <v>7.6308902164702954E-59</v>
      </c>
      <c r="F164" s="5">
        <f t="shared" si="26"/>
        <v>0.47167513437916669</v>
      </c>
      <c r="G164" s="6">
        <f t="shared" si="20"/>
        <v>1.1425000000000001E-3</v>
      </c>
      <c r="H164" s="6">
        <f t="shared" si="21"/>
        <v>7.5785804640363909E-59</v>
      </c>
      <c r="I164" s="7">
        <f t="shared" si="22"/>
        <v>15.722504479305556</v>
      </c>
      <c r="J164" s="8">
        <f t="shared" si="23"/>
        <v>1142.5</v>
      </c>
      <c r="K164" s="7">
        <f t="shared" si="24"/>
        <v>-1126.7774955206944</v>
      </c>
      <c r="L164" s="4">
        <f>IF(A164&gt;'Yield Curve'!A778,L163,(1+VLOOKUP(A164,'Yield Curve'!A157:B779,2,FALSE))^(1/12)-1)</f>
        <v>7.9741404289037643E-3</v>
      </c>
      <c r="M164" s="5">
        <f t="shared" si="25"/>
        <v>-326.38730434125932</v>
      </c>
    </row>
    <row r="165" spans="1:13" x14ac:dyDescent="0.25">
      <c r="A165" s="4">
        <v>157</v>
      </c>
      <c r="B165" s="4">
        <f t="shared" si="18"/>
        <v>58</v>
      </c>
      <c r="C165" s="4">
        <f t="shared" si="19"/>
        <v>172</v>
      </c>
      <c r="D165" s="4">
        <f>IF(B165&gt;'Mortality Table'!$A$118,D164,VLOOKUP(B165,'Mortality Table'!$A$2:$B$118,2,FALSE))</f>
        <v>1.371E-2</v>
      </c>
      <c r="E165" s="4">
        <f>IF(INT((C165-1)/12)+1&gt;'Lapse Table'!$A$11,E164,VLOOKUP(INT((C165-1)/12)+1,'Lapse Table'!$A$2:$B$11,2,FALSE))/12</f>
        <v>6.3590751803919125E-60</v>
      </c>
      <c r="F165" s="5">
        <f t="shared" si="26"/>
        <v>0.4705326343791667</v>
      </c>
      <c r="G165" s="6">
        <f t="shared" si="20"/>
        <v>1.1425000000000001E-3</v>
      </c>
      <c r="H165" s="6">
        <f t="shared" si="21"/>
        <v>6.3154837200303254E-60</v>
      </c>
      <c r="I165" s="7">
        <f t="shared" si="22"/>
        <v>15.684421145972223</v>
      </c>
      <c r="J165" s="8">
        <f t="shared" si="23"/>
        <v>1142.5</v>
      </c>
      <c r="K165" s="7">
        <f t="shared" si="24"/>
        <v>-1126.8155788540278</v>
      </c>
      <c r="L165" s="4">
        <f>IF(A165&gt;'Yield Curve'!A779,L164,(1+VLOOKUP(A165,'Yield Curve'!A158:B780,2,FALSE))^(1/12)-1)</f>
        <v>7.9741404289037643E-3</v>
      </c>
      <c r="M165" s="5">
        <f t="shared" si="25"/>
        <v>-323.81618003364815</v>
      </c>
    </row>
    <row r="166" spans="1:13" x14ac:dyDescent="0.25">
      <c r="A166" s="4">
        <v>158</v>
      </c>
      <c r="B166" s="4">
        <f t="shared" si="18"/>
        <v>58</v>
      </c>
      <c r="C166" s="4">
        <f t="shared" si="19"/>
        <v>173</v>
      </c>
      <c r="D166" s="4">
        <f>IF(B166&gt;'Mortality Table'!$A$118,D165,VLOOKUP(B166,'Mortality Table'!$A$2:$B$118,2,FALSE))</f>
        <v>1.371E-2</v>
      </c>
      <c r="E166" s="4">
        <f>IF(INT((C166-1)/12)+1&gt;'Lapse Table'!$A$11,E165,VLOOKUP(INT((C166-1)/12)+1,'Lapse Table'!$A$2:$B$11,2,FALSE))/12</f>
        <v>5.2992293169932604E-61</v>
      </c>
      <c r="F166" s="5">
        <f t="shared" si="26"/>
        <v>0.46939013437916671</v>
      </c>
      <c r="G166" s="6">
        <f t="shared" si="20"/>
        <v>1.1425000000000001E-3</v>
      </c>
      <c r="H166" s="6">
        <f t="shared" si="21"/>
        <v>5.2629031000252712E-61</v>
      </c>
      <c r="I166" s="7">
        <f t="shared" si="22"/>
        <v>15.64633781263889</v>
      </c>
      <c r="J166" s="8">
        <f t="shared" si="23"/>
        <v>1142.5</v>
      </c>
      <c r="K166" s="7">
        <f t="shared" si="24"/>
        <v>-1126.8536621873611</v>
      </c>
      <c r="L166" s="4">
        <f>IF(A166&gt;'Yield Curve'!A780,L165,(1+VLOOKUP(A166,'Yield Curve'!A159:B781,2,FALSE))^(1/12)-1)</f>
        <v>7.9741404289037643E-3</v>
      </c>
      <c r="M166" s="5">
        <f t="shared" si="25"/>
        <v>-321.26530945632487</v>
      </c>
    </row>
    <row r="167" spans="1:13" x14ac:dyDescent="0.25">
      <c r="A167" s="4">
        <v>159</v>
      </c>
      <c r="B167" s="4">
        <f t="shared" si="18"/>
        <v>58</v>
      </c>
      <c r="C167" s="4">
        <f t="shared" si="19"/>
        <v>174</v>
      </c>
      <c r="D167" s="4">
        <f>IF(B167&gt;'Mortality Table'!$A$118,D166,VLOOKUP(B167,'Mortality Table'!$A$2:$B$118,2,FALSE))</f>
        <v>1.371E-2</v>
      </c>
      <c r="E167" s="4">
        <f>IF(INT((C167-1)/12)+1&gt;'Lapse Table'!$A$11,E166,VLOOKUP(INT((C167-1)/12)+1,'Lapse Table'!$A$2:$B$11,2,FALSE))/12</f>
        <v>4.4160244308277173E-62</v>
      </c>
      <c r="F167" s="5">
        <f t="shared" si="26"/>
        <v>0.46824763437916672</v>
      </c>
      <c r="G167" s="6">
        <f t="shared" si="20"/>
        <v>1.1425000000000001E-3</v>
      </c>
      <c r="H167" s="6">
        <f t="shared" si="21"/>
        <v>4.3857525833543929E-62</v>
      </c>
      <c r="I167" s="7">
        <f t="shared" si="22"/>
        <v>15.608254479305558</v>
      </c>
      <c r="J167" s="8">
        <f t="shared" si="23"/>
        <v>1142.5</v>
      </c>
      <c r="K167" s="7">
        <f t="shared" si="24"/>
        <v>-1126.8917455206945</v>
      </c>
      <c r="L167" s="4">
        <f>IF(A167&gt;'Yield Curve'!A781,L166,(1+VLOOKUP(A167,'Yield Curve'!A160:B782,2,FALSE))^(1/12)-1)</f>
        <v>7.9741404289037643E-3</v>
      </c>
      <c r="M167" s="5">
        <f t="shared" si="25"/>
        <v>-318.73453306581933</v>
      </c>
    </row>
    <row r="168" spans="1:13" x14ac:dyDescent="0.25">
      <c r="A168" s="4">
        <v>160</v>
      </c>
      <c r="B168" s="4">
        <f t="shared" si="18"/>
        <v>58</v>
      </c>
      <c r="C168" s="4">
        <f t="shared" si="19"/>
        <v>175</v>
      </c>
      <c r="D168" s="4">
        <f>IF(B168&gt;'Mortality Table'!$A$118,D167,VLOOKUP(B168,'Mortality Table'!$A$2:$B$118,2,FALSE))</f>
        <v>1.371E-2</v>
      </c>
      <c r="E168" s="4">
        <f>IF(INT((C168-1)/12)+1&gt;'Lapse Table'!$A$11,E167,VLOOKUP(INT((C168-1)/12)+1,'Lapse Table'!$A$2:$B$11,2,FALSE))/12</f>
        <v>3.6800203590230979E-63</v>
      </c>
      <c r="F168" s="5">
        <f t="shared" si="26"/>
        <v>0.46710513437916673</v>
      </c>
      <c r="G168" s="6">
        <f t="shared" si="20"/>
        <v>1.1425000000000001E-3</v>
      </c>
      <c r="H168" s="6">
        <f t="shared" si="21"/>
        <v>3.6547938194619943E-63</v>
      </c>
      <c r="I168" s="7">
        <f t="shared" si="22"/>
        <v>15.570171145972225</v>
      </c>
      <c r="J168" s="8">
        <f t="shared" si="23"/>
        <v>1142.5</v>
      </c>
      <c r="K168" s="7">
        <f t="shared" si="24"/>
        <v>-1126.9298288540278</v>
      </c>
      <c r="L168" s="4">
        <f>IF(A168&gt;'Yield Curve'!A782,L167,(1+VLOOKUP(A168,'Yield Curve'!A161:B783,2,FALSE))^(1/12)-1)</f>
        <v>7.9741404289037643E-3</v>
      </c>
      <c r="M168" s="5">
        <f t="shared" si="25"/>
        <v>-316.22369257539987</v>
      </c>
    </row>
    <row r="169" spans="1:13" x14ac:dyDescent="0.25">
      <c r="A169" s="4">
        <v>161</v>
      </c>
      <c r="B169" s="4">
        <f t="shared" si="18"/>
        <v>58</v>
      </c>
      <c r="C169" s="4">
        <f t="shared" si="19"/>
        <v>176</v>
      </c>
      <c r="D169" s="4">
        <f>IF(B169&gt;'Mortality Table'!$A$118,D168,VLOOKUP(B169,'Mortality Table'!$A$2:$B$118,2,FALSE))</f>
        <v>1.371E-2</v>
      </c>
      <c r="E169" s="4">
        <f>IF(INT((C169-1)/12)+1&gt;'Lapse Table'!$A$11,E168,VLOOKUP(INT((C169-1)/12)+1,'Lapse Table'!$A$2:$B$11,2,FALSE))/12</f>
        <v>3.0666836325192483E-64</v>
      </c>
      <c r="F169" s="5">
        <f t="shared" si="26"/>
        <v>0.46596263437916674</v>
      </c>
      <c r="G169" s="6">
        <f t="shared" si="20"/>
        <v>1.1425000000000001E-3</v>
      </c>
      <c r="H169" s="6">
        <f t="shared" si="21"/>
        <v>3.0456615162183283E-64</v>
      </c>
      <c r="I169" s="7">
        <f t="shared" si="22"/>
        <v>15.532087812638892</v>
      </c>
      <c r="J169" s="8">
        <f t="shared" si="23"/>
        <v>1142.5</v>
      </c>
      <c r="K169" s="7">
        <f t="shared" si="24"/>
        <v>-1126.9679121873612</v>
      </c>
      <c r="L169" s="4">
        <f>IF(A169&gt;'Yield Curve'!A783,L168,(1+VLOOKUP(A169,'Yield Curve'!A162:B784,2,FALSE))^(1/12)-1)</f>
        <v>7.9741404289037643E-3</v>
      </c>
      <c r="M169" s="5">
        <f t="shared" si="25"/>
        <v>-313.73263094517483</v>
      </c>
    </row>
    <row r="170" spans="1:13" x14ac:dyDescent="0.25">
      <c r="A170" s="4">
        <v>162</v>
      </c>
      <c r="B170" s="4">
        <f t="shared" si="18"/>
        <v>58</v>
      </c>
      <c r="C170" s="4">
        <f t="shared" si="19"/>
        <v>177</v>
      </c>
      <c r="D170" s="4">
        <f>IF(B170&gt;'Mortality Table'!$A$118,D169,VLOOKUP(B170,'Mortality Table'!$A$2:$B$118,2,FALSE))</f>
        <v>1.371E-2</v>
      </c>
      <c r="E170" s="4">
        <f>IF(INT((C170-1)/12)+1&gt;'Lapse Table'!$A$11,E169,VLOOKUP(INT((C170-1)/12)+1,'Lapse Table'!$A$2:$B$11,2,FALSE))/12</f>
        <v>2.5555696937660401E-65</v>
      </c>
      <c r="F170" s="5">
        <f t="shared" si="26"/>
        <v>0.46482013437916675</v>
      </c>
      <c r="G170" s="6">
        <f t="shared" si="20"/>
        <v>1.1425000000000001E-3</v>
      </c>
      <c r="H170" s="6">
        <f t="shared" si="21"/>
        <v>2.5380512635152738E-65</v>
      </c>
      <c r="I170" s="7">
        <f t="shared" si="22"/>
        <v>15.494004479305559</v>
      </c>
      <c r="J170" s="8">
        <f t="shared" si="23"/>
        <v>1142.5</v>
      </c>
      <c r="K170" s="7">
        <f t="shared" si="24"/>
        <v>-1127.0059955206943</v>
      </c>
      <c r="L170" s="4">
        <f>IF(A170&gt;'Yield Curve'!A784,L169,(1+VLOOKUP(A170,'Yield Curve'!A163:B785,2,FALSE))^(1/12)-1)</f>
        <v>7.9741404289037643E-3</v>
      </c>
      <c r="M170" s="5">
        <f t="shared" si="25"/>
        <v>-311.26119237227061</v>
      </c>
    </row>
    <row r="171" spans="1:13" x14ac:dyDescent="0.25">
      <c r="A171" s="4">
        <v>163</v>
      </c>
      <c r="B171" s="4">
        <f t="shared" si="18"/>
        <v>58</v>
      </c>
      <c r="C171" s="4">
        <f t="shared" si="19"/>
        <v>178</v>
      </c>
      <c r="D171" s="4">
        <f>IF(B171&gt;'Mortality Table'!$A$118,D170,VLOOKUP(B171,'Mortality Table'!$A$2:$B$118,2,FALSE))</f>
        <v>1.371E-2</v>
      </c>
      <c r="E171" s="4">
        <f>IF(INT((C171-1)/12)+1&gt;'Lapse Table'!$A$11,E170,VLOOKUP(INT((C171-1)/12)+1,'Lapse Table'!$A$2:$B$11,2,FALSE))/12</f>
        <v>2.1296414114717001E-66</v>
      </c>
      <c r="F171" s="5">
        <f t="shared" si="26"/>
        <v>0.46367763437916676</v>
      </c>
      <c r="G171" s="6">
        <f t="shared" si="20"/>
        <v>1.1425000000000001E-3</v>
      </c>
      <c r="H171" s="6">
        <f t="shared" si="21"/>
        <v>2.1150427195960616E-66</v>
      </c>
      <c r="I171" s="7">
        <f t="shared" si="22"/>
        <v>15.455921145972226</v>
      </c>
      <c r="J171" s="8">
        <f t="shared" si="23"/>
        <v>1142.5</v>
      </c>
      <c r="K171" s="7">
        <f t="shared" si="24"/>
        <v>-1127.0440788540277</v>
      </c>
      <c r="L171" s="4">
        <f>IF(A171&gt;'Yield Curve'!A785,L170,(1+VLOOKUP(A171,'Yield Curve'!A164:B786,2,FALSE))^(1/12)-1)</f>
        <v>7.9741404289037643E-3</v>
      </c>
      <c r="M171" s="5">
        <f t="shared" si="25"/>
        <v>-308.80922228108807</v>
      </c>
    </row>
    <row r="172" spans="1:13" x14ac:dyDescent="0.25">
      <c r="A172" s="4">
        <v>164</v>
      </c>
      <c r="B172" s="4">
        <f t="shared" si="18"/>
        <v>58</v>
      </c>
      <c r="C172" s="4">
        <f t="shared" si="19"/>
        <v>179</v>
      </c>
      <c r="D172" s="4">
        <f>IF(B172&gt;'Mortality Table'!$A$118,D171,VLOOKUP(B172,'Mortality Table'!$A$2:$B$118,2,FALSE))</f>
        <v>1.371E-2</v>
      </c>
      <c r="E172" s="4">
        <f>IF(INT((C172-1)/12)+1&gt;'Lapse Table'!$A$11,E171,VLOOKUP(INT((C172-1)/12)+1,'Lapse Table'!$A$2:$B$11,2,FALSE))/12</f>
        <v>1.7747011762264167E-67</v>
      </c>
      <c r="F172" s="5">
        <f t="shared" si="26"/>
        <v>0.46253513437916677</v>
      </c>
      <c r="G172" s="6">
        <f t="shared" si="20"/>
        <v>1.1425000000000001E-3</v>
      </c>
      <c r="H172" s="6">
        <f t="shared" si="21"/>
        <v>1.7625355996633844E-67</v>
      </c>
      <c r="I172" s="7">
        <f t="shared" si="22"/>
        <v>15.417837812638892</v>
      </c>
      <c r="J172" s="8">
        <f t="shared" si="23"/>
        <v>1142.5</v>
      </c>
      <c r="K172" s="7">
        <f t="shared" si="24"/>
        <v>-1127.0821621873611</v>
      </c>
      <c r="L172" s="4">
        <f>IF(A172&gt;'Yield Curve'!A786,L171,(1+VLOOKUP(A172,'Yield Curve'!A165:B787,2,FALSE))^(1/12)-1)</f>
        <v>7.9741404289037643E-3</v>
      </c>
      <c r="M172" s="5">
        <f t="shared" si="25"/>
        <v>-306.37656731363512</v>
      </c>
    </row>
    <row r="173" spans="1:13" x14ac:dyDescent="0.25">
      <c r="A173" s="4">
        <v>165</v>
      </c>
      <c r="B173" s="4">
        <f t="shared" si="18"/>
        <v>58</v>
      </c>
      <c r="C173" s="4">
        <f t="shared" si="19"/>
        <v>180</v>
      </c>
      <c r="D173" s="4">
        <f>IF(B173&gt;'Mortality Table'!$A$118,D172,VLOOKUP(B173,'Mortality Table'!$A$2:$B$118,2,FALSE))</f>
        <v>1.371E-2</v>
      </c>
      <c r="E173" s="4">
        <f>IF(INT((C173-1)/12)+1&gt;'Lapse Table'!$A$11,E172,VLOOKUP(INT((C173-1)/12)+1,'Lapse Table'!$A$2:$B$11,2,FALSE))/12</f>
        <v>1.4789176468553473E-68</v>
      </c>
      <c r="F173" s="5">
        <f t="shared" si="26"/>
        <v>0.46139263437916678</v>
      </c>
      <c r="G173" s="6">
        <f t="shared" si="20"/>
        <v>1.1425000000000001E-3</v>
      </c>
      <c r="H173" s="6">
        <f t="shared" si="21"/>
        <v>1.4687796663861539E-68</v>
      </c>
      <c r="I173" s="7">
        <f t="shared" si="22"/>
        <v>15.379754479305559</v>
      </c>
      <c r="J173" s="8">
        <f t="shared" si="23"/>
        <v>1142.5</v>
      </c>
      <c r="K173" s="7">
        <f t="shared" si="24"/>
        <v>-1127.1202455206944</v>
      </c>
      <c r="L173" s="4">
        <f>IF(A173&gt;'Yield Curve'!A787,L172,(1+VLOOKUP(A173,'Yield Curve'!A166:B788,2,FALSE))^(1/12)-1)</f>
        <v>7.9741404289037643E-3</v>
      </c>
      <c r="M173" s="5">
        <f t="shared" si="25"/>
        <v>-303.96307531993602</v>
      </c>
    </row>
    <row r="174" spans="1:13" x14ac:dyDescent="0.25">
      <c r="A174" s="4">
        <v>166</v>
      </c>
      <c r="B174" s="4">
        <f t="shared" si="18"/>
        <v>58</v>
      </c>
      <c r="C174" s="4">
        <f t="shared" si="19"/>
        <v>181</v>
      </c>
      <c r="D174" s="4">
        <f>IF(B174&gt;'Mortality Table'!$A$118,D173,VLOOKUP(B174,'Mortality Table'!$A$2:$B$118,2,FALSE))</f>
        <v>1.371E-2</v>
      </c>
      <c r="E174" s="4">
        <f>IF(INT((C174-1)/12)+1&gt;'Lapse Table'!$A$11,E173,VLOOKUP(INT((C174-1)/12)+1,'Lapse Table'!$A$2:$B$11,2,FALSE))/12</f>
        <v>1.2324313723794561E-69</v>
      </c>
      <c r="F174" s="5">
        <f t="shared" si="26"/>
        <v>0.46025013437916679</v>
      </c>
      <c r="G174" s="6">
        <f t="shared" si="20"/>
        <v>1.1425000000000001E-3</v>
      </c>
      <c r="H174" s="6">
        <f t="shared" si="21"/>
        <v>1.2239830553217949E-69</v>
      </c>
      <c r="I174" s="7">
        <f t="shared" si="22"/>
        <v>15.341671145972226</v>
      </c>
      <c r="J174" s="8">
        <f t="shared" si="23"/>
        <v>1142.5</v>
      </c>
      <c r="K174" s="7">
        <f t="shared" si="24"/>
        <v>-1127.1583288540278</v>
      </c>
      <c r="L174" s="4">
        <f>IF(A174&gt;'Yield Curve'!A788,L173,(1+VLOOKUP(A174,'Yield Curve'!A167:B789,2,FALSE))^(1/12)-1)</f>
        <v>7.9741404289037643E-3</v>
      </c>
      <c r="M174" s="5">
        <f t="shared" si="25"/>
        <v>-301.5685953485156</v>
      </c>
    </row>
    <row r="175" spans="1:13" x14ac:dyDescent="0.25">
      <c r="A175" s="4">
        <v>167</v>
      </c>
      <c r="B175" s="4">
        <f t="shared" si="18"/>
        <v>58</v>
      </c>
      <c r="C175" s="4">
        <f t="shared" si="19"/>
        <v>182</v>
      </c>
      <c r="D175" s="4">
        <f>IF(B175&gt;'Mortality Table'!$A$118,D174,VLOOKUP(B175,'Mortality Table'!$A$2:$B$118,2,FALSE))</f>
        <v>1.371E-2</v>
      </c>
      <c r="E175" s="4">
        <f>IF(INT((C175-1)/12)+1&gt;'Lapse Table'!$A$11,E174,VLOOKUP(INT((C175-1)/12)+1,'Lapse Table'!$A$2:$B$11,2,FALSE))/12</f>
        <v>1.0270261436495468E-70</v>
      </c>
      <c r="F175" s="5">
        <f t="shared" si="26"/>
        <v>0.4591076343791668</v>
      </c>
      <c r="G175" s="6">
        <f t="shared" si="20"/>
        <v>1.1425000000000001E-3</v>
      </c>
      <c r="H175" s="6">
        <f t="shared" si="21"/>
        <v>1.019985879434829E-70</v>
      </c>
      <c r="I175" s="7">
        <f t="shared" si="22"/>
        <v>15.303587812638893</v>
      </c>
      <c r="J175" s="8">
        <f t="shared" si="23"/>
        <v>1142.5</v>
      </c>
      <c r="K175" s="7">
        <f t="shared" si="24"/>
        <v>-1127.1964121873611</v>
      </c>
      <c r="L175" s="4">
        <f>IF(A175&gt;'Yield Curve'!A789,L174,(1+VLOOKUP(A175,'Yield Curve'!A168:B790,2,FALSE))^(1/12)-1)</f>
        <v>7.9741404289037643E-3</v>
      </c>
      <c r="M175" s="5">
        <f t="shared" si="25"/>
        <v>-299.19297763695886</v>
      </c>
    </row>
    <row r="176" spans="1:13" x14ac:dyDescent="0.25">
      <c r="A176" s="4">
        <v>168</v>
      </c>
      <c r="B176" s="4">
        <f t="shared" si="18"/>
        <v>59</v>
      </c>
      <c r="C176" s="4">
        <f t="shared" si="19"/>
        <v>183</v>
      </c>
      <c r="D176" s="4">
        <f>IF(B176&gt;'Mortality Table'!$A$118,D175,VLOOKUP(B176,'Mortality Table'!$A$2:$B$118,2,FALSE))</f>
        <v>1.504E-2</v>
      </c>
      <c r="E176" s="4">
        <f>IF(INT((C176-1)/12)+1&gt;'Lapse Table'!$A$11,E175,VLOOKUP(INT((C176-1)/12)+1,'Lapse Table'!$A$2:$B$11,2,FALSE))/12</f>
        <v>8.558551197079556E-72</v>
      </c>
      <c r="F176" s="5">
        <f t="shared" si="26"/>
        <v>0.45785430104583347</v>
      </c>
      <c r="G176" s="6">
        <f t="shared" si="20"/>
        <v>1.2533333333333333E-3</v>
      </c>
      <c r="H176" s="6">
        <f t="shared" si="21"/>
        <v>8.494190892077518E-72</v>
      </c>
      <c r="I176" s="7">
        <f t="shared" si="22"/>
        <v>15.261810034861115</v>
      </c>
      <c r="J176" s="8">
        <f t="shared" si="23"/>
        <v>1253.3333333333333</v>
      </c>
      <c r="K176" s="7">
        <f t="shared" si="24"/>
        <v>-1238.0715232984721</v>
      </c>
      <c r="L176" s="4">
        <f>IF(A176&gt;'Yield Curve'!A790,L175,(1+VLOOKUP(A176,'Yield Curve'!A169:B791,2,FALSE))^(1/12)-1)</f>
        <v>7.9741404289037643E-3</v>
      </c>
      <c r="M176" s="5">
        <f t="shared" si="25"/>
        <v>-326.02292715082439</v>
      </c>
    </row>
    <row r="177" spans="1:13" x14ac:dyDescent="0.25">
      <c r="A177" s="4">
        <v>169</v>
      </c>
      <c r="B177" s="4">
        <f t="shared" si="18"/>
        <v>59</v>
      </c>
      <c r="C177" s="4">
        <f t="shared" si="19"/>
        <v>184</v>
      </c>
      <c r="D177" s="4">
        <f>IF(B177&gt;'Mortality Table'!$A$118,D176,VLOOKUP(B177,'Mortality Table'!$A$2:$B$118,2,FALSE))</f>
        <v>1.504E-2</v>
      </c>
      <c r="E177" s="4">
        <f>IF(INT((C177-1)/12)+1&gt;'Lapse Table'!$A$11,E176,VLOOKUP(INT((C177-1)/12)+1,'Lapse Table'!$A$2:$B$11,2,FALSE))/12</f>
        <v>7.1321259975662967E-73</v>
      </c>
      <c r="F177" s="5">
        <f t="shared" si="26"/>
        <v>0.45660096771250014</v>
      </c>
      <c r="G177" s="6">
        <f t="shared" si="20"/>
        <v>1.2533333333333333E-3</v>
      </c>
      <c r="H177" s="6">
        <f t="shared" si="21"/>
        <v>7.0784924100645988E-73</v>
      </c>
      <c r="I177" s="7">
        <f t="shared" si="22"/>
        <v>15.220032257083338</v>
      </c>
      <c r="J177" s="8">
        <f t="shared" si="23"/>
        <v>1253.3333333333333</v>
      </c>
      <c r="K177" s="7">
        <f t="shared" si="24"/>
        <v>-1238.1133010762499</v>
      </c>
      <c r="L177" s="4">
        <f>IF(A177&gt;'Yield Curve'!A791,L176,(1+VLOOKUP(A177,'Yield Curve'!A170:B792,2,FALSE))^(1/12)-1)</f>
        <v>7.9741404289037643E-3</v>
      </c>
      <c r="M177" s="5">
        <f t="shared" si="25"/>
        <v>-323.45465569852593</v>
      </c>
    </row>
    <row r="178" spans="1:13" x14ac:dyDescent="0.25">
      <c r="A178" s="4">
        <v>170</v>
      </c>
      <c r="B178" s="4">
        <f t="shared" si="18"/>
        <v>59</v>
      </c>
      <c r="C178" s="4">
        <f t="shared" si="19"/>
        <v>185</v>
      </c>
      <c r="D178" s="4">
        <f>IF(B178&gt;'Mortality Table'!$A$118,D177,VLOOKUP(B178,'Mortality Table'!$A$2:$B$118,2,FALSE))</f>
        <v>1.504E-2</v>
      </c>
      <c r="E178" s="4">
        <f>IF(INT((C178-1)/12)+1&gt;'Lapse Table'!$A$11,E177,VLOOKUP(INT((C178-1)/12)+1,'Lapse Table'!$A$2:$B$11,2,FALSE))/12</f>
        <v>5.9434383313052475E-74</v>
      </c>
      <c r="F178" s="5">
        <f t="shared" si="26"/>
        <v>0.45534763437916681</v>
      </c>
      <c r="G178" s="6">
        <f t="shared" si="20"/>
        <v>1.2533333333333333E-3</v>
      </c>
      <c r="H178" s="6">
        <f t="shared" si="21"/>
        <v>5.8987436750538326E-74</v>
      </c>
      <c r="I178" s="7">
        <f t="shared" si="22"/>
        <v>15.17825447930556</v>
      </c>
      <c r="J178" s="8">
        <f t="shared" si="23"/>
        <v>1253.3333333333333</v>
      </c>
      <c r="K178" s="7">
        <f t="shared" si="24"/>
        <v>-1238.1550788540278</v>
      </c>
      <c r="L178" s="4">
        <f>IF(A178&gt;'Yield Curve'!A792,L177,(1+VLOOKUP(A178,'Yield Curve'!A171:B793,2,FALSE))^(1/12)-1)</f>
        <v>7.9741404289037643E-3</v>
      </c>
      <c r="M178" s="5">
        <f t="shared" si="25"/>
        <v>-320.90661564279537</v>
      </c>
    </row>
    <row r="179" spans="1:13" x14ac:dyDescent="0.25">
      <c r="A179" s="4">
        <v>171</v>
      </c>
      <c r="B179" s="4">
        <f t="shared" si="18"/>
        <v>59</v>
      </c>
      <c r="C179" s="4">
        <f t="shared" si="19"/>
        <v>186</v>
      </c>
      <c r="D179" s="4">
        <f>IF(B179&gt;'Mortality Table'!$A$118,D178,VLOOKUP(B179,'Mortality Table'!$A$2:$B$118,2,FALSE))</f>
        <v>1.504E-2</v>
      </c>
      <c r="E179" s="4">
        <f>IF(INT((C179-1)/12)+1&gt;'Lapse Table'!$A$11,E178,VLOOKUP(INT((C179-1)/12)+1,'Lapse Table'!$A$2:$B$11,2,FALSE))/12</f>
        <v>4.9528652760877059E-75</v>
      </c>
      <c r="F179" s="5">
        <f t="shared" si="26"/>
        <v>0.45409430104583348</v>
      </c>
      <c r="G179" s="6">
        <f t="shared" si="20"/>
        <v>1.2533333333333333E-3</v>
      </c>
      <c r="H179" s="6">
        <f t="shared" si="21"/>
        <v>4.9156197292115265E-75</v>
      </c>
      <c r="I179" s="7">
        <f t="shared" si="22"/>
        <v>15.136476701527783</v>
      </c>
      <c r="J179" s="8">
        <f t="shared" si="23"/>
        <v>1253.3333333333333</v>
      </c>
      <c r="K179" s="7">
        <f t="shared" si="24"/>
        <v>-1238.1968566318055</v>
      </c>
      <c r="L179" s="4">
        <f>IF(A179&gt;'Yield Curve'!A793,L178,(1+VLOOKUP(A179,'Yield Curve'!A172:B794,2,FALSE))^(1/12)-1)</f>
        <v>7.9741404289037643E-3</v>
      </c>
      <c r="M179" s="5">
        <f t="shared" si="25"/>
        <v>-318.37864761498355</v>
      </c>
    </row>
    <row r="180" spans="1:13" x14ac:dyDescent="0.25">
      <c r="A180" s="4">
        <v>172</v>
      </c>
      <c r="B180" s="4">
        <f t="shared" si="18"/>
        <v>59</v>
      </c>
      <c r="C180" s="4">
        <f t="shared" si="19"/>
        <v>187</v>
      </c>
      <c r="D180" s="4">
        <f>IF(B180&gt;'Mortality Table'!$A$118,D179,VLOOKUP(B180,'Mortality Table'!$A$2:$B$118,2,FALSE))</f>
        <v>1.504E-2</v>
      </c>
      <c r="E180" s="4">
        <f>IF(INT((C180-1)/12)+1&gt;'Lapse Table'!$A$11,E179,VLOOKUP(INT((C180-1)/12)+1,'Lapse Table'!$A$2:$B$11,2,FALSE))/12</f>
        <v>4.1273877300730881E-76</v>
      </c>
      <c r="F180" s="5">
        <f t="shared" si="26"/>
        <v>0.45284096771250015</v>
      </c>
      <c r="G180" s="6">
        <f t="shared" si="20"/>
        <v>1.2533333333333333E-3</v>
      </c>
      <c r="H180" s="6">
        <f t="shared" si="21"/>
        <v>4.0963497743429388E-76</v>
      </c>
      <c r="I180" s="7">
        <f t="shared" si="22"/>
        <v>15.094698923750004</v>
      </c>
      <c r="J180" s="8">
        <f t="shared" si="23"/>
        <v>1253.3333333333333</v>
      </c>
      <c r="K180" s="7">
        <f t="shared" si="24"/>
        <v>-1238.2386344095833</v>
      </c>
      <c r="L180" s="4">
        <f>IF(A180&gt;'Yield Curve'!A794,L179,(1+VLOOKUP(A180,'Yield Curve'!A173:B795,2,FALSE))^(1/12)-1)</f>
        <v>7.9741404289037643E-3</v>
      </c>
      <c r="M180" s="5">
        <f t="shared" si="25"/>
        <v>-315.87059350181192</v>
      </c>
    </row>
    <row r="181" spans="1:13" x14ac:dyDescent="0.25">
      <c r="A181" s="4">
        <v>173</v>
      </c>
      <c r="B181" s="4">
        <f t="shared" si="18"/>
        <v>59</v>
      </c>
      <c r="C181" s="4">
        <f t="shared" si="19"/>
        <v>188</v>
      </c>
      <c r="D181" s="4">
        <f>IF(B181&gt;'Mortality Table'!$A$118,D180,VLOOKUP(B181,'Mortality Table'!$A$2:$B$118,2,FALSE))</f>
        <v>1.504E-2</v>
      </c>
      <c r="E181" s="4">
        <f>IF(INT((C181-1)/12)+1&gt;'Lapse Table'!$A$11,E180,VLOOKUP(INT((C181-1)/12)+1,'Lapse Table'!$A$2:$B$11,2,FALSE))/12</f>
        <v>3.4394897750609066E-77</v>
      </c>
      <c r="F181" s="5">
        <f t="shared" si="26"/>
        <v>0.45158763437916682</v>
      </c>
      <c r="G181" s="6">
        <f t="shared" si="20"/>
        <v>1.2533333333333333E-3</v>
      </c>
      <c r="H181" s="6">
        <f t="shared" si="21"/>
        <v>3.4136248119524487E-77</v>
      </c>
      <c r="I181" s="7">
        <f t="shared" si="22"/>
        <v>15.052921145972228</v>
      </c>
      <c r="J181" s="8">
        <f t="shared" si="23"/>
        <v>1253.3333333333333</v>
      </c>
      <c r="K181" s="7">
        <f t="shared" si="24"/>
        <v>-1238.280412187361</v>
      </c>
      <c r="L181" s="4">
        <f>IF(A181&gt;'Yield Curve'!A795,L180,(1+VLOOKUP(A181,'Yield Curve'!A174:B796,2,FALSE))^(1/12)-1)</f>
        <v>7.9741404289037643E-3</v>
      </c>
      <c r="M181" s="5">
        <f t="shared" si="25"/>
        <v>-313.38229643548419</v>
      </c>
    </row>
    <row r="182" spans="1:13" x14ac:dyDescent="0.25">
      <c r="A182" s="4">
        <v>174</v>
      </c>
      <c r="B182" s="4">
        <f t="shared" si="18"/>
        <v>59</v>
      </c>
      <c r="C182" s="4">
        <f t="shared" si="19"/>
        <v>189</v>
      </c>
      <c r="D182" s="4">
        <f>IF(B182&gt;'Mortality Table'!$A$118,D181,VLOOKUP(B182,'Mortality Table'!$A$2:$B$118,2,FALSE))</f>
        <v>1.504E-2</v>
      </c>
      <c r="E182" s="4">
        <f>IF(INT((C182-1)/12)+1&gt;'Lapse Table'!$A$11,E181,VLOOKUP(INT((C182-1)/12)+1,'Lapse Table'!$A$2:$B$11,2,FALSE))/12</f>
        <v>2.8662414792174223E-78</v>
      </c>
      <c r="F182" s="5">
        <f t="shared" si="26"/>
        <v>0.4503343010458335</v>
      </c>
      <c r="G182" s="6">
        <f t="shared" si="20"/>
        <v>1.2533333333333333E-3</v>
      </c>
      <c r="H182" s="6">
        <f t="shared" si="21"/>
        <v>2.8446873432937073E-78</v>
      </c>
      <c r="I182" s="7">
        <f t="shared" si="22"/>
        <v>15.011143368194451</v>
      </c>
      <c r="J182" s="8">
        <f t="shared" si="23"/>
        <v>1253.3333333333333</v>
      </c>
      <c r="K182" s="7">
        <f t="shared" si="24"/>
        <v>-1238.3221899651387</v>
      </c>
      <c r="L182" s="4">
        <f>IF(A182&gt;'Yield Curve'!A796,L181,(1+VLOOKUP(A182,'Yield Curve'!A175:B797,2,FALSE))^(1/12)-1)</f>
        <v>7.9741404289037643E-3</v>
      </c>
      <c r="M182" s="5">
        <f t="shared" si="25"/>
        <v>-310.9136007838751</v>
      </c>
    </row>
    <row r="183" spans="1:13" x14ac:dyDescent="0.25">
      <c r="A183" s="4">
        <v>175</v>
      </c>
      <c r="B183" s="4">
        <f t="shared" si="18"/>
        <v>59</v>
      </c>
      <c r="C183" s="4">
        <f t="shared" si="19"/>
        <v>190</v>
      </c>
      <c r="D183" s="4">
        <f>IF(B183&gt;'Mortality Table'!$A$118,D182,VLOOKUP(B183,'Mortality Table'!$A$2:$B$118,2,FALSE))</f>
        <v>1.504E-2</v>
      </c>
      <c r="E183" s="4">
        <f>IF(INT((C183-1)/12)+1&gt;'Lapse Table'!$A$11,E182,VLOOKUP(INT((C183-1)/12)+1,'Lapse Table'!$A$2:$B$11,2,FALSE))/12</f>
        <v>2.3885345660145187E-79</v>
      </c>
      <c r="F183" s="5">
        <f t="shared" si="26"/>
        <v>0.44908096771250017</v>
      </c>
      <c r="G183" s="6">
        <f t="shared" si="20"/>
        <v>1.2533333333333333E-3</v>
      </c>
      <c r="H183" s="6">
        <f t="shared" si="21"/>
        <v>2.3705727860780895E-79</v>
      </c>
      <c r="I183" s="7">
        <f t="shared" si="22"/>
        <v>14.969365590416672</v>
      </c>
      <c r="J183" s="8">
        <f t="shared" si="23"/>
        <v>1253.3333333333333</v>
      </c>
      <c r="K183" s="7">
        <f t="shared" si="24"/>
        <v>-1238.3639677429167</v>
      </c>
      <c r="L183" s="4">
        <f>IF(A183&gt;'Yield Curve'!A797,L182,(1+VLOOKUP(A183,'Yield Curve'!A176:B798,2,FALSE))^(1/12)-1)</f>
        <v>7.9741404289037643E-3</v>
      </c>
      <c r="M183" s="5">
        <f t="shared" si="25"/>
        <v>-308.46435214079747</v>
      </c>
    </row>
    <row r="184" spans="1:13" x14ac:dyDescent="0.25">
      <c r="A184" s="4">
        <v>176</v>
      </c>
      <c r="B184" s="4">
        <f t="shared" si="18"/>
        <v>59</v>
      </c>
      <c r="C184" s="4">
        <f t="shared" si="19"/>
        <v>191</v>
      </c>
      <c r="D184" s="4">
        <f>IF(B184&gt;'Mortality Table'!$A$118,D183,VLOOKUP(B184,'Mortality Table'!$A$2:$B$118,2,FALSE))</f>
        <v>1.504E-2</v>
      </c>
      <c r="E184" s="4">
        <f>IF(INT((C184-1)/12)+1&gt;'Lapse Table'!$A$11,E183,VLOOKUP(INT((C184-1)/12)+1,'Lapse Table'!$A$2:$B$11,2,FALSE))/12</f>
        <v>1.9904454716787655E-80</v>
      </c>
      <c r="F184" s="5">
        <f t="shared" si="26"/>
        <v>0.44782763437916684</v>
      </c>
      <c r="G184" s="6">
        <f t="shared" si="20"/>
        <v>1.2533333333333333E-3</v>
      </c>
      <c r="H184" s="6">
        <f t="shared" si="21"/>
        <v>1.9754773217317412E-80</v>
      </c>
      <c r="I184" s="7">
        <f t="shared" si="22"/>
        <v>14.927587812638896</v>
      </c>
      <c r="J184" s="8">
        <f t="shared" si="23"/>
        <v>1253.3333333333333</v>
      </c>
      <c r="K184" s="7">
        <f t="shared" si="24"/>
        <v>-1238.4057455206944</v>
      </c>
      <c r="L184" s="4">
        <f>IF(A184&gt;'Yield Curve'!A798,L183,(1+VLOOKUP(A184,'Yield Curve'!A177:B799,2,FALSE))^(1/12)-1)</f>
        <v>7.9741404289037643E-3</v>
      </c>
      <c r="M184" s="5">
        <f t="shared" si="25"/>
        <v>-306.03439731634512</v>
      </c>
    </row>
    <row r="185" spans="1:13" x14ac:dyDescent="0.25">
      <c r="A185" s="4">
        <v>177</v>
      </c>
      <c r="B185" s="4">
        <f t="shared" si="18"/>
        <v>59</v>
      </c>
      <c r="C185" s="4">
        <f t="shared" si="19"/>
        <v>192</v>
      </c>
      <c r="D185" s="4">
        <f>IF(B185&gt;'Mortality Table'!$A$118,D184,VLOOKUP(B185,'Mortality Table'!$A$2:$B$118,2,FALSE))</f>
        <v>1.504E-2</v>
      </c>
      <c r="E185" s="4">
        <f>IF(INT((C185-1)/12)+1&gt;'Lapse Table'!$A$11,E184,VLOOKUP(INT((C185-1)/12)+1,'Lapse Table'!$A$2:$B$11,2,FALSE))/12</f>
        <v>1.6587045597323046E-81</v>
      </c>
      <c r="F185" s="5">
        <f t="shared" si="26"/>
        <v>0.44657430104583351</v>
      </c>
      <c r="G185" s="6">
        <f t="shared" si="20"/>
        <v>1.2533333333333333E-3</v>
      </c>
      <c r="H185" s="6">
        <f t="shared" si="21"/>
        <v>1.6462311014431177E-81</v>
      </c>
      <c r="I185" s="7">
        <f t="shared" si="22"/>
        <v>14.885810034861116</v>
      </c>
      <c r="J185" s="8">
        <f t="shared" si="23"/>
        <v>1253.3333333333333</v>
      </c>
      <c r="K185" s="7">
        <f t="shared" si="24"/>
        <v>-1238.4475232984721</v>
      </c>
      <c r="L185" s="4">
        <f>IF(A185&gt;'Yield Curve'!A799,L184,(1+VLOOKUP(A185,'Yield Curve'!A178:B800,2,FALSE))^(1/12)-1)</f>
        <v>7.9741404289037643E-3</v>
      </c>
      <c r="M185" s="5">
        <f t="shared" si="25"/>
        <v>-303.62358432731293</v>
      </c>
    </row>
    <row r="186" spans="1:13" x14ac:dyDescent="0.25">
      <c r="A186" s="4">
        <v>178</v>
      </c>
      <c r="B186" s="4">
        <f t="shared" si="18"/>
        <v>59</v>
      </c>
      <c r="C186" s="4">
        <f t="shared" si="19"/>
        <v>193</v>
      </c>
      <c r="D186" s="4">
        <f>IF(B186&gt;'Mortality Table'!$A$118,D185,VLOOKUP(B186,'Mortality Table'!$A$2:$B$118,2,FALSE))</f>
        <v>1.504E-2</v>
      </c>
      <c r="E186" s="4">
        <f>IF(INT((C186-1)/12)+1&gt;'Lapse Table'!$A$11,E185,VLOOKUP(INT((C186-1)/12)+1,'Lapse Table'!$A$2:$B$11,2,FALSE))/12</f>
        <v>1.3822537997769204E-82</v>
      </c>
      <c r="F186" s="5">
        <f t="shared" si="26"/>
        <v>0.44532096771250018</v>
      </c>
      <c r="G186" s="6">
        <f t="shared" si="20"/>
        <v>1.2533333333333333E-3</v>
      </c>
      <c r="H186" s="6">
        <f t="shared" si="21"/>
        <v>1.3718592512025979E-82</v>
      </c>
      <c r="I186" s="7">
        <f t="shared" si="22"/>
        <v>14.84403225708334</v>
      </c>
      <c r="J186" s="8">
        <f t="shared" si="23"/>
        <v>1253.3333333333333</v>
      </c>
      <c r="K186" s="7">
        <f t="shared" si="24"/>
        <v>-1238.4893010762498</v>
      </c>
      <c r="L186" s="4">
        <f>IF(A186&gt;'Yield Curve'!A800,L185,(1+VLOOKUP(A186,'Yield Curve'!A179:B801,2,FALSE))^(1/12)-1)</f>
        <v>7.9741404289037643E-3</v>
      </c>
      <c r="M186" s="5">
        <f t="shared" si="25"/>
        <v>-301.23176238769065</v>
      </c>
    </row>
    <row r="187" spans="1:13" x14ac:dyDescent="0.25">
      <c r="A187" s="4">
        <v>179</v>
      </c>
      <c r="B187" s="4">
        <f t="shared" si="18"/>
        <v>59</v>
      </c>
      <c r="C187" s="4">
        <f t="shared" si="19"/>
        <v>194</v>
      </c>
      <c r="D187" s="4">
        <f>IF(B187&gt;'Mortality Table'!$A$118,D186,VLOOKUP(B187,'Mortality Table'!$A$2:$B$118,2,FALSE))</f>
        <v>1.504E-2</v>
      </c>
      <c r="E187" s="4">
        <f>IF(INT((C187-1)/12)+1&gt;'Lapse Table'!$A$11,E186,VLOOKUP(INT((C187-1)/12)+1,'Lapse Table'!$A$2:$B$11,2,FALSE))/12</f>
        <v>1.151878166480767E-83</v>
      </c>
      <c r="F187" s="5">
        <f t="shared" si="26"/>
        <v>0.44406763437916685</v>
      </c>
      <c r="G187" s="6">
        <f t="shared" si="20"/>
        <v>1.2533333333333333E-3</v>
      </c>
      <c r="H187" s="6">
        <f t="shared" si="21"/>
        <v>1.1432160426688317E-83</v>
      </c>
      <c r="I187" s="7">
        <f t="shared" si="22"/>
        <v>14.802254479305562</v>
      </c>
      <c r="J187" s="8">
        <f t="shared" si="23"/>
        <v>1253.3333333333333</v>
      </c>
      <c r="K187" s="7">
        <f t="shared" si="24"/>
        <v>-1238.5310788540278</v>
      </c>
      <c r="L187" s="4">
        <f>IF(A187&gt;'Yield Curve'!A801,L186,(1+VLOOKUP(A187,'Yield Curve'!A180:B802,2,FALSE))^(1/12)-1)</f>
        <v>7.9741404289037643E-3</v>
      </c>
      <c r="M187" s="5">
        <f t="shared" si="25"/>
        <v>-298.85878189923375</v>
      </c>
    </row>
    <row r="188" spans="1:13" x14ac:dyDescent="0.25">
      <c r="A188" s="4">
        <v>180</v>
      </c>
      <c r="B188" s="4">
        <f t="shared" si="18"/>
        <v>60</v>
      </c>
      <c r="C188" s="4">
        <f t="shared" si="19"/>
        <v>195</v>
      </c>
      <c r="D188" s="4">
        <f>IF(B188&gt;'Mortality Table'!$A$118,D187,VLOOKUP(B188,'Mortality Table'!$A$2:$B$118,2,FALSE))</f>
        <v>1.6490000000000001E-2</v>
      </c>
      <c r="E188" s="4">
        <f>IF(INT((C188-1)/12)+1&gt;'Lapse Table'!$A$11,E187,VLOOKUP(INT((C188-1)/12)+1,'Lapse Table'!$A$2:$B$11,2,FALSE))/12</f>
        <v>9.5989847206730576E-85</v>
      </c>
      <c r="F188" s="5">
        <f t="shared" si="26"/>
        <v>0.44269346771250018</v>
      </c>
      <c r="G188" s="6">
        <f t="shared" si="20"/>
        <v>1.3741666666666668E-3</v>
      </c>
      <c r="H188" s="6">
        <f t="shared" si="21"/>
        <v>9.519841091651109E-85</v>
      </c>
      <c r="I188" s="7">
        <f t="shared" si="22"/>
        <v>14.756448923750007</v>
      </c>
      <c r="J188" s="8">
        <f t="shared" si="23"/>
        <v>1374.1666666666667</v>
      </c>
      <c r="K188" s="7">
        <f t="shared" si="24"/>
        <v>-1359.4102177429168</v>
      </c>
      <c r="L188" s="4">
        <f>IF(A188&gt;'Yield Curve'!A802,L187,(1+VLOOKUP(A188,'Yield Curve'!A181:B803,2,FALSE))^(1/12)-1)</f>
        <v>7.9741404289037643E-3</v>
      </c>
      <c r="M188" s="5">
        <f t="shared" si="25"/>
        <v>-325.43199795885624</v>
      </c>
    </row>
    <row r="189" spans="1:13" x14ac:dyDescent="0.25">
      <c r="A189" s="4">
        <v>181</v>
      </c>
      <c r="B189" s="4">
        <f t="shared" si="18"/>
        <v>60</v>
      </c>
      <c r="C189" s="4">
        <f t="shared" si="19"/>
        <v>196</v>
      </c>
      <c r="D189" s="4">
        <f>IF(B189&gt;'Mortality Table'!$A$118,D188,VLOOKUP(B189,'Mortality Table'!$A$2:$B$118,2,FALSE))</f>
        <v>1.6490000000000001E-2</v>
      </c>
      <c r="E189" s="4">
        <f>IF(INT((C189-1)/12)+1&gt;'Lapse Table'!$A$11,E188,VLOOKUP(INT((C189-1)/12)+1,'Lapse Table'!$A$2:$B$11,2,FALSE))/12</f>
        <v>7.9991539338942151E-86</v>
      </c>
      <c r="F189" s="5">
        <f t="shared" si="26"/>
        <v>0.4413193010458335</v>
      </c>
      <c r="G189" s="6">
        <f t="shared" si="20"/>
        <v>1.3741666666666668E-3</v>
      </c>
      <c r="H189" s="6">
        <f t="shared" si="21"/>
        <v>7.9332009097092584E-86</v>
      </c>
      <c r="I189" s="7">
        <f t="shared" si="22"/>
        <v>14.710643368194448</v>
      </c>
      <c r="J189" s="8">
        <f t="shared" si="23"/>
        <v>1374.1666666666667</v>
      </c>
      <c r="K189" s="7">
        <f t="shared" si="24"/>
        <v>-1359.4560232984722</v>
      </c>
      <c r="L189" s="4">
        <f>IF(A189&gt;'Yield Curve'!A803,L188,(1+VLOOKUP(A189,'Yield Curve'!A182:B804,2,FALSE))^(1/12)-1)</f>
        <v>7.9741404289037643E-3</v>
      </c>
      <c r="M189" s="5">
        <f t="shared" si="25"/>
        <v>-322.86836575608339</v>
      </c>
    </row>
    <row r="190" spans="1:13" x14ac:dyDescent="0.25">
      <c r="A190" s="4">
        <v>182</v>
      </c>
      <c r="B190" s="4">
        <f t="shared" si="18"/>
        <v>60</v>
      </c>
      <c r="C190" s="4">
        <f t="shared" si="19"/>
        <v>197</v>
      </c>
      <c r="D190" s="4">
        <f>IF(B190&gt;'Mortality Table'!$A$118,D189,VLOOKUP(B190,'Mortality Table'!$A$2:$B$118,2,FALSE))</f>
        <v>1.6490000000000001E-2</v>
      </c>
      <c r="E190" s="4">
        <f>IF(INT((C190-1)/12)+1&gt;'Lapse Table'!$A$11,E189,VLOOKUP(INT((C190-1)/12)+1,'Lapse Table'!$A$2:$B$11,2,FALSE))/12</f>
        <v>6.6659616115785126E-87</v>
      </c>
      <c r="F190" s="5">
        <f t="shared" si="26"/>
        <v>0.43994513437916682</v>
      </c>
      <c r="G190" s="6">
        <f t="shared" si="20"/>
        <v>1.3741666666666668E-3</v>
      </c>
      <c r="H190" s="6">
        <f t="shared" si="21"/>
        <v>6.6110007580910478E-87</v>
      </c>
      <c r="I190" s="7">
        <f t="shared" si="22"/>
        <v>14.664837812638893</v>
      </c>
      <c r="J190" s="8">
        <f t="shared" si="23"/>
        <v>1374.1666666666667</v>
      </c>
      <c r="K190" s="7">
        <f t="shared" si="24"/>
        <v>-1359.5018288540277</v>
      </c>
      <c r="L190" s="4">
        <f>IF(A190&gt;'Yield Curve'!A804,L189,(1+VLOOKUP(A190,'Yield Curve'!A183:B805,2,FALSE))^(1/12)-1)</f>
        <v>7.9741404289037643E-3</v>
      </c>
      <c r="M190" s="5">
        <f t="shared" si="25"/>
        <v>-320.3249285303425</v>
      </c>
    </row>
    <row r="191" spans="1:13" x14ac:dyDescent="0.25">
      <c r="A191" s="4">
        <v>183</v>
      </c>
      <c r="B191" s="4">
        <f t="shared" si="18"/>
        <v>60</v>
      </c>
      <c r="C191" s="4">
        <f t="shared" si="19"/>
        <v>198</v>
      </c>
      <c r="D191" s="4">
        <f>IF(B191&gt;'Mortality Table'!$A$118,D190,VLOOKUP(B191,'Mortality Table'!$A$2:$B$118,2,FALSE))</f>
        <v>1.6490000000000001E-2</v>
      </c>
      <c r="E191" s="4">
        <f>IF(INT((C191-1)/12)+1&gt;'Lapse Table'!$A$11,E190,VLOOKUP(INT((C191-1)/12)+1,'Lapse Table'!$A$2:$B$11,2,FALSE))/12</f>
        <v>5.5549680096487601E-88</v>
      </c>
      <c r="F191" s="5">
        <f t="shared" si="26"/>
        <v>0.43857096771250015</v>
      </c>
      <c r="G191" s="6">
        <f t="shared" si="20"/>
        <v>1.3741666666666668E-3</v>
      </c>
      <c r="H191" s="6">
        <f t="shared" si="21"/>
        <v>5.5091672984092061E-88</v>
      </c>
      <c r="I191" s="7">
        <f t="shared" si="22"/>
        <v>14.619032257083338</v>
      </c>
      <c r="J191" s="8">
        <f t="shared" si="23"/>
        <v>1374.1666666666667</v>
      </c>
      <c r="K191" s="7">
        <f t="shared" si="24"/>
        <v>-1359.5476344095835</v>
      </c>
      <c r="L191" s="4">
        <f>IF(A191&gt;'Yield Curve'!A805,L190,(1+VLOOKUP(A191,'Yield Curve'!A184:B806,2,FALSE))^(1/12)-1)</f>
        <v>7.9741404289037643E-3</v>
      </c>
      <c r="M191" s="5">
        <f t="shared" si="25"/>
        <v>-317.80152719887161</v>
      </c>
    </row>
    <row r="192" spans="1:13" x14ac:dyDescent="0.25">
      <c r="A192" s="4">
        <v>184</v>
      </c>
      <c r="B192" s="4">
        <f t="shared" si="18"/>
        <v>60</v>
      </c>
      <c r="C192" s="4">
        <f t="shared" si="19"/>
        <v>199</v>
      </c>
      <c r="D192" s="4">
        <f>IF(B192&gt;'Mortality Table'!$A$118,D191,VLOOKUP(B192,'Mortality Table'!$A$2:$B$118,2,FALSE))</f>
        <v>1.6490000000000001E-2</v>
      </c>
      <c r="E192" s="4">
        <f>IF(INT((C192-1)/12)+1&gt;'Lapse Table'!$A$11,E191,VLOOKUP(INT((C192-1)/12)+1,'Lapse Table'!$A$2:$B$11,2,FALSE))/12</f>
        <v>4.6291400080406332E-89</v>
      </c>
      <c r="F192" s="5">
        <f t="shared" si="26"/>
        <v>0.43719680104583347</v>
      </c>
      <c r="G192" s="6">
        <f t="shared" si="20"/>
        <v>1.3741666666666668E-3</v>
      </c>
      <c r="H192" s="6">
        <f t="shared" si="21"/>
        <v>4.5909727486743384E-89</v>
      </c>
      <c r="I192" s="7">
        <f t="shared" si="22"/>
        <v>14.573226701527782</v>
      </c>
      <c r="J192" s="8">
        <f t="shared" si="23"/>
        <v>1374.1666666666667</v>
      </c>
      <c r="K192" s="7">
        <f t="shared" si="24"/>
        <v>-1359.5934399651389</v>
      </c>
      <c r="L192" s="4">
        <f>IF(A192&gt;'Yield Curve'!A806,L191,(1+VLOOKUP(A192,'Yield Curve'!A185:B807,2,FALSE))^(1/12)-1)</f>
        <v>7.9741404289037643E-3</v>
      </c>
      <c r="M192" s="5">
        <f t="shared" si="25"/>
        <v>-315.29800393203567</v>
      </c>
    </row>
    <row r="193" spans="1:13" x14ac:dyDescent="0.25">
      <c r="A193" s="4">
        <v>185</v>
      </c>
      <c r="B193" s="4">
        <f t="shared" si="18"/>
        <v>60</v>
      </c>
      <c r="C193" s="4">
        <f t="shared" si="19"/>
        <v>200</v>
      </c>
      <c r="D193" s="4">
        <f>IF(B193&gt;'Mortality Table'!$A$118,D192,VLOOKUP(B193,'Mortality Table'!$A$2:$B$118,2,FALSE))</f>
        <v>1.6490000000000001E-2</v>
      </c>
      <c r="E193" s="4">
        <f>IF(INT((C193-1)/12)+1&gt;'Lapse Table'!$A$11,E192,VLOOKUP(INT((C193-1)/12)+1,'Lapse Table'!$A$2:$B$11,2,FALSE))/12</f>
        <v>3.8576166733671944E-90</v>
      </c>
      <c r="F193" s="5">
        <f t="shared" si="26"/>
        <v>0.4358226343791668</v>
      </c>
      <c r="G193" s="6">
        <f t="shared" si="20"/>
        <v>1.3741666666666668E-3</v>
      </c>
      <c r="H193" s="6">
        <f t="shared" si="21"/>
        <v>3.8258106238952819E-90</v>
      </c>
      <c r="I193" s="7">
        <f t="shared" si="22"/>
        <v>14.527421145972227</v>
      </c>
      <c r="J193" s="8">
        <f t="shared" si="23"/>
        <v>1374.1666666666667</v>
      </c>
      <c r="K193" s="7">
        <f t="shared" si="24"/>
        <v>-1359.6392455206944</v>
      </c>
      <c r="L193" s="4">
        <f>IF(A193&gt;'Yield Curve'!A807,L192,(1+VLOOKUP(A193,'Yield Curve'!A186:B808,2,FALSE))^(1/12)-1)</f>
        <v>7.9741404289037643E-3</v>
      </c>
      <c r="M193" s="5">
        <f t="shared" si="25"/>
        <v>-312.81420214345536</v>
      </c>
    </row>
    <row r="194" spans="1:13" x14ac:dyDescent="0.25">
      <c r="A194" s="4">
        <v>186</v>
      </c>
      <c r="B194" s="4">
        <f t="shared" si="18"/>
        <v>60</v>
      </c>
      <c r="C194" s="4">
        <f t="shared" si="19"/>
        <v>201</v>
      </c>
      <c r="D194" s="4">
        <f>IF(B194&gt;'Mortality Table'!$A$118,D193,VLOOKUP(B194,'Mortality Table'!$A$2:$B$118,2,FALSE))</f>
        <v>1.6490000000000001E-2</v>
      </c>
      <c r="E194" s="4">
        <f>IF(INT((C194-1)/12)+1&gt;'Lapse Table'!$A$11,E193,VLOOKUP(INT((C194-1)/12)+1,'Lapse Table'!$A$2:$B$11,2,FALSE))/12</f>
        <v>3.2146805611393284E-91</v>
      </c>
      <c r="F194" s="5">
        <f t="shared" si="26"/>
        <v>0.43444846771250012</v>
      </c>
      <c r="G194" s="6">
        <f t="shared" si="20"/>
        <v>1.3741666666666668E-3</v>
      </c>
      <c r="H194" s="6">
        <f t="shared" si="21"/>
        <v>3.1881755199127347E-91</v>
      </c>
      <c r="I194" s="7">
        <f t="shared" si="22"/>
        <v>14.481615590416672</v>
      </c>
      <c r="J194" s="8">
        <f t="shared" si="23"/>
        <v>1374.1666666666667</v>
      </c>
      <c r="K194" s="7">
        <f t="shared" si="24"/>
        <v>-1359.6850510762501</v>
      </c>
      <c r="L194" s="4">
        <f>IF(A194&gt;'Yield Curve'!A808,L193,(1+VLOOKUP(A194,'Yield Curve'!A187:B809,2,FALSE))^(1/12)-1)</f>
        <v>7.9741404289037643E-3</v>
      </c>
      <c r="M194" s="5">
        <f t="shared" si="25"/>
        <v>-310.34996648021348</v>
      </c>
    </row>
    <row r="195" spans="1:13" x14ac:dyDescent="0.25">
      <c r="A195" s="4">
        <v>187</v>
      </c>
      <c r="B195" s="4">
        <f t="shared" si="18"/>
        <v>60</v>
      </c>
      <c r="C195" s="4">
        <f t="shared" si="19"/>
        <v>202</v>
      </c>
      <c r="D195" s="4">
        <f>IF(B195&gt;'Mortality Table'!$A$118,D194,VLOOKUP(B195,'Mortality Table'!$A$2:$B$118,2,FALSE))</f>
        <v>1.6490000000000001E-2</v>
      </c>
      <c r="E195" s="4">
        <f>IF(INT((C195-1)/12)+1&gt;'Lapse Table'!$A$11,E194,VLOOKUP(INT((C195-1)/12)+1,'Lapse Table'!$A$2:$B$11,2,FALSE))/12</f>
        <v>2.678900467616107E-92</v>
      </c>
      <c r="F195" s="5">
        <f t="shared" si="26"/>
        <v>0.43307430104583344</v>
      </c>
      <c r="G195" s="6">
        <f t="shared" si="20"/>
        <v>1.3741666666666668E-3</v>
      </c>
      <c r="H195" s="6">
        <f t="shared" si="21"/>
        <v>2.6568129332606124E-92</v>
      </c>
      <c r="I195" s="7">
        <f t="shared" si="22"/>
        <v>14.435810034861115</v>
      </c>
      <c r="J195" s="8">
        <f t="shared" si="23"/>
        <v>1374.1666666666667</v>
      </c>
      <c r="K195" s="7">
        <f t="shared" si="24"/>
        <v>-1359.7308566318056</v>
      </c>
      <c r="L195" s="4">
        <f>IF(A195&gt;'Yield Curve'!A809,L194,(1+VLOOKUP(A195,'Yield Curve'!A188:B810,2,FALSE))^(1/12)-1)</f>
        <v>7.9741404289037643E-3</v>
      </c>
      <c r="M195" s="5">
        <f t="shared" si="25"/>
        <v>-307.90514281313915</v>
      </c>
    </row>
    <row r="196" spans="1:13" x14ac:dyDescent="0.25">
      <c r="A196" s="4">
        <v>188</v>
      </c>
      <c r="B196" s="4">
        <f t="shared" si="18"/>
        <v>60</v>
      </c>
      <c r="C196" s="4">
        <f t="shared" si="19"/>
        <v>203</v>
      </c>
      <c r="D196" s="4">
        <f>IF(B196&gt;'Mortality Table'!$A$118,D195,VLOOKUP(B196,'Mortality Table'!$A$2:$B$118,2,FALSE))</f>
        <v>1.6490000000000001E-2</v>
      </c>
      <c r="E196" s="4">
        <f>IF(INT((C196-1)/12)+1&gt;'Lapse Table'!$A$11,E195,VLOOKUP(INT((C196-1)/12)+1,'Lapse Table'!$A$2:$B$11,2,FALSE))/12</f>
        <v>2.2324170563467559E-93</v>
      </c>
      <c r="F196" s="5">
        <f t="shared" si="26"/>
        <v>0.43170013437916677</v>
      </c>
      <c r="G196" s="6">
        <f t="shared" si="20"/>
        <v>1.3741666666666668E-3</v>
      </c>
      <c r="H196" s="6">
        <f t="shared" si="21"/>
        <v>2.214010777717177E-93</v>
      </c>
      <c r="I196" s="7">
        <f t="shared" si="22"/>
        <v>14.39000447930556</v>
      </c>
      <c r="J196" s="8">
        <f t="shared" si="23"/>
        <v>1374.1666666666667</v>
      </c>
      <c r="K196" s="7">
        <f t="shared" si="24"/>
        <v>-1359.7766621873611</v>
      </c>
      <c r="L196" s="4">
        <f>IF(A196&gt;'Yield Curve'!A810,L195,(1+VLOOKUP(A196,'Yield Curve'!A189:B811,2,FALSE))^(1/12)-1)</f>
        <v>7.9741404289037643E-3</v>
      </c>
      <c r="M196" s="5">
        <f t="shared" si="25"/>
        <v>-305.47957822716853</v>
      </c>
    </row>
    <row r="197" spans="1:13" x14ac:dyDescent="0.25">
      <c r="A197" s="4">
        <v>189</v>
      </c>
      <c r="B197" s="4">
        <f t="shared" si="18"/>
        <v>60</v>
      </c>
      <c r="C197" s="4">
        <f t="shared" si="19"/>
        <v>204</v>
      </c>
      <c r="D197" s="4">
        <f>IF(B197&gt;'Mortality Table'!$A$118,D196,VLOOKUP(B197,'Mortality Table'!$A$2:$B$118,2,FALSE))</f>
        <v>1.6490000000000001E-2</v>
      </c>
      <c r="E197" s="4">
        <f>IF(INT((C197-1)/12)+1&gt;'Lapse Table'!$A$11,E196,VLOOKUP(INT((C197-1)/12)+1,'Lapse Table'!$A$2:$B$11,2,FALSE))/12</f>
        <v>1.8603475469556299E-94</v>
      </c>
      <c r="F197" s="5">
        <f t="shared" si="26"/>
        <v>0.43032596771250009</v>
      </c>
      <c r="G197" s="6">
        <f t="shared" si="20"/>
        <v>1.3741666666666668E-3</v>
      </c>
      <c r="H197" s="6">
        <f t="shared" si="21"/>
        <v>1.8450089814309808E-94</v>
      </c>
      <c r="I197" s="7">
        <f t="shared" si="22"/>
        <v>14.344198923750001</v>
      </c>
      <c r="J197" s="8">
        <f t="shared" si="23"/>
        <v>1374.1666666666667</v>
      </c>
      <c r="K197" s="7">
        <f t="shared" si="24"/>
        <v>-1359.8224677429168</v>
      </c>
      <c r="L197" s="4">
        <f>IF(A197&gt;'Yield Curve'!A811,L196,(1+VLOOKUP(A197,'Yield Curve'!A190:B812,2,FALSE))^(1/12)-1)</f>
        <v>7.9741404289037643E-3</v>
      </c>
      <c r="M197" s="5">
        <f t="shared" si="25"/>
        <v>-303.07312101178098</v>
      </c>
    </row>
    <row r="198" spans="1:13" x14ac:dyDescent="0.25">
      <c r="A198" s="4">
        <v>190</v>
      </c>
      <c r="B198" s="4">
        <f t="shared" si="18"/>
        <v>60</v>
      </c>
      <c r="C198" s="4">
        <f t="shared" si="19"/>
        <v>205</v>
      </c>
      <c r="D198" s="4">
        <f>IF(B198&gt;'Mortality Table'!$A$118,D197,VLOOKUP(B198,'Mortality Table'!$A$2:$B$118,2,FALSE))</f>
        <v>1.6490000000000001E-2</v>
      </c>
      <c r="E198" s="4">
        <f>IF(INT((C198-1)/12)+1&gt;'Lapse Table'!$A$11,E197,VLOOKUP(INT((C198-1)/12)+1,'Lapse Table'!$A$2:$B$11,2,FALSE))/12</f>
        <v>1.550289622463025E-95</v>
      </c>
      <c r="F198" s="5">
        <f t="shared" si="26"/>
        <v>0.42895180104583341</v>
      </c>
      <c r="G198" s="6">
        <f t="shared" si="20"/>
        <v>1.3741666666666668E-3</v>
      </c>
      <c r="H198" s="6">
        <f t="shared" si="21"/>
        <v>1.5375074845258173E-95</v>
      </c>
      <c r="I198" s="7">
        <f t="shared" si="22"/>
        <v>14.298393368194446</v>
      </c>
      <c r="J198" s="8">
        <f t="shared" si="23"/>
        <v>1374.1666666666667</v>
      </c>
      <c r="K198" s="7">
        <f t="shared" si="24"/>
        <v>-1359.8682732984723</v>
      </c>
      <c r="L198" s="4">
        <f>IF(A198&gt;'Yield Curve'!A812,L197,(1+VLOOKUP(A198,'Yield Curve'!A191:B813,2,FALSE))^(1/12)-1)</f>
        <v>7.9741404289037643E-3</v>
      </c>
      <c r="M198" s="5">
        <f t="shared" si="25"/>
        <v>-300.68562065151076</v>
      </c>
    </row>
    <row r="199" spans="1:13" x14ac:dyDescent="0.25">
      <c r="A199" s="4">
        <v>191</v>
      </c>
      <c r="B199" s="4">
        <f t="shared" si="18"/>
        <v>60</v>
      </c>
      <c r="C199" s="4">
        <f t="shared" si="19"/>
        <v>206</v>
      </c>
      <c r="D199" s="4">
        <f>IF(B199&gt;'Mortality Table'!$A$118,D198,VLOOKUP(B199,'Mortality Table'!$A$2:$B$118,2,FALSE))</f>
        <v>1.6490000000000001E-2</v>
      </c>
      <c r="E199" s="4">
        <f>IF(INT((C199-1)/12)+1&gt;'Lapse Table'!$A$11,E198,VLOOKUP(INT((C199-1)/12)+1,'Lapse Table'!$A$2:$B$11,2,FALSE))/12</f>
        <v>1.2919080187191875E-96</v>
      </c>
      <c r="F199" s="5">
        <f t="shared" si="26"/>
        <v>0.42757763437916674</v>
      </c>
      <c r="G199" s="6">
        <f t="shared" si="20"/>
        <v>1.3741666666666668E-3</v>
      </c>
      <c r="H199" s="6">
        <f t="shared" si="21"/>
        <v>1.2812562371048479E-96</v>
      </c>
      <c r="I199" s="7">
        <f t="shared" si="22"/>
        <v>14.252587812638891</v>
      </c>
      <c r="J199" s="8">
        <f t="shared" si="23"/>
        <v>1374.1666666666667</v>
      </c>
      <c r="K199" s="7">
        <f t="shared" si="24"/>
        <v>-1359.9140788540278</v>
      </c>
      <c r="L199" s="4">
        <f>IF(A199&gt;'Yield Curve'!A813,L198,(1+VLOOKUP(A199,'Yield Curve'!A192:B814,2,FALSE))^(1/12)-1)</f>
        <v>7.9741404289037643E-3</v>
      </c>
      <c r="M199" s="5">
        <f t="shared" si="25"/>
        <v>-298.31692781653339</v>
      </c>
    </row>
    <row r="200" spans="1:13" x14ac:dyDescent="0.25">
      <c r="A200" s="4">
        <v>192</v>
      </c>
      <c r="B200" s="4">
        <f t="shared" si="18"/>
        <v>61</v>
      </c>
      <c r="C200" s="4">
        <f t="shared" si="19"/>
        <v>207</v>
      </c>
      <c r="D200" s="4">
        <f>IF(B200&gt;'Mortality Table'!$A$118,D199,VLOOKUP(B200,'Mortality Table'!$A$2:$B$118,2,FALSE))</f>
        <v>1.8089999999999998E-2</v>
      </c>
      <c r="E200" s="4">
        <f>IF(INT((C200-1)/12)+1&gt;'Lapse Table'!$A$11,E199,VLOOKUP(INT((C200-1)/12)+1,'Lapse Table'!$A$2:$B$11,2,FALSE))/12</f>
        <v>1.0765900155993229E-97</v>
      </c>
      <c r="F200" s="5">
        <f t="shared" si="26"/>
        <v>0.42607013437916674</v>
      </c>
      <c r="G200" s="6">
        <f t="shared" si="20"/>
        <v>1.5074999999999999E-3</v>
      </c>
      <c r="H200" s="6">
        <f t="shared" si="21"/>
        <v>1.0668522589082271E-97</v>
      </c>
      <c r="I200" s="7">
        <f t="shared" si="22"/>
        <v>14.202337812638893</v>
      </c>
      <c r="J200" s="8">
        <f t="shared" si="23"/>
        <v>1507.5</v>
      </c>
      <c r="K200" s="7">
        <f t="shared" si="24"/>
        <v>-1493.2976621873611</v>
      </c>
      <c r="L200" s="4">
        <f>IF(A200&gt;'Yield Curve'!A814,L199,(1+VLOOKUP(A200,'Yield Curve'!A193:B815,2,FALSE))^(1/12)-1)</f>
        <v>7.9741404289037643E-3</v>
      </c>
      <c r="M200" s="5">
        <f t="shared" si="25"/>
        <v>-324.98507969928318</v>
      </c>
    </row>
    <row r="201" spans="1:13" x14ac:dyDescent="0.25">
      <c r="A201" s="4">
        <v>193</v>
      </c>
      <c r="B201" s="4">
        <f t="shared" si="18"/>
        <v>61</v>
      </c>
      <c r="C201" s="4">
        <f t="shared" si="19"/>
        <v>208</v>
      </c>
      <c r="D201" s="4">
        <f>IF(B201&gt;'Mortality Table'!$A$118,D200,VLOOKUP(B201,'Mortality Table'!$A$2:$B$118,2,FALSE))</f>
        <v>1.8089999999999998E-2</v>
      </c>
      <c r="E201" s="4">
        <f>IF(INT((C201-1)/12)+1&gt;'Lapse Table'!$A$11,E200,VLOOKUP(INT((C201-1)/12)+1,'Lapse Table'!$A$2:$B$11,2,FALSE))/12</f>
        <v>8.9715834633276905E-99</v>
      </c>
      <c r="F201" s="5">
        <f t="shared" si="26"/>
        <v>0.42456263437916675</v>
      </c>
      <c r="G201" s="6">
        <f t="shared" si="20"/>
        <v>1.5074999999999999E-3</v>
      </c>
      <c r="H201" s="6">
        <f t="shared" si="21"/>
        <v>8.8904354909018916E-99</v>
      </c>
      <c r="I201" s="7">
        <f t="shared" si="22"/>
        <v>14.152087812638891</v>
      </c>
      <c r="J201" s="8">
        <f t="shared" si="23"/>
        <v>1507.5</v>
      </c>
      <c r="K201" s="7">
        <f t="shared" si="24"/>
        <v>-1493.3479121873611</v>
      </c>
      <c r="L201" s="4">
        <f>IF(A201&gt;'Yield Curve'!A815,L200,(1+VLOOKUP(A201,'Yield Curve'!A194:B816,2,FALSE))^(1/12)-1)</f>
        <v>7.9741404289037643E-3</v>
      </c>
      <c r="M201" s="5">
        <f t="shared" si="25"/>
        <v>-322.42495370473233</v>
      </c>
    </row>
    <row r="202" spans="1:13" x14ac:dyDescent="0.25">
      <c r="A202" s="4">
        <v>194</v>
      </c>
      <c r="B202" s="4">
        <f t="shared" ref="B202:B265" si="27">INT($B$3+A202/12)</f>
        <v>61</v>
      </c>
      <c r="C202" s="4">
        <f t="shared" ref="C202:C265" si="28">$B$4+A202</f>
        <v>209</v>
      </c>
      <c r="D202" s="4">
        <f>IF(B202&gt;'Mortality Table'!$A$118,D201,VLOOKUP(B202,'Mortality Table'!$A$2:$B$118,2,FALSE))</f>
        <v>1.8089999999999998E-2</v>
      </c>
      <c r="E202" s="4">
        <f>IF(INT((C202-1)/12)+1&gt;'Lapse Table'!$A$11,E201,VLOOKUP(INT((C202-1)/12)+1,'Lapse Table'!$A$2:$B$11,2,FALSE))/12</f>
        <v>7.4763195527730754E-100</v>
      </c>
      <c r="F202" s="5">
        <f t="shared" si="26"/>
        <v>0.42305513437916675</v>
      </c>
      <c r="G202" s="6">
        <f t="shared" ref="G202:G265" si="29">D202/12*(1-0.5*E202)</f>
        <v>1.5074999999999999E-3</v>
      </c>
      <c r="H202" s="6">
        <f t="shared" ref="H202:H265" si="30">E202*(1-0.5*D202)</f>
        <v>7.4086962424182434E-100</v>
      </c>
      <c r="I202" s="7">
        <f t="shared" ref="I202:I265" si="31">F202*$B$5/12</f>
        <v>14.101837812638891</v>
      </c>
      <c r="J202" s="8">
        <f t="shared" ref="J202:J265" si="32">$B$6*G202</f>
        <v>1507.5</v>
      </c>
      <c r="K202" s="7">
        <f t="shared" ref="K202:K265" si="33">I202-J202</f>
        <v>-1493.3981621873611</v>
      </c>
      <c r="L202" s="4">
        <f>IF(A202&gt;'Yield Curve'!A816,L201,(1+VLOOKUP(A202,'Yield Curve'!A195:B817,2,FALSE))^(1/12)-1)</f>
        <v>7.9741404289037643E-3</v>
      </c>
      <c r="M202" s="5">
        <f t="shared" ref="M202:M265" si="34">K202*(1+L202)^-A202</f>
        <v>-319.88499518188712</v>
      </c>
    </row>
    <row r="203" spans="1:13" x14ac:dyDescent="0.25">
      <c r="A203" s="4">
        <v>195</v>
      </c>
      <c r="B203" s="4">
        <f t="shared" si="27"/>
        <v>61</v>
      </c>
      <c r="C203" s="4">
        <f t="shared" si="28"/>
        <v>210</v>
      </c>
      <c r="D203" s="4">
        <f>IF(B203&gt;'Mortality Table'!$A$118,D202,VLOOKUP(B203,'Mortality Table'!$A$2:$B$118,2,FALSE))</f>
        <v>1.8089999999999998E-2</v>
      </c>
      <c r="E203" s="4">
        <f>IF(INT((C203-1)/12)+1&gt;'Lapse Table'!$A$11,E202,VLOOKUP(INT((C203-1)/12)+1,'Lapse Table'!$A$2:$B$11,2,FALSE))/12</f>
        <v>6.2302662939775629E-101</v>
      </c>
      <c r="F203" s="5">
        <f t="shared" ref="F203:F266" si="35">F202-G203-H203</f>
        <v>0.42154763437916676</v>
      </c>
      <c r="G203" s="6">
        <f t="shared" si="29"/>
        <v>1.5074999999999999E-3</v>
      </c>
      <c r="H203" s="6">
        <f t="shared" si="30"/>
        <v>6.1739135353485357E-101</v>
      </c>
      <c r="I203" s="7">
        <f t="shared" si="31"/>
        <v>14.051587812638893</v>
      </c>
      <c r="J203" s="8">
        <f t="shared" si="32"/>
        <v>1507.5</v>
      </c>
      <c r="K203" s="7">
        <f t="shared" si="33"/>
        <v>-1493.4484121873611</v>
      </c>
      <c r="L203" s="4">
        <f>IF(A203&gt;'Yield Curve'!A817,L202,(1+VLOOKUP(A203,'Yield Curve'!A196:B818,2,FALSE))^(1/12)-1)</f>
        <v>7.9741404289037643E-3</v>
      </c>
      <c r="M203" s="5">
        <f t="shared" si="34"/>
        <v>-317.36504526374284</v>
      </c>
    </row>
    <row r="204" spans="1:13" x14ac:dyDescent="0.25">
      <c r="A204" s="4">
        <v>196</v>
      </c>
      <c r="B204" s="4">
        <f t="shared" si="27"/>
        <v>61</v>
      </c>
      <c r="C204" s="4">
        <f t="shared" si="28"/>
        <v>211</v>
      </c>
      <c r="D204" s="4">
        <f>IF(B204&gt;'Mortality Table'!$A$118,D203,VLOOKUP(B204,'Mortality Table'!$A$2:$B$118,2,FALSE))</f>
        <v>1.8089999999999998E-2</v>
      </c>
      <c r="E204" s="4">
        <f>IF(INT((C204-1)/12)+1&gt;'Lapse Table'!$A$11,E203,VLOOKUP(INT((C204-1)/12)+1,'Lapse Table'!$A$2:$B$11,2,FALSE))/12</f>
        <v>5.1918885783146357E-102</v>
      </c>
      <c r="F204" s="5">
        <f t="shared" si="35"/>
        <v>0.42004013437916676</v>
      </c>
      <c r="G204" s="6">
        <f t="shared" si="29"/>
        <v>1.5074999999999999E-3</v>
      </c>
      <c r="H204" s="6">
        <f t="shared" si="30"/>
        <v>5.1449279461237803E-102</v>
      </c>
      <c r="I204" s="7">
        <f t="shared" si="31"/>
        <v>14.001337812638893</v>
      </c>
      <c r="J204" s="8">
        <f t="shared" si="32"/>
        <v>1507.5</v>
      </c>
      <c r="K204" s="7">
        <f t="shared" si="33"/>
        <v>-1493.4986621873611</v>
      </c>
      <c r="L204" s="4">
        <f>IF(A204&gt;'Yield Curve'!A818,L203,(1+VLOOKUP(A204,'Yield Curve'!A197:B819,2,FALSE))^(1/12)-1)</f>
        <v>7.9741404289037643E-3</v>
      </c>
      <c r="M204" s="5">
        <f t="shared" si="34"/>
        <v>-314.8649463347291</v>
      </c>
    </row>
    <row r="205" spans="1:13" x14ac:dyDescent="0.25">
      <c r="A205" s="4">
        <v>197</v>
      </c>
      <c r="B205" s="4">
        <f t="shared" si="27"/>
        <v>61</v>
      </c>
      <c r="C205" s="4">
        <f t="shared" si="28"/>
        <v>212</v>
      </c>
      <c r="D205" s="4">
        <f>IF(B205&gt;'Mortality Table'!$A$118,D204,VLOOKUP(B205,'Mortality Table'!$A$2:$B$118,2,FALSE))</f>
        <v>1.8089999999999998E-2</v>
      </c>
      <c r="E205" s="4">
        <f>IF(INT((C205-1)/12)+1&gt;'Lapse Table'!$A$11,E204,VLOOKUP(INT((C205-1)/12)+1,'Lapse Table'!$A$2:$B$11,2,FALSE))/12</f>
        <v>4.3265738152621963E-103</v>
      </c>
      <c r="F205" s="5">
        <f t="shared" si="35"/>
        <v>0.41853263437916677</v>
      </c>
      <c r="G205" s="6">
        <f t="shared" si="29"/>
        <v>1.5074999999999999E-3</v>
      </c>
      <c r="H205" s="6">
        <f t="shared" si="30"/>
        <v>4.2874399551031498E-103</v>
      </c>
      <c r="I205" s="7">
        <f t="shared" si="31"/>
        <v>13.951087812638891</v>
      </c>
      <c r="J205" s="8">
        <f t="shared" si="32"/>
        <v>1507.5</v>
      </c>
      <c r="K205" s="7">
        <f t="shared" si="33"/>
        <v>-1493.5489121873611</v>
      </c>
      <c r="L205" s="4">
        <f>IF(A205&gt;'Yield Curve'!A819,L204,(1+VLOOKUP(A205,'Yield Curve'!A198:B820,2,FALSE))^(1/12)-1)</f>
        <v>7.9741404289037643E-3</v>
      </c>
      <c r="M205" s="5">
        <f t="shared" si="34"/>
        <v>-312.384542020852</v>
      </c>
    </row>
    <row r="206" spans="1:13" x14ac:dyDescent="0.25">
      <c r="A206" s="4">
        <v>198</v>
      </c>
      <c r="B206" s="4">
        <f t="shared" si="27"/>
        <v>61</v>
      </c>
      <c r="C206" s="4">
        <f t="shared" si="28"/>
        <v>213</v>
      </c>
      <c r="D206" s="4">
        <f>IF(B206&gt;'Mortality Table'!$A$118,D205,VLOOKUP(B206,'Mortality Table'!$A$2:$B$118,2,FALSE))</f>
        <v>1.8089999999999998E-2</v>
      </c>
      <c r="E206" s="4">
        <f>IF(INT((C206-1)/12)+1&gt;'Lapse Table'!$A$11,E205,VLOOKUP(INT((C206-1)/12)+1,'Lapse Table'!$A$2:$B$11,2,FALSE))/12</f>
        <v>3.6054781793851634E-104</v>
      </c>
      <c r="F206" s="5">
        <f t="shared" si="35"/>
        <v>0.41702513437916677</v>
      </c>
      <c r="G206" s="6">
        <f t="shared" si="29"/>
        <v>1.5074999999999999E-3</v>
      </c>
      <c r="H206" s="6">
        <f t="shared" si="30"/>
        <v>3.5728666292526248E-104</v>
      </c>
      <c r="I206" s="7">
        <f t="shared" si="31"/>
        <v>13.900837812638892</v>
      </c>
      <c r="J206" s="8">
        <f t="shared" si="32"/>
        <v>1507.5</v>
      </c>
      <c r="K206" s="7">
        <f t="shared" si="33"/>
        <v>-1493.5991621873611</v>
      </c>
      <c r="L206" s="4">
        <f>IF(A206&gt;'Yield Curve'!A820,L205,(1+VLOOKUP(A206,'Yield Curve'!A199:B821,2,FALSE))^(1/12)-1)</f>
        <v>7.9741404289037643E-3</v>
      </c>
      <c r="M206" s="5">
        <f t="shared" si="34"/>
        <v>-309.92367717991436</v>
      </c>
    </row>
    <row r="207" spans="1:13" x14ac:dyDescent="0.25">
      <c r="A207" s="4">
        <v>199</v>
      </c>
      <c r="B207" s="4">
        <f t="shared" si="27"/>
        <v>61</v>
      </c>
      <c r="C207" s="4">
        <f t="shared" si="28"/>
        <v>214</v>
      </c>
      <c r="D207" s="4">
        <f>IF(B207&gt;'Mortality Table'!$A$118,D206,VLOOKUP(B207,'Mortality Table'!$A$2:$B$118,2,FALSE))</f>
        <v>1.8089999999999998E-2</v>
      </c>
      <c r="E207" s="4">
        <f>IF(INT((C207-1)/12)+1&gt;'Lapse Table'!$A$11,E206,VLOOKUP(INT((C207-1)/12)+1,'Lapse Table'!$A$2:$B$11,2,FALSE))/12</f>
        <v>3.0045651494876363E-105</v>
      </c>
      <c r="F207" s="5">
        <f t="shared" si="35"/>
        <v>0.41551763437916678</v>
      </c>
      <c r="G207" s="6">
        <f t="shared" si="29"/>
        <v>1.5074999999999999E-3</v>
      </c>
      <c r="H207" s="6">
        <f t="shared" si="30"/>
        <v>2.9773888577105207E-105</v>
      </c>
      <c r="I207" s="7">
        <f t="shared" si="31"/>
        <v>13.850587812638892</v>
      </c>
      <c r="J207" s="8">
        <f t="shared" si="32"/>
        <v>1507.5</v>
      </c>
      <c r="K207" s="7">
        <f t="shared" si="33"/>
        <v>-1493.6494121873611</v>
      </c>
      <c r="L207" s="4">
        <f>IF(A207&gt;'Yield Curve'!A821,L206,(1+VLOOKUP(A207,'Yield Curve'!A200:B822,2,FALSE))^(1/12)-1)</f>
        <v>7.9741404289037643E-3</v>
      </c>
      <c r="M207" s="5">
        <f t="shared" si="34"/>
        <v>-307.48219789181229</v>
      </c>
    </row>
    <row r="208" spans="1:13" x14ac:dyDescent="0.25">
      <c r="A208" s="4">
        <v>200</v>
      </c>
      <c r="B208" s="4">
        <f t="shared" si="27"/>
        <v>61</v>
      </c>
      <c r="C208" s="4">
        <f t="shared" si="28"/>
        <v>215</v>
      </c>
      <c r="D208" s="4">
        <f>IF(B208&gt;'Mortality Table'!$A$118,D207,VLOOKUP(B208,'Mortality Table'!$A$2:$B$118,2,FALSE))</f>
        <v>1.8089999999999998E-2</v>
      </c>
      <c r="E208" s="4">
        <f>IF(INT((C208-1)/12)+1&gt;'Lapse Table'!$A$11,E207,VLOOKUP(INT((C208-1)/12)+1,'Lapse Table'!$A$2:$B$11,2,FALSE))/12</f>
        <v>2.503804291239697E-106</v>
      </c>
      <c r="F208" s="5">
        <f t="shared" si="35"/>
        <v>0.41401013437916678</v>
      </c>
      <c r="G208" s="6">
        <f t="shared" si="29"/>
        <v>1.5074999999999999E-3</v>
      </c>
      <c r="H208" s="6">
        <f t="shared" si="30"/>
        <v>2.4811573814254339E-106</v>
      </c>
      <c r="I208" s="7">
        <f t="shared" si="31"/>
        <v>13.800337812638894</v>
      </c>
      <c r="J208" s="8">
        <f t="shared" si="32"/>
        <v>1507.5</v>
      </c>
      <c r="K208" s="7">
        <f t="shared" si="33"/>
        <v>-1493.6996621873611</v>
      </c>
      <c r="L208" s="4">
        <f>IF(A208&gt;'Yield Curve'!A822,L207,(1+VLOOKUP(A208,'Yield Curve'!A201:B823,2,FALSE))^(1/12)-1)</f>
        <v>7.9741404289037643E-3</v>
      </c>
      <c r="M208" s="5">
        <f t="shared" si="34"/>
        <v>-305.05995144890869</v>
      </c>
    </row>
    <row r="209" spans="1:13" x14ac:dyDescent="0.25">
      <c r="A209" s="4">
        <v>201</v>
      </c>
      <c r="B209" s="4">
        <f t="shared" si="27"/>
        <v>61</v>
      </c>
      <c r="C209" s="4">
        <f t="shared" si="28"/>
        <v>216</v>
      </c>
      <c r="D209" s="4">
        <f>IF(B209&gt;'Mortality Table'!$A$118,D208,VLOOKUP(B209,'Mortality Table'!$A$2:$B$118,2,FALSE))</f>
        <v>1.8089999999999998E-2</v>
      </c>
      <c r="E209" s="4">
        <f>IF(INT((C209-1)/12)+1&gt;'Lapse Table'!$A$11,E208,VLOOKUP(INT((C209-1)/12)+1,'Lapse Table'!$A$2:$B$11,2,FALSE))/12</f>
        <v>2.0865035760330809E-107</v>
      </c>
      <c r="F209" s="5">
        <f t="shared" si="35"/>
        <v>0.41250263437916679</v>
      </c>
      <c r="G209" s="6">
        <f t="shared" si="29"/>
        <v>1.5074999999999999E-3</v>
      </c>
      <c r="H209" s="6">
        <f t="shared" si="30"/>
        <v>2.0676311511878616E-107</v>
      </c>
      <c r="I209" s="7">
        <f t="shared" si="31"/>
        <v>13.750087812638894</v>
      </c>
      <c r="J209" s="8">
        <f t="shared" si="32"/>
        <v>1507.5</v>
      </c>
      <c r="K209" s="7">
        <f t="shared" si="33"/>
        <v>-1493.7499121873611</v>
      </c>
      <c r="L209" s="4">
        <f>IF(A209&gt;'Yield Curve'!A823,L208,(1+VLOOKUP(A209,'Yield Curve'!A202:B824,2,FALSE))^(1/12)-1)</f>
        <v>7.9741404289037643E-3</v>
      </c>
      <c r="M209" s="5">
        <f t="shared" si="34"/>
        <v>-302.65678634648327</v>
      </c>
    </row>
    <row r="210" spans="1:13" x14ac:dyDescent="0.25">
      <c r="A210" s="4">
        <v>202</v>
      </c>
      <c r="B210" s="4">
        <f t="shared" si="27"/>
        <v>61</v>
      </c>
      <c r="C210" s="4">
        <f t="shared" si="28"/>
        <v>217</v>
      </c>
      <c r="D210" s="4">
        <f>IF(B210&gt;'Mortality Table'!$A$118,D209,VLOOKUP(B210,'Mortality Table'!$A$2:$B$118,2,FALSE))</f>
        <v>1.8089999999999998E-2</v>
      </c>
      <c r="E210" s="4">
        <f>IF(INT((C210-1)/12)+1&gt;'Lapse Table'!$A$11,E209,VLOOKUP(INT((C210-1)/12)+1,'Lapse Table'!$A$2:$B$11,2,FALSE))/12</f>
        <v>1.7387529800275673E-108</v>
      </c>
      <c r="F210" s="5">
        <f t="shared" si="35"/>
        <v>0.41099513437916679</v>
      </c>
      <c r="G210" s="6">
        <f t="shared" si="29"/>
        <v>1.5074999999999999E-3</v>
      </c>
      <c r="H210" s="6">
        <f t="shared" si="30"/>
        <v>1.7230259593232178E-108</v>
      </c>
      <c r="I210" s="7">
        <f t="shared" si="31"/>
        <v>13.699837812638892</v>
      </c>
      <c r="J210" s="8">
        <f t="shared" si="32"/>
        <v>1507.5</v>
      </c>
      <c r="K210" s="7">
        <f t="shared" si="33"/>
        <v>-1493.8001621873611</v>
      </c>
      <c r="L210" s="4">
        <f>IF(A210&gt;'Yield Curve'!A824,L209,(1+VLOOKUP(A210,'Yield Curve'!A203:B825,2,FALSE))^(1/12)-1)</f>
        <v>7.9741404289037643E-3</v>
      </c>
      <c r="M210" s="5">
        <f t="shared" si="34"/>
        <v>-300.27255227325605</v>
      </c>
    </row>
    <row r="211" spans="1:13" x14ac:dyDescent="0.25">
      <c r="A211" s="4">
        <v>203</v>
      </c>
      <c r="B211" s="4">
        <f t="shared" si="27"/>
        <v>61</v>
      </c>
      <c r="C211" s="4">
        <f t="shared" si="28"/>
        <v>218</v>
      </c>
      <c r="D211" s="4">
        <f>IF(B211&gt;'Mortality Table'!$A$118,D210,VLOOKUP(B211,'Mortality Table'!$A$2:$B$118,2,FALSE))</f>
        <v>1.8089999999999998E-2</v>
      </c>
      <c r="E211" s="4">
        <f>IF(INT((C211-1)/12)+1&gt;'Lapse Table'!$A$11,E210,VLOOKUP(INT((C211-1)/12)+1,'Lapse Table'!$A$2:$B$11,2,FALSE))/12</f>
        <v>1.4489608166896394E-109</v>
      </c>
      <c r="F211" s="5">
        <f t="shared" si="35"/>
        <v>0.4094876343791668</v>
      </c>
      <c r="G211" s="6">
        <f t="shared" si="29"/>
        <v>1.5074999999999999E-3</v>
      </c>
      <c r="H211" s="6">
        <f t="shared" si="30"/>
        <v>1.4358549661026817E-109</v>
      </c>
      <c r="I211" s="7">
        <f t="shared" si="31"/>
        <v>13.649587812638893</v>
      </c>
      <c r="J211" s="8">
        <f t="shared" si="32"/>
        <v>1507.5</v>
      </c>
      <c r="K211" s="7">
        <f t="shared" si="33"/>
        <v>-1493.8504121873611</v>
      </c>
      <c r="L211" s="4">
        <f>IF(A211&gt;'Yield Curve'!A825,L210,(1+VLOOKUP(A211,'Yield Curve'!A204:B826,2,FALSE))^(1/12)-1)</f>
        <v>7.9741404289037643E-3</v>
      </c>
      <c r="M211" s="5">
        <f t="shared" si="34"/>
        <v>-297.90710010198717</v>
      </c>
    </row>
    <row r="212" spans="1:13" x14ac:dyDescent="0.25">
      <c r="A212" s="4">
        <v>204</v>
      </c>
      <c r="B212" s="4">
        <f t="shared" si="27"/>
        <v>62</v>
      </c>
      <c r="C212" s="4">
        <f t="shared" si="28"/>
        <v>219</v>
      </c>
      <c r="D212" s="4">
        <f>IF(B212&gt;'Mortality Table'!$A$118,D211,VLOOKUP(B212,'Mortality Table'!$A$2:$B$118,2,FALSE))</f>
        <v>1.983E-2</v>
      </c>
      <c r="E212" s="4">
        <f>IF(INT((C212-1)/12)+1&gt;'Lapse Table'!$A$11,E211,VLOOKUP(INT((C212-1)/12)+1,'Lapse Table'!$A$2:$B$11,2,FALSE))/12</f>
        <v>1.2074673472413662E-110</v>
      </c>
      <c r="F212" s="5">
        <f t="shared" si="35"/>
        <v>0.4078351343791668</v>
      </c>
      <c r="G212" s="6">
        <f t="shared" si="29"/>
        <v>1.6525000000000001E-3</v>
      </c>
      <c r="H212" s="6">
        <f t="shared" si="30"/>
        <v>1.195495308493468E-110</v>
      </c>
      <c r="I212" s="7">
        <f t="shared" si="31"/>
        <v>13.594504479305561</v>
      </c>
      <c r="J212" s="8">
        <f t="shared" si="32"/>
        <v>1652.5</v>
      </c>
      <c r="K212" s="7">
        <f t="shared" si="33"/>
        <v>-1638.9054955206943</v>
      </c>
      <c r="L212" s="4">
        <f>IF(A212&gt;'Yield Curve'!A826,L211,(1+VLOOKUP(A212,'Yield Curve'!A205:B827,2,FALSE))^(1/12)-1)</f>
        <v>7.9741404289037643E-3</v>
      </c>
      <c r="M212" s="5">
        <f t="shared" si="34"/>
        <v>-324.2487151199021</v>
      </c>
    </row>
    <row r="213" spans="1:13" x14ac:dyDescent="0.25">
      <c r="A213" s="4">
        <v>205</v>
      </c>
      <c r="B213" s="4">
        <f t="shared" si="27"/>
        <v>62</v>
      </c>
      <c r="C213" s="4">
        <f t="shared" si="28"/>
        <v>220</v>
      </c>
      <c r="D213" s="4">
        <f>IF(B213&gt;'Mortality Table'!$A$118,D212,VLOOKUP(B213,'Mortality Table'!$A$2:$B$118,2,FALSE))</f>
        <v>1.983E-2</v>
      </c>
      <c r="E213" s="4">
        <f>IF(INT((C213-1)/12)+1&gt;'Lapse Table'!$A$11,E212,VLOOKUP(INT((C213-1)/12)+1,'Lapse Table'!$A$2:$B$11,2,FALSE))/12</f>
        <v>1.0062227893678052E-111</v>
      </c>
      <c r="F213" s="5">
        <f t="shared" si="35"/>
        <v>0.4061826343791668</v>
      </c>
      <c r="G213" s="6">
        <f t="shared" si="29"/>
        <v>1.6525000000000001E-3</v>
      </c>
      <c r="H213" s="6">
        <f t="shared" si="30"/>
        <v>9.9624609041122331E-112</v>
      </c>
      <c r="I213" s="7">
        <f t="shared" si="31"/>
        <v>13.539421145972227</v>
      </c>
      <c r="J213" s="8">
        <f t="shared" si="32"/>
        <v>1652.5</v>
      </c>
      <c r="K213" s="7">
        <f t="shared" si="33"/>
        <v>-1638.9605788540277</v>
      </c>
      <c r="L213" s="4">
        <f>IF(A213&gt;'Yield Curve'!A827,L212,(1+VLOOKUP(A213,'Yield Curve'!A206:B828,2,FALSE))^(1/12)-1)</f>
        <v>7.9741404289037643E-3</v>
      </c>
      <c r="M213" s="5">
        <f t="shared" si="34"/>
        <v>-321.69437692694322</v>
      </c>
    </row>
    <row r="214" spans="1:13" x14ac:dyDescent="0.25">
      <c r="A214" s="4">
        <v>206</v>
      </c>
      <c r="B214" s="4">
        <f t="shared" si="27"/>
        <v>62</v>
      </c>
      <c r="C214" s="4">
        <f t="shared" si="28"/>
        <v>221</v>
      </c>
      <c r="D214" s="4">
        <f>IF(B214&gt;'Mortality Table'!$A$118,D213,VLOOKUP(B214,'Mortality Table'!$A$2:$B$118,2,FALSE))</f>
        <v>1.983E-2</v>
      </c>
      <c r="E214" s="4">
        <f>IF(INT((C214-1)/12)+1&gt;'Lapse Table'!$A$11,E213,VLOOKUP(INT((C214-1)/12)+1,'Lapse Table'!$A$2:$B$11,2,FALSE))/12</f>
        <v>8.3851899113983762E-113</v>
      </c>
      <c r="F214" s="5">
        <f t="shared" si="35"/>
        <v>0.40453013437916679</v>
      </c>
      <c r="G214" s="6">
        <f t="shared" si="29"/>
        <v>1.6525000000000001E-3</v>
      </c>
      <c r="H214" s="6">
        <f t="shared" si="30"/>
        <v>8.3020507534268613E-113</v>
      </c>
      <c r="I214" s="7">
        <f t="shared" si="31"/>
        <v>13.484337812638893</v>
      </c>
      <c r="J214" s="8">
        <f t="shared" si="32"/>
        <v>1652.5</v>
      </c>
      <c r="K214" s="7">
        <f t="shared" si="33"/>
        <v>-1639.0156621873612</v>
      </c>
      <c r="L214" s="4">
        <f>IF(A214&gt;'Yield Curve'!A828,L213,(1+VLOOKUP(A214,'Yield Curve'!A207:B829,2,FALSE))^(1/12)-1)</f>
        <v>7.9741404289037643E-3</v>
      </c>
      <c r="M214" s="5">
        <f t="shared" si="34"/>
        <v>-319.16016071568004</v>
      </c>
    </row>
    <row r="215" spans="1:13" x14ac:dyDescent="0.25">
      <c r="A215" s="4">
        <v>207</v>
      </c>
      <c r="B215" s="4">
        <f t="shared" si="27"/>
        <v>62</v>
      </c>
      <c r="C215" s="4">
        <f t="shared" si="28"/>
        <v>222</v>
      </c>
      <c r="D215" s="4">
        <f>IF(B215&gt;'Mortality Table'!$A$118,D214,VLOOKUP(B215,'Mortality Table'!$A$2:$B$118,2,FALSE))</f>
        <v>1.983E-2</v>
      </c>
      <c r="E215" s="4">
        <f>IF(INT((C215-1)/12)+1&gt;'Lapse Table'!$A$11,E214,VLOOKUP(INT((C215-1)/12)+1,'Lapse Table'!$A$2:$B$11,2,FALSE))/12</f>
        <v>6.9876582594986473E-114</v>
      </c>
      <c r="F215" s="5">
        <f t="shared" si="35"/>
        <v>0.40287763437916679</v>
      </c>
      <c r="G215" s="6">
        <f t="shared" si="29"/>
        <v>1.6525000000000001E-3</v>
      </c>
      <c r="H215" s="6">
        <f t="shared" si="30"/>
        <v>6.9183756278557187E-114</v>
      </c>
      <c r="I215" s="7">
        <f t="shared" si="31"/>
        <v>13.429254479305561</v>
      </c>
      <c r="J215" s="8">
        <f t="shared" si="32"/>
        <v>1652.5</v>
      </c>
      <c r="K215" s="7">
        <f t="shared" si="33"/>
        <v>-1639.0707455206943</v>
      </c>
      <c r="L215" s="4">
        <f>IF(A215&gt;'Yield Curve'!A829,L214,(1+VLOOKUP(A215,'Yield Curve'!A208:B830,2,FALSE))^(1/12)-1)</f>
        <v>7.9741404289037643E-3</v>
      </c>
      <c r="M215" s="5">
        <f t="shared" si="34"/>
        <v>-316.6459079766276</v>
      </c>
    </row>
    <row r="216" spans="1:13" x14ac:dyDescent="0.25">
      <c r="A216" s="4">
        <v>208</v>
      </c>
      <c r="B216" s="4">
        <f t="shared" si="27"/>
        <v>62</v>
      </c>
      <c r="C216" s="4">
        <f t="shared" si="28"/>
        <v>223</v>
      </c>
      <c r="D216" s="4">
        <f>IF(B216&gt;'Mortality Table'!$A$118,D215,VLOOKUP(B216,'Mortality Table'!$A$2:$B$118,2,FALSE))</f>
        <v>1.983E-2</v>
      </c>
      <c r="E216" s="4">
        <f>IF(INT((C216-1)/12)+1&gt;'Lapse Table'!$A$11,E215,VLOOKUP(INT((C216-1)/12)+1,'Lapse Table'!$A$2:$B$11,2,FALSE))/12</f>
        <v>5.8230485495822061E-115</v>
      </c>
      <c r="F216" s="5">
        <f t="shared" si="35"/>
        <v>0.40122513437916679</v>
      </c>
      <c r="G216" s="6">
        <f t="shared" si="29"/>
        <v>1.6525000000000001E-3</v>
      </c>
      <c r="H216" s="6">
        <f t="shared" si="30"/>
        <v>5.7653130232130986E-115</v>
      </c>
      <c r="I216" s="7">
        <f t="shared" si="31"/>
        <v>13.374171145972227</v>
      </c>
      <c r="J216" s="8">
        <f t="shared" si="32"/>
        <v>1652.5</v>
      </c>
      <c r="K216" s="7">
        <f t="shared" si="33"/>
        <v>-1639.1258288540278</v>
      </c>
      <c r="L216" s="4">
        <f>IF(A216&gt;'Yield Curve'!A830,L215,(1+VLOOKUP(A216,'Yield Curve'!A209:B831,2,FALSE))^(1/12)-1)</f>
        <v>7.9741404289037643E-3</v>
      </c>
      <c r="M216" s="5">
        <f t="shared" si="34"/>
        <v>-314.1514614489252</v>
      </c>
    </row>
    <row r="217" spans="1:13" x14ac:dyDescent="0.25">
      <c r="A217" s="4">
        <v>209</v>
      </c>
      <c r="B217" s="4">
        <f t="shared" si="27"/>
        <v>62</v>
      </c>
      <c r="C217" s="4">
        <f t="shared" si="28"/>
        <v>224</v>
      </c>
      <c r="D217" s="4">
        <f>IF(B217&gt;'Mortality Table'!$A$118,D216,VLOOKUP(B217,'Mortality Table'!$A$2:$B$118,2,FALSE))</f>
        <v>1.983E-2</v>
      </c>
      <c r="E217" s="4">
        <f>IF(INT((C217-1)/12)+1&gt;'Lapse Table'!$A$11,E216,VLOOKUP(INT((C217-1)/12)+1,'Lapse Table'!$A$2:$B$11,2,FALSE))/12</f>
        <v>4.8525404579851717E-116</v>
      </c>
      <c r="F217" s="5">
        <f t="shared" si="35"/>
        <v>0.39957263437916679</v>
      </c>
      <c r="G217" s="6">
        <f t="shared" si="29"/>
        <v>1.6525000000000001E-3</v>
      </c>
      <c r="H217" s="6">
        <f t="shared" si="30"/>
        <v>4.8044275193442488E-116</v>
      </c>
      <c r="I217" s="7">
        <f t="shared" si="31"/>
        <v>13.319087812638893</v>
      </c>
      <c r="J217" s="8">
        <f t="shared" si="32"/>
        <v>1652.5</v>
      </c>
      <c r="K217" s="7">
        <f t="shared" si="33"/>
        <v>-1639.1809121873612</v>
      </c>
      <c r="L217" s="4">
        <f>IF(A217&gt;'Yield Curve'!A831,L216,(1+VLOOKUP(A217,'Yield Curve'!A210:B832,2,FALSE))^(1/12)-1)</f>
        <v>7.9741404289037643E-3</v>
      </c>
      <c r="M217" s="5">
        <f t="shared" si="34"/>
        <v>-311.6766651105014</v>
      </c>
    </row>
    <row r="218" spans="1:13" x14ac:dyDescent="0.25">
      <c r="A218" s="4">
        <v>210</v>
      </c>
      <c r="B218" s="4">
        <f t="shared" si="27"/>
        <v>62</v>
      </c>
      <c r="C218" s="4">
        <f t="shared" si="28"/>
        <v>225</v>
      </c>
      <c r="D218" s="4">
        <f>IF(B218&gt;'Mortality Table'!$A$118,D217,VLOOKUP(B218,'Mortality Table'!$A$2:$B$118,2,FALSE))</f>
        <v>1.983E-2</v>
      </c>
      <c r="E218" s="4">
        <f>IF(INT((C218-1)/12)+1&gt;'Lapse Table'!$A$11,E217,VLOOKUP(INT((C218-1)/12)+1,'Lapse Table'!$A$2:$B$11,2,FALSE))/12</f>
        <v>4.0437837149876434E-117</v>
      </c>
      <c r="F218" s="5">
        <f t="shared" si="35"/>
        <v>0.39792013437916679</v>
      </c>
      <c r="G218" s="6">
        <f t="shared" si="29"/>
        <v>1.6525000000000001E-3</v>
      </c>
      <c r="H218" s="6">
        <f t="shared" si="30"/>
        <v>4.0036895994535409E-117</v>
      </c>
      <c r="I218" s="7">
        <f t="shared" si="31"/>
        <v>13.26400447930556</v>
      </c>
      <c r="J218" s="8">
        <f t="shared" si="32"/>
        <v>1652.5</v>
      </c>
      <c r="K218" s="7">
        <f t="shared" si="33"/>
        <v>-1639.2359955206944</v>
      </c>
      <c r="L218" s="4">
        <f>IF(A218&gt;'Yield Curve'!A832,L217,(1+VLOOKUP(A218,'Yield Curve'!A211:B833,2,FALSE))^(1/12)-1)</f>
        <v>7.9741404289037643E-3</v>
      </c>
      <c r="M218" s="5">
        <f t="shared" si="34"/>
        <v>-309.22136416831506</v>
      </c>
    </row>
    <row r="219" spans="1:13" x14ac:dyDescent="0.25">
      <c r="A219" s="4">
        <v>211</v>
      </c>
      <c r="B219" s="4">
        <f t="shared" si="27"/>
        <v>62</v>
      </c>
      <c r="C219" s="4">
        <f t="shared" si="28"/>
        <v>226</v>
      </c>
      <c r="D219" s="4">
        <f>IF(B219&gt;'Mortality Table'!$A$118,D218,VLOOKUP(B219,'Mortality Table'!$A$2:$B$118,2,FALSE))</f>
        <v>1.983E-2</v>
      </c>
      <c r="E219" s="4">
        <f>IF(INT((C219-1)/12)+1&gt;'Lapse Table'!$A$11,E218,VLOOKUP(INT((C219-1)/12)+1,'Lapse Table'!$A$2:$B$11,2,FALSE))/12</f>
        <v>3.3698197624897027E-118</v>
      </c>
      <c r="F219" s="5">
        <f t="shared" si="35"/>
        <v>0.39626763437916679</v>
      </c>
      <c r="G219" s="6">
        <f t="shared" si="29"/>
        <v>1.6525000000000001E-3</v>
      </c>
      <c r="H219" s="6">
        <f t="shared" si="30"/>
        <v>3.336407999544617E-118</v>
      </c>
      <c r="I219" s="7">
        <f t="shared" si="31"/>
        <v>13.208921145972226</v>
      </c>
      <c r="J219" s="8">
        <f t="shared" si="32"/>
        <v>1652.5</v>
      </c>
      <c r="K219" s="7">
        <f t="shared" si="33"/>
        <v>-1639.2910788540278</v>
      </c>
      <c r="L219" s="4">
        <f>IF(A219&gt;'Yield Curve'!A833,L218,(1+VLOOKUP(A219,'Yield Curve'!A212:B834,2,FALSE))^(1/12)-1)</f>
        <v>7.9741404289037643E-3</v>
      </c>
      <c r="M219" s="5">
        <f t="shared" si="34"/>
        <v>-306.78540504867499</v>
      </c>
    </row>
    <row r="220" spans="1:13" x14ac:dyDescent="0.25">
      <c r="A220" s="4">
        <v>212</v>
      </c>
      <c r="B220" s="4">
        <f t="shared" si="27"/>
        <v>62</v>
      </c>
      <c r="C220" s="4">
        <f t="shared" si="28"/>
        <v>227</v>
      </c>
      <c r="D220" s="4">
        <f>IF(B220&gt;'Mortality Table'!$A$118,D219,VLOOKUP(B220,'Mortality Table'!$A$2:$B$118,2,FALSE))</f>
        <v>1.983E-2</v>
      </c>
      <c r="E220" s="4">
        <f>IF(INT((C220-1)/12)+1&gt;'Lapse Table'!$A$11,E219,VLOOKUP(INT((C220-1)/12)+1,'Lapse Table'!$A$2:$B$11,2,FALSE))/12</f>
        <v>2.8081831354080855E-119</v>
      </c>
      <c r="F220" s="5">
        <f t="shared" si="35"/>
        <v>0.39461513437916679</v>
      </c>
      <c r="G220" s="6">
        <f t="shared" si="29"/>
        <v>1.6525000000000001E-3</v>
      </c>
      <c r="H220" s="6">
        <f t="shared" si="30"/>
        <v>2.7803399996205144E-119</v>
      </c>
      <c r="I220" s="7">
        <f t="shared" si="31"/>
        <v>13.153837812638892</v>
      </c>
      <c r="J220" s="8">
        <f t="shared" si="32"/>
        <v>1652.5</v>
      </c>
      <c r="K220" s="7">
        <f t="shared" si="33"/>
        <v>-1639.3461621873612</v>
      </c>
      <c r="L220" s="4">
        <f>IF(A220&gt;'Yield Curve'!A834,L219,(1+VLOOKUP(A220,'Yield Curve'!A213:B835,2,FALSE))^(1/12)-1)</f>
        <v>7.9741404289037643E-3</v>
      </c>
      <c r="M220" s="5">
        <f t="shared" si="34"/>
        <v>-304.36863538763424</v>
      </c>
    </row>
    <row r="221" spans="1:13" x14ac:dyDescent="0.25">
      <c r="A221" s="4">
        <v>213</v>
      </c>
      <c r="B221" s="4">
        <f t="shared" si="27"/>
        <v>62</v>
      </c>
      <c r="C221" s="4">
        <f t="shared" si="28"/>
        <v>228</v>
      </c>
      <c r="D221" s="4">
        <f>IF(B221&gt;'Mortality Table'!$A$118,D220,VLOOKUP(B221,'Mortality Table'!$A$2:$B$118,2,FALSE))</f>
        <v>1.983E-2</v>
      </c>
      <c r="E221" s="4">
        <f>IF(INT((C221-1)/12)+1&gt;'Lapse Table'!$A$11,E220,VLOOKUP(INT((C221-1)/12)+1,'Lapse Table'!$A$2:$B$11,2,FALSE))/12</f>
        <v>2.3401526128400714E-120</v>
      </c>
      <c r="F221" s="5">
        <f t="shared" si="35"/>
        <v>0.39296263437916679</v>
      </c>
      <c r="G221" s="6">
        <f t="shared" si="29"/>
        <v>1.6525000000000001E-3</v>
      </c>
      <c r="H221" s="6">
        <f t="shared" si="30"/>
        <v>2.3169499996837622E-120</v>
      </c>
      <c r="I221" s="7">
        <f t="shared" si="31"/>
        <v>13.09875447930556</v>
      </c>
      <c r="J221" s="8">
        <f t="shared" si="32"/>
        <v>1652.5</v>
      </c>
      <c r="K221" s="7">
        <f t="shared" si="33"/>
        <v>-1639.4012455206944</v>
      </c>
      <c r="L221" s="4">
        <f>IF(A221&gt;'Yield Curve'!A835,L220,(1+VLOOKUP(A221,'Yield Curve'!A214:B836,2,FALSE))^(1/12)-1)</f>
        <v>7.9741404289037643E-3</v>
      </c>
      <c r="M221" s="5">
        <f t="shared" si="34"/>
        <v>-301.97090402146108</v>
      </c>
    </row>
    <row r="222" spans="1:13" x14ac:dyDescent="0.25">
      <c r="A222" s="4">
        <v>214</v>
      </c>
      <c r="B222" s="4">
        <f t="shared" si="27"/>
        <v>62</v>
      </c>
      <c r="C222" s="4">
        <f t="shared" si="28"/>
        <v>229</v>
      </c>
      <c r="D222" s="4">
        <f>IF(B222&gt;'Mortality Table'!$A$118,D221,VLOOKUP(B222,'Mortality Table'!$A$2:$B$118,2,FALSE))</f>
        <v>1.983E-2</v>
      </c>
      <c r="E222" s="4">
        <f>IF(INT((C222-1)/12)+1&gt;'Lapse Table'!$A$11,E221,VLOOKUP(INT((C222-1)/12)+1,'Lapse Table'!$A$2:$B$11,2,FALSE))/12</f>
        <v>1.9501271773667263E-121</v>
      </c>
      <c r="F222" s="5">
        <f t="shared" si="35"/>
        <v>0.39131013437916679</v>
      </c>
      <c r="G222" s="6">
        <f t="shared" si="29"/>
        <v>1.6525000000000001E-3</v>
      </c>
      <c r="H222" s="6">
        <f t="shared" si="30"/>
        <v>1.9307916664031352E-121</v>
      </c>
      <c r="I222" s="7">
        <f t="shared" si="31"/>
        <v>13.043671145972226</v>
      </c>
      <c r="J222" s="8">
        <f t="shared" si="32"/>
        <v>1652.5</v>
      </c>
      <c r="K222" s="7">
        <f t="shared" si="33"/>
        <v>-1639.4563288540278</v>
      </c>
      <c r="L222" s="4">
        <f>IF(A222&gt;'Yield Curve'!A836,L221,(1+VLOOKUP(A222,'Yield Curve'!A215:B837,2,FALSE))^(1/12)-1)</f>
        <v>7.9741404289037643E-3</v>
      </c>
      <c r="M222" s="5">
        <f t="shared" si="34"/>
        <v>-299.59206097718516</v>
      </c>
    </row>
    <row r="223" spans="1:13" x14ac:dyDescent="0.25">
      <c r="A223" s="4">
        <v>215</v>
      </c>
      <c r="B223" s="4">
        <f t="shared" si="27"/>
        <v>62</v>
      </c>
      <c r="C223" s="4">
        <f t="shared" si="28"/>
        <v>230</v>
      </c>
      <c r="D223" s="4">
        <f>IF(B223&gt;'Mortality Table'!$A$118,D222,VLOOKUP(B223,'Mortality Table'!$A$2:$B$118,2,FALSE))</f>
        <v>1.983E-2</v>
      </c>
      <c r="E223" s="4">
        <f>IF(INT((C223-1)/12)+1&gt;'Lapse Table'!$A$11,E222,VLOOKUP(INT((C223-1)/12)+1,'Lapse Table'!$A$2:$B$11,2,FALSE))/12</f>
        <v>1.6251059811389386E-122</v>
      </c>
      <c r="F223" s="5">
        <f t="shared" si="35"/>
        <v>0.38965763437916678</v>
      </c>
      <c r="G223" s="6">
        <f t="shared" si="29"/>
        <v>1.6525000000000001E-3</v>
      </c>
      <c r="H223" s="6">
        <f t="shared" si="30"/>
        <v>1.6089930553359459E-122</v>
      </c>
      <c r="I223" s="7">
        <f t="shared" si="31"/>
        <v>12.988587812638892</v>
      </c>
      <c r="J223" s="8">
        <f t="shared" si="32"/>
        <v>1652.5</v>
      </c>
      <c r="K223" s="7">
        <f t="shared" si="33"/>
        <v>-1639.5114121873612</v>
      </c>
      <c r="L223" s="4">
        <f>IF(A223&gt;'Yield Curve'!A837,L222,(1+VLOOKUP(A223,'Yield Curve'!A216:B838,2,FALSE))^(1/12)-1)</f>
        <v>7.9741404289037643E-3</v>
      </c>
      <c r="M223" s="5">
        <f t="shared" si="34"/>
        <v>-297.23195746321653</v>
      </c>
    </row>
    <row r="224" spans="1:13" x14ac:dyDescent="0.25">
      <c r="A224" s="4">
        <v>216</v>
      </c>
      <c r="B224" s="4">
        <f t="shared" si="27"/>
        <v>63</v>
      </c>
      <c r="C224" s="4">
        <f t="shared" si="28"/>
        <v>231</v>
      </c>
      <c r="D224" s="4">
        <f>IF(B224&gt;'Mortality Table'!$A$118,D223,VLOOKUP(B224,'Mortality Table'!$A$2:$B$118,2,FALSE))</f>
        <v>2.1739999999999999E-2</v>
      </c>
      <c r="E224" s="4">
        <f>IF(INT((C224-1)/12)+1&gt;'Lapse Table'!$A$11,E223,VLOOKUP(INT((C224-1)/12)+1,'Lapse Table'!$A$2:$B$11,2,FALSE))/12</f>
        <v>1.3542549842824488E-123</v>
      </c>
      <c r="F224" s="5">
        <f t="shared" si="35"/>
        <v>0.38784596771250013</v>
      </c>
      <c r="G224" s="6">
        <f t="shared" si="29"/>
        <v>1.8116666666666665E-3</v>
      </c>
      <c r="H224" s="6">
        <f t="shared" si="30"/>
        <v>1.3395342326032986E-123</v>
      </c>
      <c r="I224" s="7">
        <f t="shared" si="31"/>
        <v>12.928198923750005</v>
      </c>
      <c r="J224" s="8">
        <f t="shared" si="32"/>
        <v>1811.6666666666665</v>
      </c>
      <c r="K224" s="7">
        <f t="shared" si="33"/>
        <v>-1798.7384677429166</v>
      </c>
      <c r="L224" s="4">
        <f>IF(A224&gt;'Yield Curve'!A838,L223,(1+VLOOKUP(A224,'Yield Curve'!A217:B839,2,FALSE))^(1/12)-1)</f>
        <v>7.9741404289037643E-3</v>
      </c>
      <c r="M224" s="5">
        <f t="shared" si="34"/>
        <v>-323.51892417139254</v>
      </c>
    </row>
    <row r="225" spans="1:13" x14ac:dyDescent="0.25">
      <c r="A225" s="4">
        <v>217</v>
      </c>
      <c r="B225" s="4">
        <f t="shared" si="27"/>
        <v>63</v>
      </c>
      <c r="C225" s="4">
        <f t="shared" si="28"/>
        <v>232</v>
      </c>
      <c r="D225" s="4">
        <f>IF(B225&gt;'Mortality Table'!$A$118,D224,VLOOKUP(B225,'Mortality Table'!$A$2:$B$118,2,FALSE))</f>
        <v>2.1739999999999999E-2</v>
      </c>
      <c r="E225" s="4">
        <f>IF(INT((C225-1)/12)+1&gt;'Lapse Table'!$A$11,E224,VLOOKUP(INT((C225-1)/12)+1,'Lapse Table'!$A$2:$B$11,2,FALSE))/12</f>
        <v>1.128545820235374E-124</v>
      </c>
      <c r="F225" s="5">
        <f t="shared" si="35"/>
        <v>0.38603430104583347</v>
      </c>
      <c r="G225" s="6">
        <f t="shared" si="29"/>
        <v>1.8116666666666665E-3</v>
      </c>
      <c r="H225" s="6">
        <f t="shared" si="30"/>
        <v>1.1162785271694155E-124</v>
      </c>
      <c r="I225" s="7">
        <f t="shared" si="31"/>
        <v>12.867810034861115</v>
      </c>
      <c r="J225" s="8">
        <f t="shared" si="32"/>
        <v>1811.6666666666665</v>
      </c>
      <c r="K225" s="7">
        <f t="shared" si="33"/>
        <v>-1798.7988566318054</v>
      </c>
      <c r="L225" s="4">
        <f>IF(A225&gt;'Yield Curve'!A839,L224,(1+VLOOKUP(A225,'Yield Curve'!A218:B840,2,FALSE))^(1/12)-1)</f>
        <v>7.9741404289037643E-3</v>
      </c>
      <c r="M225" s="5">
        <f t="shared" si="34"/>
        <v>-320.97032321306045</v>
      </c>
    </row>
    <row r="226" spans="1:13" x14ac:dyDescent="0.25">
      <c r="A226" s="4">
        <v>218</v>
      </c>
      <c r="B226" s="4">
        <f t="shared" si="27"/>
        <v>63</v>
      </c>
      <c r="C226" s="4">
        <f t="shared" si="28"/>
        <v>233</v>
      </c>
      <c r="D226" s="4">
        <f>IF(B226&gt;'Mortality Table'!$A$118,D225,VLOOKUP(B226,'Mortality Table'!$A$2:$B$118,2,FALSE))</f>
        <v>2.1739999999999999E-2</v>
      </c>
      <c r="E226" s="4">
        <f>IF(INT((C226-1)/12)+1&gt;'Lapse Table'!$A$11,E225,VLOOKUP(INT((C226-1)/12)+1,'Lapse Table'!$A$2:$B$11,2,FALSE))/12</f>
        <v>9.4045485019614502E-126</v>
      </c>
      <c r="F226" s="5">
        <f t="shared" si="35"/>
        <v>0.38422263437916682</v>
      </c>
      <c r="G226" s="6">
        <f t="shared" si="29"/>
        <v>1.8116666666666665E-3</v>
      </c>
      <c r="H226" s="6">
        <f t="shared" si="30"/>
        <v>9.302321059745129E-126</v>
      </c>
      <c r="I226" s="7">
        <f t="shared" si="31"/>
        <v>12.807421145972228</v>
      </c>
      <c r="J226" s="8">
        <f t="shared" si="32"/>
        <v>1811.6666666666665</v>
      </c>
      <c r="K226" s="7">
        <f t="shared" si="33"/>
        <v>-1798.8592455206942</v>
      </c>
      <c r="L226" s="4">
        <f>IF(A226&gt;'Yield Curve'!A840,L225,(1+VLOOKUP(A226,'Yield Curve'!A219:B841,2,FALSE))^(1/12)-1)</f>
        <v>7.9741404289037643E-3</v>
      </c>
      <c r="M226" s="5">
        <f t="shared" si="34"/>
        <v>-318.44179913508106</v>
      </c>
    </row>
    <row r="227" spans="1:13" x14ac:dyDescent="0.25">
      <c r="A227" s="4">
        <v>219</v>
      </c>
      <c r="B227" s="4">
        <f t="shared" si="27"/>
        <v>63</v>
      </c>
      <c r="C227" s="4">
        <f t="shared" si="28"/>
        <v>234</v>
      </c>
      <c r="D227" s="4">
        <f>IF(B227&gt;'Mortality Table'!$A$118,D226,VLOOKUP(B227,'Mortality Table'!$A$2:$B$118,2,FALSE))</f>
        <v>2.1739999999999999E-2</v>
      </c>
      <c r="E227" s="4">
        <f>IF(INT((C227-1)/12)+1&gt;'Lapse Table'!$A$11,E226,VLOOKUP(INT((C227-1)/12)+1,'Lapse Table'!$A$2:$B$11,2,FALSE))/12</f>
        <v>7.8371237516345418E-127</v>
      </c>
      <c r="F227" s="5">
        <f t="shared" si="35"/>
        <v>0.38241096771250016</v>
      </c>
      <c r="G227" s="6">
        <f t="shared" si="29"/>
        <v>1.8116666666666665E-3</v>
      </c>
      <c r="H227" s="6">
        <f t="shared" si="30"/>
        <v>7.7519342164542742E-127</v>
      </c>
      <c r="I227" s="7">
        <f t="shared" si="31"/>
        <v>12.747032257083339</v>
      </c>
      <c r="J227" s="8">
        <f t="shared" si="32"/>
        <v>1811.6666666666665</v>
      </c>
      <c r="K227" s="7">
        <f t="shared" si="33"/>
        <v>-1798.9196344095831</v>
      </c>
      <c r="L227" s="4">
        <f>IF(A227&gt;'Yield Curve'!A841,L226,(1+VLOOKUP(A227,'Yield Curve'!A220:B842,2,FALSE))^(1/12)-1)</f>
        <v>7.9741404289037643E-3</v>
      </c>
      <c r="M227" s="5">
        <f t="shared" si="34"/>
        <v>-315.93319378250402</v>
      </c>
    </row>
    <row r="228" spans="1:13" x14ac:dyDescent="0.25">
      <c r="A228" s="4">
        <v>220</v>
      </c>
      <c r="B228" s="4">
        <f t="shared" si="27"/>
        <v>63</v>
      </c>
      <c r="C228" s="4">
        <f t="shared" si="28"/>
        <v>235</v>
      </c>
      <c r="D228" s="4">
        <f>IF(B228&gt;'Mortality Table'!$A$118,D227,VLOOKUP(B228,'Mortality Table'!$A$2:$B$118,2,FALSE))</f>
        <v>2.1739999999999999E-2</v>
      </c>
      <c r="E228" s="4">
        <f>IF(INT((C228-1)/12)+1&gt;'Lapse Table'!$A$11,E227,VLOOKUP(INT((C228-1)/12)+1,'Lapse Table'!$A$2:$B$11,2,FALSE))/12</f>
        <v>6.5309364596954515E-128</v>
      </c>
      <c r="F228" s="5">
        <f t="shared" si="35"/>
        <v>0.3805993010458335</v>
      </c>
      <c r="G228" s="6">
        <f t="shared" si="29"/>
        <v>1.8116666666666665E-3</v>
      </c>
      <c r="H228" s="6">
        <f t="shared" si="30"/>
        <v>6.4599451803785615E-128</v>
      </c>
      <c r="I228" s="7">
        <f t="shared" si="31"/>
        <v>12.686643368194451</v>
      </c>
      <c r="J228" s="8">
        <f t="shared" si="32"/>
        <v>1811.6666666666665</v>
      </c>
      <c r="K228" s="7">
        <f t="shared" si="33"/>
        <v>-1798.9800232984721</v>
      </c>
      <c r="L228" s="4">
        <f>IF(A228&gt;'Yield Curve'!A842,L227,(1+VLOOKUP(A228,'Yield Curve'!A221:B843,2,FALSE))^(1/12)-1)</f>
        <v>7.9741404289037643E-3</v>
      </c>
      <c r="M228" s="5">
        <f t="shared" si="34"/>
        <v>-313.44435024621674</v>
      </c>
    </row>
    <row r="229" spans="1:13" x14ac:dyDescent="0.25">
      <c r="A229" s="4">
        <v>221</v>
      </c>
      <c r="B229" s="4">
        <f t="shared" si="27"/>
        <v>63</v>
      </c>
      <c r="C229" s="4">
        <f t="shared" si="28"/>
        <v>236</v>
      </c>
      <c r="D229" s="4">
        <f>IF(B229&gt;'Mortality Table'!$A$118,D228,VLOOKUP(B229,'Mortality Table'!$A$2:$B$118,2,FALSE))</f>
        <v>2.1739999999999999E-2</v>
      </c>
      <c r="E229" s="4">
        <f>IF(INT((C229-1)/12)+1&gt;'Lapse Table'!$A$11,E228,VLOOKUP(INT((C229-1)/12)+1,'Lapse Table'!$A$2:$B$11,2,FALSE))/12</f>
        <v>5.4424470497462094E-129</v>
      </c>
      <c r="F229" s="5">
        <f t="shared" si="35"/>
        <v>0.37878763437916685</v>
      </c>
      <c r="G229" s="6">
        <f t="shared" si="29"/>
        <v>1.8116666666666665E-3</v>
      </c>
      <c r="H229" s="6">
        <f t="shared" si="30"/>
        <v>5.3832876503154679E-129</v>
      </c>
      <c r="I229" s="7">
        <f t="shared" si="31"/>
        <v>12.62625447930556</v>
      </c>
      <c r="J229" s="8">
        <f t="shared" si="32"/>
        <v>1811.6666666666665</v>
      </c>
      <c r="K229" s="7">
        <f t="shared" si="33"/>
        <v>-1799.040412187361</v>
      </c>
      <c r="L229" s="4">
        <f>IF(A229&gt;'Yield Curve'!A843,L228,(1+VLOOKUP(A229,'Yield Curve'!A222:B844,2,FALSE))^(1/12)-1)</f>
        <v>7.9741404289037643E-3</v>
      </c>
      <c r="M229" s="5">
        <f t="shared" si="34"/>
        <v>-310.97511285313055</v>
      </c>
    </row>
    <row r="230" spans="1:13" x14ac:dyDescent="0.25">
      <c r="A230" s="4">
        <v>222</v>
      </c>
      <c r="B230" s="4">
        <f t="shared" si="27"/>
        <v>63</v>
      </c>
      <c r="C230" s="4">
        <f t="shared" si="28"/>
        <v>237</v>
      </c>
      <c r="D230" s="4">
        <f>IF(B230&gt;'Mortality Table'!$A$118,D229,VLOOKUP(B230,'Mortality Table'!$A$2:$B$118,2,FALSE))</f>
        <v>2.1739999999999999E-2</v>
      </c>
      <c r="E230" s="4">
        <f>IF(INT((C230-1)/12)+1&gt;'Lapse Table'!$A$11,E229,VLOOKUP(INT((C230-1)/12)+1,'Lapse Table'!$A$2:$B$11,2,FALSE))/12</f>
        <v>4.5353725414551742E-130</v>
      </c>
      <c r="F230" s="5">
        <f t="shared" si="35"/>
        <v>0.37697596771250019</v>
      </c>
      <c r="G230" s="6">
        <f t="shared" si="29"/>
        <v>1.8116666666666665E-3</v>
      </c>
      <c r="H230" s="6">
        <f t="shared" si="30"/>
        <v>4.486073041929556E-130</v>
      </c>
      <c r="I230" s="7">
        <f t="shared" si="31"/>
        <v>12.565865590416673</v>
      </c>
      <c r="J230" s="8">
        <f t="shared" si="32"/>
        <v>1811.6666666666665</v>
      </c>
      <c r="K230" s="7">
        <f t="shared" si="33"/>
        <v>-1799.1008010762498</v>
      </c>
      <c r="L230" s="4">
        <f>IF(A230&gt;'Yield Curve'!A844,L229,(1+VLOOKUP(A230,'Yield Curve'!A223:B845,2,FALSE))^(1/12)-1)</f>
        <v>7.9741404289037643E-3</v>
      </c>
      <c r="M230" s="5">
        <f t="shared" si="34"/>
        <v>-308.52532715644446</v>
      </c>
    </row>
    <row r="231" spans="1:13" x14ac:dyDescent="0.25">
      <c r="A231" s="4">
        <v>223</v>
      </c>
      <c r="B231" s="4">
        <f t="shared" si="27"/>
        <v>63</v>
      </c>
      <c r="C231" s="4">
        <f t="shared" si="28"/>
        <v>238</v>
      </c>
      <c r="D231" s="4">
        <f>IF(B231&gt;'Mortality Table'!$A$118,D230,VLOOKUP(B231,'Mortality Table'!$A$2:$B$118,2,FALSE))</f>
        <v>2.1739999999999999E-2</v>
      </c>
      <c r="E231" s="4">
        <f>IF(INT((C231-1)/12)+1&gt;'Lapse Table'!$A$11,E230,VLOOKUP(INT((C231-1)/12)+1,'Lapse Table'!$A$2:$B$11,2,FALSE))/12</f>
        <v>3.7794771178793118E-131</v>
      </c>
      <c r="F231" s="5">
        <f t="shared" si="35"/>
        <v>0.37516430104583354</v>
      </c>
      <c r="G231" s="6">
        <f t="shared" si="29"/>
        <v>1.8116666666666665E-3</v>
      </c>
      <c r="H231" s="6">
        <f t="shared" si="30"/>
        <v>3.7383942016079637E-131</v>
      </c>
      <c r="I231" s="7">
        <f t="shared" si="31"/>
        <v>12.505476701527785</v>
      </c>
      <c r="J231" s="8">
        <f t="shared" si="32"/>
        <v>1811.6666666666665</v>
      </c>
      <c r="K231" s="7">
        <f t="shared" si="33"/>
        <v>-1799.1611899651386</v>
      </c>
      <c r="L231" s="4">
        <f>IF(A231&gt;'Yield Curve'!A845,L230,(1+VLOOKUP(A231,'Yield Curve'!A224:B846,2,FALSE))^(1/12)-1)</f>
        <v>7.9741404289037643E-3</v>
      </c>
      <c r="M231" s="5">
        <f t="shared" si="34"/>
        <v>-306.09483992598518</v>
      </c>
    </row>
    <row r="232" spans="1:13" x14ac:dyDescent="0.25">
      <c r="A232" s="4">
        <v>224</v>
      </c>
      <c r="B232" s="4">
        <f t="shared" si="27"/>
        <v>63</v>
      </c>
      <c r="C232" s="4">
        <f t="shared" si="28"/>
        <v>239</v>
      </c>
      <c r="D232" s="4">
        <f>IF(B232&gt;'Mortality Table'!$A$118,D231,VLOOKUP(B232,'Mortality Table'!$A$2:$B$118,2,FALSE))</f>
        <v>2.1739999999999999E-2</v>
      </c>
      <c r="E232" s="4">
        <f>IF(INT((C232-1)/12)+1&gt;'Lapse Table'!$A$11,E231,VLOOKUP(INT((C232-1)/12)+1,'Lapse Table'!$A$2:$B$11,2,FALSE))/12</f>
        <v>3.1495642648994263E-132</v>
      </c>
      <c r="F232" s="5">
        <f t="shared" si="35"/>
        <v>0.37335263437916688</v>
      </c>
      <c r="G232" s="6">
        <f t="shared" si="29"/>
        <v>1.8116666666666665E-3</v>
      </c>
      <c r="H232" s="6">
        <f t="shared" si="30"/>
        <v>3.1153285013399695E-132</v>
      </c>
      <c r="I232" s="7">
        <f t="shared" si="31"/>
        <v>12.445087812638896</v>
      </c>
      <c r="J232" s="8">
        <f t="shared" si="32"/>
        <v>1811.6666666666665</v>
      </c>
      <c r="K232" s="7">
        <f t="shared" si="33"/>
        <v>-1799.2215788540277</v>
      </c>
      <c r="L232" s="4">
        <f>IF(A232&gt;'Yield Curve'!A846,L231,(1+VLOOKUP(A232,'Yield Curve'!A225:B847,2,FALSE))^(1/12)-1)</f>
        <v>7.9741404289037643E-3</v>
      </c>
      <c r="M232" s="5">
        <f t="shared" si="34"/>
        <v>-303.6834991386238</v>
      </c>
    </row>
    <row r="233" spans="1:13" x14ac:dyDescent="0.25">
      <c r="A233" s="4">
        <v>225</v>
      </c>
      <c r="B233" s="4">
        <f t="shared" si="27"/>
        <v>63</v>
      </c>
      <c r="C233" s="4">
        <f t="shared" si="28"/>
        <v>240</v>
      </c>
      <c r="D233" s="4">
        <f>IF(B233&gt;'Mortality Table'!$A$118,D232,VLOOKUP(B233,'Mortality Table'!$A$2:$B$118,2,FALSE))</f>
        <v>2.1739999999999999E-2</v>
      </c>
      <c r="E233" s="4">
        <f>IF(INT((C233-1)/12)+1&gt;'Lapse Table'!$A$11,E232,VLOOKUP(INT((C233-1)/12)+1,'Lapse Table'!$A$2:$B$11,2,FALSE))/12</f>
        <v>2.6246368874161885E-133</v>
      </c>
      <c r="F233" s="5">
        <f t="shared" si="35"/>
        <v>0.37154096771250023</v>
      </c>
      <c r="G233" s="6">
        <f t="shared" si="29"/>
        <v>1.8116666666666665E-3</v>
      </c>
      <c r="H233" s="6">
        <f t="shared" si="30"/>
        <v>2.5961070844499744E-133</v>
      </c>
      <c r="I233" s="7">
        <f t="shared" si="31"/>
        <v>12.384698923750008</v>
      </c>
      <c r="J233" s="8">
        <f t="shared" si="32"/>
        <v>1811.6666666666665</v>
      </c>
      <c r="K233" s="7">
        <f t="shared" si="33"/>
        <v>-1799.2819677429165</v>
      </c>
      <c r="L233" s="4">
        <f>IF(A233&gt;'Yield Curve'!A847,L232,(1+VLOOKUP(A233,'Yield Curve'!A226:B848,2,FALSE))^(1/12)-1)</f>
        <v>7.9741404289037643E-3</v>
      </c>
      <c r="M233" s="5">
        <f t="shared" si="34"/>
        <v>-301.29115396876784</v>
      </c>
    </row>
    <row r="234" spans="1:13" x14ac:dyDescent="0.25">
      <c r="A234" s="4">
        <v>226</v>
      </c>
      <c r="B234" s="4">
        <f t="shared" si="27"/>
        <v>63</v>
      </c>
      <c r="C234" s="4">
        <f t="shared" si="28"/>
        <v>241</v>
      </c>
      <c r="D234" s="4">
        <f>IF(B234&gt;'Mortality Table'!$A$118,D233,VLOOKUP(B234,'Mortality Table'!$A$2:$B$118,2,FALSE))</f>
        <v>2.1739999999999999E-2</v>
      </c>
      <c r="E234" s="4">
        <f>IF(INT((C234-1)/12)+1&gt;'Lapse Table'!$A$11,E233,VLOOKUP(INT((C234-1)/12)+1,'Lapse Table'!$A$2:$B$11,2,FALSE))/12</f>
        <v>2.187197406180157E-134</v>
      </c>
      <c r="F234" s="5">
        <f t="shared" si="35"/>
        <v>0.36972930104583357</v>
      </c>
      <c r="G234" s="6">
        <f t="shared" si="29"/>
        <v>1.8116666666666665E-3</v>
      </c>
      <c r="H234" s="6">
        <f t="shared" si="30"/>
        <v>2.1634225703749785E-134</v>
      </c>
      <c r="I234" s="7">
        <f t="shared" si="31"/>
        <v>12.324310034861119</v>
      </c>
      <c r="J234" s="8">
        <f t="shared" si="32"/>
        <v>1811.6666666666665</v>
      </c>
      <c r="K234" s="7">
        <f t="shared" si="33"/>
        <v>-1799.3423566318054</v>
      </c>
      <c r="L234" s="4">
        <f>IF(A234&gt;'Yield Curve'!A848,L233,(1+VLOOKUP(A234,'Yield Curve'!A227:B849,2,FALSE))^(1/12)-1)</f>
        <v>7.9741404289037643E-3</v>
      </c>
      <c r="M234" s="5">
        <f t="shared" si="34"/>
        <v>-298.91765477892739</v>
      </c>
    </row>
    <row r="235" spans="1:13" x14ac:dyDescent="0.25">
      <c r="A235" s="4">
        <v>227</v>
      </c>
      <c r="B235" s="4">
        <f t="shared" si="27"/>
        <v>63</v>
      </c>
      <c r="C235" s="4">
        <f t="shared" si="28"/>
        <v>242</v>
      </c>
      <c r="D235" s="4">
        <f>IF(B235&gt;'Mortality Table'!$A$118,D234,VLOOKUP(B235,'Mortality Table'!$A$2:$B$118,2,FALSE))</f>
        <v>2.1739999999999999E-2</v>
      </c>
      <c r="E235" s="4">
        <f>IF(INT((C235-1)/12)+1&gt;'Lapse Table'!$A$11,E234,VLOOKUP(INT((C235-1)/12)+1,'Lapse Table'!$A$2:$B$11,2,FALSE))/12</f>
        <v>1.8226645051501307E-135</v>
      </c>
      <c r="F235" s="5">
        <f t="shared" si="35"/>
        <v>0.36791763437916691</v>
      </c>
      <c r="G235" s="6">
        <f t="shared" si="29"/>
        <v>1.8116666666666665E-3</v>
      </c>
      <c r="H235" s="6">
        <f t="shared" si="30"/>
        <v>1.8028521419791487E-135</v>
      </c>
      <c r="I235" s="7">
        <f t="shared" si="31"/>
        <v>12.263921145972231</v>
      </c>
      <c r="J235" s="8">
        <f t="shared" si="32"/>
        <v>1811.6666666666665</v>
      </c>
      <c r="K235" s="7">
        <f t="shared" si="33"/>
        <v>-1799.4027455206942</v>
      </c>
      <c r="L235" s="4">
        <f>IF(A235&gt;'Yield Curve'!A849,L234,(1+VLOOKUP(A235,'Yield Curve'!A228:B850,2,FALSE))^(1/12)-1)</f>
        <v>7.9741404289037643E-3</v>
      </c>
      <c r="M235" s="5">
        <f t="shared" si="34"/>
        <v>-296.56285311035703</v>
      </c>
    </row>
    <row r="236" spans="1:13" x14ac:dyDescent="0.25">
      <c r="A236" s="4">
        <v>228</v>
      </c>
      <c r="B236" s="4">
        <f t="shared" si="27"/>
        <v>64</v>
      </c>
      <c r="C236" s="4">
        <f t="shared" si="28"/>
        <v>243</v>
      </c>
      <c r="D236" s="4">
        <f>IF(B236&gt;'Mortality Table'!$A$118,D235,VLOOKUP(B236,'Mortality Table'!$A$2:$B$118,2,FALSE))</f>
        <v>2.384E-2</v>
      </c>
      <c r="E236" s="4">
        <f>IF(INT((C236-1)/12)+1&gt;'Lapse Table'!$A$11,E235,VLOOKUP(INT((C236-1)/12)+1,'Lapse Table'!$A$2:$B$11,2,FALSE))/12</f>
        <v>1.5188870876251089E-136</v>
      </c>
      <c r="F236" s="5">
        <f t="shared" si="35"/>
        <v>0.36593096771250022</v>
      </c>
      <c r="G236" s="6">
        <f t="shared" si="29"/>
        <v>1.9866666666666665E-3</v>
      </c>
      <c r="H236" s="6">
        <f t="shared" si="30"/>
        <v>1.5007819535406175E-136</v>
      </c>
      <c r="I236" s="7">
        <f t="shared" si="31"/>
        <v>12.197698923750009</v>
      </c>
      <c r="J236" s="8">
        <f t="shared" si="32"/>
        <v>1986.6666666666665</v>
      </c>
      <c r="K236" s="7">
        <f t="shared" si="33"/>
        <v>-1974.4689677429164</v>
      </c>
      <c r="L236" s="4">
        <f>IF(A236&gt;'Yield Curve'!A850,L235,(1+VLOOKUP(A236,'Yield Curve'!A229:B851,2,FALSE))^(1/12)-1)</f>
        <v>7.9741404289037643E-3</v>
      </c>
      <c r="M236" s="5">
        <f t="shared" si="34"/>
        <v>-322.84145386503025</v>
      </c>
    </row>
    <row r="237" spans="1:13" x14ac:dyDescent="0.25">
      <c r="A237" s="4">
        <v>229</v>
      </c>
      <c r="B237" s="4">
        <f t="shared" si="27"/>
        <v>64</v>
      </c>
      <c r="C237" s="4">
        <f t="shared" si="28"/>
        <v>244</v>
      </c>
      <c r="D237" s="4">
        <f>IF(B237&gt;'Mortality Table'!$A$118,D236,VLOOKUP(B237,'Mortality Table'!$A$2:$B$118,2,FALSE))</f>
        <v>2.384E-2</v>
      </c>
      <c r="E237" s="4">
        <f>IF(INT((C237-1)/12)+1&gt;'Lapse Table'!$A$11,E236,VLOOKUP(INT((C237-1)/12)+1,'Lapse Table'!$A$2:$B$11,2,FALSE))/12</f>
        <v>1.2657392396875908E-137</v>
      </c>
      <c r="F237" s="5">
        <f t="shared" si="35"/>
        <v>0.36394430104583353</v>
      </c>
      <c r="G237" s="6">
        <f t="shared" si="29"/>
        <v>1.9866666666666665E-3</v>
      </c>
      <c r="H237" s="6">
        <f t="shared" si="30"/>
        <v>1.2506516279505146E-137</v>
      </c>
      <c r="I237" s="7">
        <f t="shared" si="31"/>
        <v>12.131476701527783</v>
      </c>
      <c r="J237" s="8">
        <f t="shared" si="32"/>
        <v>1986.6666666666665</v>
      </c>
      <c r="K237" s="7">
        <f t="shared" si="33"/>
        <v>-1974.5351899651387</v>
      </c>
      <c r="L237" s="4">
        <f>IF(A237&gt;'Yield Curve'!A851,L236,(1+VLOOKUP(A237,'Yield Curve'!A230:B852,2,FALSE))^(1/12)-1)</f>
        <v>7.9741404289037643E-3</v>
      </c>
      <c r="M237" s="5">
        <f t="shared" si="34"/>
        <v>-320.29817906851946</v>
      </c>
    </row>
    <row r="238" spans="1:13" x14ac:dyDescent="0.25">
      <c r="A238" s="4">
        <v>230</v>
      </c>
      <c r="B238" s="4">
        <f t="shared" si="27"/>
        <v>64</v>
      </c>
      <c r="C238" s="4">
        <f t="shared" si="28"/>
        <v>245</v>
      </c>
      <c r="D238" s="4">
        <f>IF(B238&gt;'Mortality Table'!$A$118,D237,VLOOKUP(B238,'Mortality Table'!$A$2:$B$118,2,FALSE))</f>
        <v>2.384E-2</v>
      </c>
      <c r="E238" s="4">
        <f>IF(INT((C238-1)/12)+1&gt;'Lapse Table'!$A$11,E237,VLOOKUP(INT((C238-1)/12)+1,'Lapse Table'!$A$2:$B$11,2,FALSE))/12</f>
        <v>1.0547826997396591E-138</v>
      </c>
      <c r="F238" s="5">
        <f t="shared" si="35"/>
        <v>0.36195763437916684</v>
      </c>
      <c r="G238" s="6">
        <f t="shared" si="29"/>
        <v>1.9866666666666665E-3</v>
      </c>
      <c r="H238" s="6">
        <f t="shared" si="30"/>
        <v>1.0422096899587622E-138</v>
      </c>
      <c r="I238" s="7">
        <f t="shared" si="31"/>
        <v>12.06525447930556</v>
      </c>
      <c r="J238" s="8">
        <f t="shared" si="32"/>
        <v>1986.6666666666665</v>
      </c>
      <c r="K238" s="7">
        <f t="shared" si="33"/>
        <v>-1974.6014121873609</v>
      </c>
      <c r="L238" s="4">
        <f>IF(A238&gt;'Yield Curve'!A852,L237,(1+VLOOKUP(A238,'Yield Curve'!A231:B853,2,FALSE))^(1/12)-1)</f>
        <v>7.9741404289037643E-3</v>
      </c>
      <c r="M238" s="5">
        <f t="shared" si="34"/>
        <v>-317.77493928058072</v>
      </c>
    </row>
    <row r="239" spans="1:13" x14ac:dyDescent="0.25">
      <c r="A239" s="4">
        <v>231</v>
      </c>
      <c r="B239" s="4">
        <f t="shared" si="27"/>
        <v>64</v>
      </c>
      <c r="C239" s="4">
        <f t="shared" si="28"/>
        <v>246</v>
      </c>
      <c r="D239" s="4">
        <f>IF(B239&gt;'Mortality Table'!$A$118,D238,VLOOKUP(B239,'Mortality Table'!$A$2:$B$118,2,FALSE))</f>
        <v>2.384E-2</v>
      </c>
      <c r="E239" s="4">
        <f>IF(INT((C239-1)/12)+1&gt;'Lapse Table'!$A$11,E238,VLOOKUP(INT((C239-1)/12)+1,'Lapse Table'!$A$2:$B$11,2,FALSE))/12</f>
        <v>8.7898558311638261E-140</v>
      </c>
      <c r="F239" s="5">
        <f t="shared" si="35"/>
        <v>0.35997096771250015</v>
      </c>
      <c r="G239" s="6">
        <f t="shared" si="29"/>
        <v>1.9866666666666665E-3</v>
      </c>
      <c r="H239" s="6">
        <f t="shared" si="30"/>
        <v>8.6850807496563533E-140</v>
      </c>
      <c r="I239" s="7">
        <f t="shared" si="31"/>
        <v>11.999032257083337</v>
      </c>
      <c r="J239" s="8">
        <f t="shared" si="32"/>
        <v>1986.6666666666665</v>
      </c>
      <c r="K239" s="7">
        <f t="shared" si="33"/>
        <v>-1974.6676344095831</v>
      </c>
      <c r="L239" s="4">
        <f>IF(A239&gt;'Yield Curve'!A853,L238,(1+VLOOKUP(A239,'Yield Curve'!A232:B854,2,FALSE))^(1/12)-1)</f>
        <v>7.9741404289037643E-3</v>
      </c>
      <c r="M239" s="5">
        <f t="shared" si="34"/>
        <v>-315.27157667542713</v>
      </c>
    </row>
    <row r="240" spans="1:13" x14ac:dyDescent="0.25">
      <c r="A240" s="4">
        <v>232</v>
      </c>
      <c r="B240" s="4">
        <f t="shared" si="27"/>
        <v>64</v>
      </c>
      <c r="C240" s="4">
        <f t="shared" si="28"/>
        <v>247</v>
      </c>
      <c r="D240" s="4">
        <f>IF(B240&gt;'Mortality Table'!$A$118,D239,VLOOKUP(B240,'Mortality Table'!$A$2:$B$118,2,FALSE))</f>
        <v>2.384E-2</v>
      </c>
      <c r="E240" s="4">
        <f>IF(INT((C240-1)/12)+1&gt;'Lapse Table'!$A$11,E239,VLOOKUP(INT((C240-1)/12)+1,'Lapse Table'!$A$2:$B$11,2,FALSE))/12</f>
        <v>7.3248798593031888E-141</v>
      </c>
      <c r="F240" s="5">
        <f t="shared" si="35"/>
        <v>0.35798430104583345</v>
      </c>
      <c r="G240" s="6">
        <f t="shared" si="29"/>
        <v>1.9866666666666665E-3</v>
      </c>
      <c r="H240" s="6">
        <f t="shared" si="30"/>
        <v>7.2375672913802944E-141</v>
      </c>
      <c r="I240" s="7">
        <f t="shared" si="31"/>
        <v>11.932810034861115</v>
      </c>
      <c r="J240" s="8">
        <f t="shared" si="32"/>
        <v>1986.6666666666665</v>
      </c>
      <c r="K240" s="7">
        <f t="shared" si="33"/>
        <v>-1974.7338566318053</v>
      </c>
      <c r="L240" s="4">
        <f>IF(A240&gt;'Yield Curve'!A854,L239,(1+VLOOKUP(A240,'Yield Curve'!A233:B855,2,FALSE))^(1/12)-1)</f>
        <v>7.9741404289037643E-3</v>
      </c>
      <c r="M240" s="5">
        <f t="shared" si="34"/>
        <v>-312.78793467052174</v>
      </c>
    </row>
    <row r="241" spans="1:13" x14ac:dyDescent="0.25">
      <c r="A241" s="4">
        <v>233</v>
      </c>
      <c r="B241" s="4">
        <f t="shared" si="27"/>
        <v>64</v>
      </c>
      <c r="C241" s="4">
        <f t="shared" si="28"/>
        <v>248</v>
      </c>
      <c r="D241" s="4">
        <f>IF(B241&gt;'Mortality Table'!$A$118,D240,VLOOKUP(B241,'Mortality Table'!$A$2:$B$118,2,FALSE))</f>
        <v>2.384E-2</v>
      </c>
      <c r="E241" s="4">
        <f>IF(INT((C241-1)/12)+1&gt;'Lapse Table'!$A$11,E240,VLOOKUP(INT((C241-1)/12)+1,'Lapse Table'!$A$2:$B$11,2,FALSE))/12</f>
        <v>6.104066549419324E-142</v>
      </c>
      <c r="F241" s="5">
        <f t="shared" si="35"/>
        <v>0.35599763437916676</v>
      </c>
      <c r="G241" s="6">
        <f t="shared" si="29"/>
        <v>1.9866666666666665E-3</v>
      </c>
      <c r="H241" s="6">
        <f t="shared" si="30"/>
        <v>6.0313060761502456E-142</v>
      </c>
      <c r="I241" s="7">
        <f t="shared" si="31"/>
        <v>11.866587812638892</v>
      </c>
      <c r="J241" s="8">
        <f t="shared" si="32"/>
        <v>1986.6666666666665</v>
      </c>
      <c r="K241" s="7">
        <f t="shared" si="33"/>
        <v>-1974.8000788540276</v>
      </c>
      <c r="L241" s="4">
        <f>IF(A241&gt;'Yield Curve'!A855,L240,(1+VLOOKUP(A241,'Yield Curve'!A234:B856,2,FALSE))^(1/12)-1)</f>
        <v>7.9741404289037643E-3</v>
      </c>
      <c r="M241" s="5">
        <f t="shared" si="34"/>
        <v>-310.32385791678439</v>
      </c>
    </row>
    <row r="242" spans="1:13" x14ac:dyDescent="0.25">
      <c r="A242" s="4">
        <v>234</v>
      </c>
      <c r="B242" s="4">
        <f t="shared" si="27"/>
        <v>64</v>
      </c>
      <c r="C242" s="4">
        <f t="shared" si="28"/>
        <v>249</v>
      </c>
      <c r="D242" s="4">
        <f>IF(B242&gt;'Mortality Table'!$A$118,D241,VLOOKUP(B242,'Mortality Table'!$A$2:$B$118,2,FALSE))</f>
        <v>2.384E-2</v>
      </c>
      <c r="E242" s="4">
        <f>IF(INT((C242-1)/12)+1&gt;'Lapse Table'!$A$11,E241,VLOOKUP(INT((C242-1)/12)+1,'Lapse Table'!$A$2:$B$11,2,FALSE))/12</f>
        <v>5.0867221245161033E-143</v>
      </c>
      <c r="F242" s="5">
        <f t="shared" si="35"/>
        <v>0.35401096771250007</v>
      </c>
      <c r="G242" s="6">
        <f t="shared" si="29"/>
        <v>1.9866666666666665E-3</v>
      </c>
      <c r="H242" s="6">
        <f t="shared" si="30"/>
        <v>5.026088396791871E-143</v>
      </c>
      <c r="I242" s="7">
        <f t="shared" si="31"/>
        <v>11.80036559041667</v>
      </c>
      <c r="J242" s="8">
        <f t="shared" si="32"/>
        <v>1986.6666666666665</v>
      </c>
      <c r="K242" s="7">
        <f t="shared" si="33"/>
        <v>-1974.8663010762498</v>
      </c>
      <c r="L242" s="4">
        <f>IF(A242&gt;'Yield Curve'!A856,L241,(1+VLOOKUP(A242,'Yield Curve'!A235:B857,2,FALSE))^(1/12)-1)</f>
        <v>7.9741404289037643E-3</v>
      </c>
      <c r="M242" s="5">
        <f t="shared" si="34"/>
        <v>-307.8791922888754</v>
      </c>
    </row>
    <row r="243" spans="1:13" x14ac:dyDescent="0.25">
      <c r="A243" s="4">
        <v>235</v>
      </c>
      <c r="B243" s="4">
        <f t="shared" si="27"/>
        <v>64</v>
      </c>
      <c r="C243" s="4">
        <f t="shared" si="28"/>
        <v>250</v>
      </c>
      <c r="D243" s="4">
        <f>IF(B243&gt;'Mortality Table'!$A$118,D242,VLOOKUP(B243,'Mortality Table'!$A$2:$B$118,2,FALSE))</f>
        <v>2.384E-2</v>
      </c>
      <c r="E243" s="4">
        <f>IF(INT((C243-1)/12)+1&gt;'Lapse Table'!$A$11,E242,VLOOKUP(INT((C243-1)/12)+1,'Lapse Table'!$A$2:$B$11,2,FALSE))/12</f>
        <v>4.2389351037634194E-144</v>
      </c>
      <c r="F243" s="5">
        <f t="shared" si="35"/>
        <v>0.35202430104583338</v>
      </c>
      <c r="G243" s="6">
        <f t="shared" si="29"/>
        <v>1.9866666666666665E-3</v>
      </c>
      <c r="H243" s="6">
        <f t="shared" si="30"/>
        <v>4.1884069973265596E-144</v>
      </c>
      <c r="I243" s="7">
        <f t="shared" si="31"/>
        <v>11.734143368194445</v>
      </c>
      <c r="J243" s="8">
        <f t="shared" si="32"/>
        <v>1986.6666666666665</v>
      </c>
      <c r="K243" s="7">
        <f t="shared" si="33"/>
        <v>-1974.932523298472</v>
      </c>
      <c r="L243" s="4">
        <f>IF(A243&gt;'Yield Curve'!A857,L242,(1+VLOOKUP(A243,'Yield Curve'!A236:B858,2,FALSE))^(1/12)-1)</f>
        <v>7.9741404289037643E-3</v>
      </c>
      <c r="M243" s="5">
        <f t="shared" si="34"/>
        <v>-305.45378487555632</v>
      </c>
    </row>
    <row r="244" spans="1:13" x14ac:dyDescent="0.25">
      <c r="A244" s="4">
        <v>236</v>
      </c>
      <c r="B244" s="4">
        <f t="shared" si="27"/>
        <v>64</v>
      </c>
      <c r="C244" s="4">
        <f t="shared" si="28"/>
        <v>251</v>
      </c>
      <c r="D244" s="4">
        <f>IF(B244&gt;'Mortality Table'!$A$118,D243,VLOOKUP(B244,'Mortality Table'!$A$2:$B$118,2,FALSE))</f>
        <v>2.384E-2</v>
      </c>
      <c r="E244" s="4">
        <f>IF(INT((C244-1)/12)+1&gt;'Lapse Table'!$A$11,E243,VLOOKUP(INT((C244-1)/12)+1,'Lapse Table'!$A$2:$B$11,2,FALSE))/12</f>
        <v>3.5324459198028498E-145</v>
      </c>
      <c r="F244" s="5">
        <f t="shared" si="35"/>
        <v>0.35003763437916668</v>
      </c>
      <c r="G244" s="6">
        <f t="shared" si="29"/>
        <v>1.9866666666666665E-3</v>
      </c>
      <c r="H244" s="6">
        <f t="shared" si="30"/>
        <v>3.4903391644387996E-145</v>
      </c>
      <c r="I244" s="7">
        <f t="shared" si="31"/>
        <v>11.667921145972223</v>
      </c>
      <c r="J244" s="8">
        <f t="shared" si="32"/>
        <v>1986.6666666666665</v>
      </c>
      <c r="K244" s="7">
        <f t="shared" si="33"/>
        <v>-1974.9987455206942</v>
      </c>
      <c r="L244" s="4">
        <f>IF(A244&gt;'Yield Curve'!A858,L243,(1+VLOOKUP(A244,'Yield Curve'!A237:B859,2,FALSE))^(1/12)-1)</f>
        <v>7.9741404289037643E-3</v>
      </c>
      <c r="M244" s="5">
        <f t="shared" si="34"/>
        <v>-303.04748397012537</v>
      </c>
    </row>
    <row r="245" spans="1:13" x14ac:dyDescent="0.25">
      <c r="A245" s="4">
        <v>237</v>
      </c>
      <c r="B245" s="4">
        <f t="shared" si="27"/>
        <v>64</v>
      </c>
      <c r="C245" s="4">
        <f t="shared" si="28"/>
        <v>252</v>
      </c>
      <c r="D245" s="4">
        <f>IF(B245&gt;'Mortality Table'!$A$118,D244,VLOOKUP(B245,'Mortality Table'!$A$2:$B$118,2,FALSE))</f>
        <v>2.384E-2</v>
      </c>
      <c r="E245" s="4">
        <f>IF(INT((C245-1)/12)+1&gt;'Lapse Table'!$A$11,E244,VLOOKUP(INT((C245-1)/12)+1,'Lapse Table'!$A$2:$B$11,2,FALSE))/12</f>
        <v>2.9437049331690413E-146</v>
      </c>
      <c r="F245" s="5">
        <f t="shared" si="35"/>
        <v>0.34805096771249999</v>
      </c>
      <c r="G245" s="6">
        <f t="shared" si="29"/>
        <v>1.9866666666666665E-3</v>
      </c>
      <c r="H245" s="6">
        <f t="shared" si="30"/>
        <v>2.9086159703656661E-146</v>
      </c>
      <c r="I245" s="7">
        <f t="shared" si="31"/>
        <v>11.60169892375</v>
      </c>
      <c r="J245" s="8">
        <f t="shared" si="32"/>
        <v>1986.6666666666665</v>
      </c>
      <c r="K245" s="7">
        <f t="shared" si="33"/>
        <v>-1975.0649677429165</v>
      </c>
      <c r="L245" s="4">
        <f>IF(A245&gt;'Yield Curve'!A859,L244,(1+VLOOKUP(A245,'Yield Curve'!A238:B860,2,FALSE))^(1/12)-1)</f>
        <v>7.9741404289037643E-3</v>
      </c>
      <c r="M245" s="5">
        <f t="shared" si="34"/>
        <v>-300.66013906093013</v>
      </c>
    </row>
    <row r="246" spans="1:13" x14ac:dyDescent="0.25">
      <c r="A246" s="4">
        <v>238</v>
      </c>
      <c r="B246" s="4">
        <f t="shared" si="27"/>
        <v>64</v>
      </c>
      <c r="C246" s="4">
        <f t="shared" si="28"/>
        <v>253</v>
      </c>
      <c r="D246" s="4">
        <f>IF(B246&gt;'Mortality Table'!$A$118,D245,VLOOKUP(B246,'Mortality Table'!$A$2:$B$118,2,FALSE))</f>
        <v>2.384E-2</v>
      </c>
      <c r="E246" s="4">
        <f>IF(INT((C246-1)/12)+1&gt;'Lapse Table'!$A$11,E245,VLOOKUP(INT((C246-1)/12)+1,'Lapse Table'!$A$2:$B$11,2,FALSE))/12</f>
        <v>2.4530874443075343E-147</v>
      </c>
      <c r="F246" s="5">
        <f t="shared" si="35"/>
        <v>0.3460643010458333</v>
      </c>
      <c r="G246" s="6">
        <f t="shared" si="29"/>
        <v>1.9866666666666665E-3</v>
      </c>
      <c r="H246" s="6">
        <f t="shared" si="30"/>
        <v>2.4238466419713885E-147</v>
      </c>
      <c r="I246" s="7">
        <f t="shared" si="31"/>
        <v>11.535476701527777</v>
      </c>
      <c r="J246" s="8">
        <f t="shared" si="32"/>
        <v>1986.6666666666665</v>
      </c>
      <c r="K246" s="7">
        <f t="shared" si="33"/>
        <v>-1975.1311899651387</v>
      </c>
      <c r="L246" s="4">
        <f>IF(A246&gt;'Yield Curve'!A860,L245,(1+VLOOKUP(A246,'Yield Curve'!A239:B861,2,FALSE))^(1/12)-1)</f>
        <v>7.9741404289037643E-3</v>
      </c>
      <c r="M246" s="5">
        <f t="shared" si="34"/>
        <v>-298.29160082195301</v>
      </c>
    </row>
    <row r="247" spans="1:13" x14ac:dyDescent="0.25">
      <c r="A247" s="4">
        <v>239</v>
      </c>
      <c r="B247" s="4">
        <f t="shared" si="27"/>
        <v>64</v>
      </c>
      <c r="C247" s="4">
        <f t="shared" si="28"/>
        <v>254</v>
      </c>
      <c r="D247" s="4">
        <f>IF(B247&gt;'Mortality Table'!$A$118,D246,VLOOKUP(B247,'Mortality Table'!$A$2:$B$118,2,FALSE))</f>
        <v>2.384E-2</v>
      </c>
      <c r="E247" s="4">
        <f>IF(INT((C247-1)/12)+1&gt;'Lapse Table'!$A$11,E246,VLOOKUP(INT((C247-1)/12)+1,'Lapse Table'!$A$2:$B$11,2,FALSE))/12</f>
        <v>2.0442395369229453E-148</v>
      </c>
      <c r="F247" s="5">
        <f t="shared" si="35"/>
        <v>0.34407763437916661</v>
      </c>
      <c r="G247" s="6">
        <f t="shared" si="29"/>
        <v>1.9866666666666665E-3</v>
      </c>
      <c r="H247" s="6">
        <f t="shared" si="30"/>
        <v>2.0198722016428236E-148</v>
      </c>
      <c r="I247" s="7">
        <f t="shared" si="31"/>
        <v>11.469254479305555</v>
      </c>
      <c r="J247" s="8">
        <f t="shared" si="32"/>
        <v>1986.6666666666665</v>
      </c>
      <c r="K247" s="7">
        <f t="shared" si="33"/>
        <v>-1975.1974121873609</v>
      </c>
      <c r="L247" s="4">
        <f>IF(A247&gt;'Yield Curve'!A861,L246,(1+VLOOKUP(A247,'Yield Curve'!A240:B862,2,FALSE))^(1/12)-1)</f>
        <v>7.9741404289037643E-3</v>
      </c>
      <c r="M247" s="5">
        <f t="shared" si="34"/>
        <v>-295.94172110347182</v>
      </c>
    </row>
    <row r="248" spans="1:13" x14ac:dyDescent="0.25">
      <c r="A248" s="4">
        <v>240</v>
      </c>
      <c r="B248" s="4">
        <f t="shared" si="27"/>
        <v>65</v>
      </c>
      <c r="C248" s="4">
        <f t="shared" si="28"/>
        <v>255</v>
      </c>
      <c r="D248" s="4">
        <f>IF(B248&gt;'Mortality Table'!$A$118,D247,VLOOKUP(B248,'Mortality Table'!$A$2:$B$118,2,FALSE))</f>
        <v>2.6120000000000001E-2</v>
      </c>
      <c r="E248" s="4">
        <f>IF(INT((C248-1)/12)+1&gt;'Lapse Table'!$A$11,E247,VLOOKUP(INT((C248-1)/12)+1,'Lapse Table'!$A$2:$B$11,2,FALSE))/12</f>
        <v>1.7035329474357877E-149</v>
      </c>
      <c r="F248" s="5">
        <f t="shared" si="35"/>
        <v>0.34190096771249995</v>
      </c>
      <c r="G248" s="6">
        <f t="shared" si="29"/>
        <v>2.1766666666666666E-3</v>
      </c>
      <c r="H248" s="6">
        <f t="shared" si="30"/>
        <v>1.6812848071422765E-149</v>
      </c>
      <c r="I248" s="7">
        <f t="shared" si="31"/>
        <v>11.39669892375</v>
      </c>
      <c r="J248" s="8">
        <f t="shared" si="32"/>
        <v>2176.6666666666665</v>
      </c>
      <c r="K248" s="7">
        <f t="shared" si="33"/>
        <v>-2165.2699677429164</v>
      </c>
      <c r="L248" s="4">
        <f>IF(A248&gt;'Yield Curve'!A862,L247,(1+VLOOKUP(A248,'Yield Curve'!A241:B863,2,FALSE))^(1/12)-1)</f>
        <v>7.9741404289037643E-3</v>
      </c>
      <c r="M248" s="5">
        <f t="shared" si="34"/>
        <v>-321.85358365702558</v>
      </c>
    </row>
    <row r="249" spans="1:13" x14ac:dyDescent="0.25">
      <c r="A249" s="4">
        <v>241</v>
      </c>
      <c r="B249" s="4">
        <f t="shared" si="27"/>
        <v>65</v>
      </c>
      <c r="C249" s="4">
        <f t="shared" si="28"/>
        <v>256</v>
      </c>
      <c r="D249" s="4">
        <f>IF(B249&gt;'Mortality Table'!$A$118,D248,VLOOKUP(B249,'Mortality Table'!$A$2:$B$118,2,FALSE))</f>
        <v>2.6120000000000001E-2</v>
      </c>
      <c r="E249" s="4">
        <f>IF(INT((C249-1)/12)+1&gt;'Lapse Table'!$A$11,E248,VLOOKUP(INT((C249-1)/12)+1,'Lapse Table'!$A$2:$B$11,2,FALSE))/12</f>
        <v>1.4196107895298232E-150</v>
      </c>
      <c r="F249" s="5">
        <f t="shared" si="35"/>
        <v>0.33972430104583329</v>
      </c>
      <c r="G249" s="6">
        <f t="shared" si="29"/>
        <v>2.1766666666666666E-3</v>
      </c>
      <c r="H249" s="6">
        <f t="shared" si="30"/>
        <v>1.4010706726185636E-150</v>
      </c>
      <c r="I249" s="7">
        <f t="shared" si="31"/>
        <v>11.324143368194443</v>
      </c>
      <c r="J249" s="8">
        <f t="shared" si="32"/>
        <v>2176.6666666666665</v>
      </c>
      <c r="K249" s="7">
        <f t="shared" si="33"/>
        <v>-2165.3425232984719</v>
      </c>
      <c r="L249" s="4">
        <f>IF(A249&gt;'Yield Curve'!A863,L248,(1+VLOOKUP(A249,'Yield Curve'!A242:B864,2,FALSE))^(1/12)-1)</f>
        <v>7.9741404289037643E-3</v>
      </c>
      <c r="M249" s="5">
        <f t="shared" si="34"/>
        <v>-319.31808135581718</v>
      </c>
    </row>
    <row r="250" spans="1:13" x14ac:dyDescent="0.25">
      <c r="A250" s="4">
        <v>242</v>
      </c>
      <c r="B250" s="4">
        <f t="shared" si="27"/>
        <v>65</v>
      </c>
      <c r="C250" s="4">
        <f t="shared" si="28"/>
        <v>257</v>
      </c>
      <c r="D250" s="4">
        <f>IF(B250&gt;'Mortality Table'!$A$118,D249,VLOOKUP(B250,'Mortality Table'!$A$2:$B$118,2,FALSE))</f>
        <v>2.6120000000000001E-2</v>
      </c>
      <c r="E250" s="4">
        <f>IF(INT((C250-1)/12)+1&gt;'Lapse Table'!$A$11,E249,VLOOKUP(INT((C250-1)/12)+1,'Lapse Table'!$A$2:$B$11,2,FALSE))/12</f>
        <v>1.1830089912748527E-151</v>
      </c>
      <c r="F250" s="5">
        <f t="shared" si="35"/>
        <v>0.33754763437916663</v>
      </c>
      <c r="G250" s="6">
        <f t="shared" si="29"/>
        <v>2.1766666666666666E-3</v>
      </c>
      <c r="H250" s="6">
        <f t="shared" si="30"/>
        <v>1.1675588938488032E-151</v>
      </c>
      <c r="I250" s="7">
        <f t="shared" si="31"/>
        <v>11.251587812638888</v>
      </c>
      <c r="J250" s="8">
        <f t="shared" si="32"/>
        <v>2176.6666666666665</v>
      </c>
      <c r="K250" s="7">
        <f t="shared" si="33"/>
        <v>-2165.4150788540278</v>
      </c>
      <c r="L250" s="4">
        <f>IF(A250&gt;'Yield Curve'!A864,L249,(1+VLOOKUP(A250,'Yield Curve'!A243:B865,2,FALSE))^(1/12)-1)</f>
        <v>7.9741404289037643E-3</v>
      </c>
      <c r="M250" s="5">
        <f t="shared" si="34"/>
        <v>-316.80255291155635</v>
      </c>
    </row>
    <row r="251" spans="1:13" x14ac:dyDescent="0.25">
      <c r="A251" s="4">
        <v>243</v>
      </c>
      <c r="B251" s="4">
        <f t="shared" si="27"/>
        <v>65</v>
      </c>
      <c r="C251" s="4">
        <f t="shared" si="28"/>
        <v>258</v>
      </c>
      <c r="D251" s="4">
        <f>IF(B251&gt;'Mortality Table'!$A$118,D250,VLOOKUP(B251,'Mortality Table'!$A$2:$B$118,2,FALSE))</f>
        <v>2.6120000000000001E-2</v>
      </c>
      <c r="E251" s="4">
        <f>IF(INT((C251-1)/12)+1&gt;'Lapse Table'!$A$11,E250,VLOOKUP(INT((C251-1)/12)+1,'Lapse Table'!$A$2:$B$11,2,FALSE))/12</f>
        <v>9.858408260623773E-153</v>
      </c>
      <c r="F251" s="5">
        <f t="shared" si="35"/>
        <v>0.33537096771249997</v>
      </c>
      <c r="G251" s="6">
        <f t="shared" si="29"/>
        <v>2.1766666666666666E-3</v>
      </c>
      <c r="H251" s="6">
        <f t="shared" si="30"/>
        <v>9.7296574487400259E-153</v>
      </c>
      <c r="I251" s="7">
        <f t="shared" si="31"/>
        <v>11.179032257083334</v>
      </c>
      <c r="J251" s="8">
        <f t="shared" si="32"/>
        <v>2176.6666666666665</v>
      </c>
      <c r="K251" s="7">
        <f t="shared" si="33"/>
        <v>-2165.4876344095833</v>
      </c>
      <c r="L251" s="4">
        <f>IF(A251&gt;'Yield Curve'!A865,L250,(1+VLOOKUP(A251,'Yield Curve'!A244:B866,2,FALSE))^(1/12)-1)</f>
        <v>7.9741404289037643E-3</v>
      </c>
      <c r="M251" s="5">
        <f t="shared" si="34"/>
        <v>-314.30684097956345</v>
      </c>
    </row>
    <row r="252" spans="1:13" x14ac:dyDescent="0.25">
      <c r="A252" s="4">
        <v>244</v>
      </c>
      <c r="B252" s="4">
        <f t="shared" si="27"/>
        <v>65</v>
      </c>
      <c r="C252" s="4">
        <f t="shared" si="28"/>
        <v>259</v>
      </c>
      <c r="D252" s="4">
        <f>IF(B252&gt;'Mortality Table'!$A$118,D251,VLOOKUP(B252,'Mortality Table'!$A$2:$B$118,2,FALSE))</f>
        <v>2.6120000000000001E-2</v>
      </c>
      <c r="E252" s="4">
        <f>IF(INT((C252-1)/12)+1&gt;'Lapse Table'!$A$11,E251,VLOOKUP(INT((C252-1)/12)+1,'Lapse Table'!$A$2:$B$11,2,FALSE))/12</f>
        <v>8.215340217186477E-154</v>
      </c>
      <c r="F252" s="5">
        <f t="shared" si="35"/>
        <v>0.33319430104583331</v>
      </c>
      <c r="G252" s="6">
        <f t="shared" si="29"/>
        <v>2.1766666666666666E-3</v>
      </c>
      <c r="H252" s="6">
        <f t="shared" si="30"/>
        <v>8.1080478739500225E-154</v>
      </c>
      <c r="I252" s="7">
        <f t="shared" si="31"/>
        <v>11.106476701527777</v>
      </c>
      <c r="J252" s="8">
        <f t="shared" si="32"/>
        <v>2176.6666666666665</v>
      </c>
      <c r="K252" s="7">
        <f t="shared" si="33"/>
        <v>-2165.5601899651388</v>
      </c>
      <c r="L252" s="4">
        <f>IF(A252&gt;'Yield Curve'!A866,L251,(1+VLOOKUP(A252,'Yield Curve'!A245:B867,2,FALSE))^(1/12)-1)</f>
        <v>7.9741404289037643E-3</v>
      </c>
      <c r="M252" s="5">
        <f t="shared" si="34"/>
        <v>-311.83078945462455</v>
      </c>
    </row>
    <row r="253" spans="1:13" x14ac:dyDescent="0.25">
      <c r="A253" s="4">
        <v>245</v>
      </c>
      <c r="B253" s="4">
        <f t="shared" si="27"/>
        <v>65</v>
      </c>
      <c r="C253" s="4">
        <f t="shared" si="28"/>
        <v>260</v>
      </c>
      <c r="D253" s="4">
        <f>IF(B253&gt;'Mortality Table'!$A$118,D252,VLOOKUP(B253,'Mortality Table'!$A$2:$B$118,2,FALSE))</f>
        <v>2.6120000000000001E-2</v>
      </c>
      <c r="E253" s="4">
        <f>IF(INT((C253-1)/12)+1&gt;'Lapse Table'!$A$11,E252,VLOOKUP(INT((C253-1)/12)+1,'Lapse Table'!$A$2:$B$11,2,FALSE))/12</f>
        <v>6.8461168476553978E-155</v>
      </c>
      <c r="F253" s="5">
        <f t="shared" si="35"/>
        <v>0.33101763437916665</v>
      </c>
      <c r="G253" s="6">
        <f t="shared" si="29"/>
        <v>2.1766666666666666E-3</v>
      </c>
      <c r="H253" s="6">
        <f t="shared" si="30"/>
        <v>6.7567065616250188E-155</v>
      </c>
      <c r="I253" s="7">
        <f t="shared" si="31"/>
        <v>11.033921145972222</v>
      </c>
      <c r="J253" s="8">
        <f t="shared" si="32"/>
        <v>2176.6666666666665</v>
      </c>
      <c r="K253" s="7">
        <f t="shared" si="33"/>
        <v>-2165.6327455206942</v>
      </c>
      <c r="L253" s="4">
        <f>IF(A253&gt;'Yield Curve'!A867,L252,(1+VLOOKUP(A253,'Yield Curve'!A246:B868,2,FALSE))^(1/12)-1)</f>
        <v>7.9741404289037643E-3</v>
      </c>
      <c r="M253" s="5">
        <f t="shared" si="34"/>
        <v>-309.37424346122674</v>
      </c>
    </row>
    <row r="254" spans="1:13" x14ac:dyDescent="0.25">
      <c r="A254" s="4">
        <v>246</v>
      </c>
      <c r="B254" s="4">
        <f t="shared" si="27"/>
        <v>65</v>
      </c>
      <c r="C254" s="4">
        <f t="shared" si="28"/>
        <v>261</v>
      </c>
      <c r="D254" s="4">
        <f>IF(B254&gt;'Mortality Table'!$A$118,D253,VLOOKUP(B254,'Mortality Table'!$A$2:$B$118,2,FALSE))</f>
        <v>2.6120000000000001E-2</v>
      </c>
      <c r="E254" s="4">
        <f>IF(INT((C254-1)/12)+1&gt;'Lapse Table'!$A$11,E253,VLOOKUP(INT((C254-1)/12)+1,'Lapse Table'!$A$2:$B$11,2,FALSE))/12</f>
        <v>5.7050973730461645E-156</v>
      </c>
      <c r="F254" s="5">
        <f t="shared" si="35"/>
        <v>0.32884096771249999</v>
      </c>
      <c r="G254" s="6">
        <f t="shared" si="29"/>
        <v>2.1766666666666666E-3</v>
      </c>
      <c r="H254" s="6">
        <f t="shared" si="30"/>
        <v>5.6305888013541819E-156</v>
      </c>
      <c r="I254" s="7">
        <f t="shared" si="31"/>
        <v>10.961365590416667</v>
      </c>
      <c r="J254" s="8">
        <f t="shared" si="32"/>
        <v>2176.6666666666665</v>
      </c>
      <c r="K254" s="7">
        <f t="shared" si="33"/>
        <v>-2165.7053010762497</v>
      </c>
      <c r="L254" s="4">
        <f>IF(A254&gt;'Yield Curve'!A868,L253,(1+VLOOKUP(A254,'Yield Curve'!A247:B869,2,FALSE))^(1/12)-1)</f>
        <v>7.9741404289037643E-3</v>
      </c>
      <c r="M254" s="5">
        <f t="shared" si="34"/>
        <v>-306.93704934387267</v>
      </c>
    </row>
    <row r="255" spans="1:13" x14ac:dyDescent="0.25">
      <c r="A255" s="4">
        <v>247</v>
      </c>
      <c r="B255" s="4">
        <f t="shared" si="27"/>
        <v>65</v>
      </c>
      <c r="C255" s="4">
        <f t="shared" si="28"/>
        <v>262</v>
      </c>
      <c r="D255" s="4">
        <f>IF(B255&gt;'Mortality Table'!$A$118,D254,VLOOKUP(B255,'Mortality Table'!$A$2:$B$118,2,FALSE))</f>
        <v>2.6120000000000001E-2</v>
      </c>
      <c r="E255" s="4">
        <f>IF(INT((C255-1)/12)+1&gt;'Lapse Table'!$A$11,E254,VLOOKUP(INT((C255-1)/12)+1,'Lapse Table'!$A$2:$B$11,2,FALSE))/12</f>
        <v>4.7542478108718035E-157</v>
      </c>
      <c r="F255" s="5">
        <f t="shared" si="35"/>
        <v>0.32666430104583333</v>
      </c>
      <c r="G255" s="6">
        <f t="shared" si="29"/>
        <v>2.1766666666666666E-3</v>
      </c>
      <c r="H255" s="6">
        <f t="shared" si="30"/>
        <v>4.6921573344618179E-157</v>
      </c>
      <c r="I255" s="7">
        <f t="shared" si="31"/>
        <v>10.888810034861111</v>
      </c>
      <c r="J255" s="8">
        <f t="shared" si="32"/>
        <v>2176.6666666666665</v>
      </c>
      <c r="K255" s="7">
        <f t="shared" si="33"/>
        <v>-2165.7778566318052</v>
      </c>
      <c r="L255" s="4">
        <f>IF(A255&gt;'Yield Curve'!A869,L254,(1+VLOOKUP(A255,'Yield Curve'!A248:B870,2,FALSE))^(1/12)-1)</f>
        <v>7.9741404289037643E-3</v>
      </c>
      <c r="M255" s="5">
        <f t="shared" si="34"/>
        <v>-304.51905465746904</v>
      </c>
    </row>
    <row r="256" spans="1:13" x14ac:dyDescent="0.25">
      <c r="A256" s="4">
        <v>248</v>
      </c>
      <c r="B256" s="4">
        <f t="shared" si="27"/>
        <v>65</v>
      </c>
      <c r="C256" s="4">
        <f t="shared" si="28"/>
        <v>263</v>
      </c>
      <c r="D256" s="4">
        <f>IF(B256&gt;'Mortality Table'!$A$118,D255,VLOOKUP(B256,'Mortality Table'!$A$2:$B$118,2,FALSE))</f>
        <v>2.6120000000000001E-2</v>
      </c>
      <c r="E256" s="4">
        <f>IF(INT((C256-1)/12)+1&gt;'Lapse Table'!$A$11,E255,VLOOKUP(INT((C256-1)/12)+1,'Lapse Table'!$A$2:$B$11,2,FALSE))/12</f>
        <v>3.9618731757265029E-158</v>
      </c>
      <c r="F256" s="5">
        <f t="shared" si="35"/>
        <v>0.32448763437916667</v>
      </c>
      <c r="G256" s="6">
        <f t="shared" si="29"/>
        <v>2.1766666666666666E-3</v>
      </c>
      <c r="H256" s="6">
        <f t="shared" si="30"/>
        <v>3.9101311120515146E-158</v>
      </c>
      <c r="I256" s="7">
        <f t="shared" si="31"/>
        <v>10.816254479305556</v>
      </c>
      <c r="J256" s="8">
        <f t="shared" si="32"/>
        <v>2176.6666666666665</v>
      </c>
      <c r="K256" s="7">
        <f t="shared" si="33"/>
        <v>-2165.8504121873611</v>
      </c>
      <c r="L256" s="4">
        <f>IF(A256&gt;'Yield Curve'!A870,L255,(1+VLOOKUP(A256,'Yield Curve'!A249:B871,2,FALSE))^(1/12)-1)</f>
        <v>7.9741404289037643E-3</v>
      </c>
      <c r="M256" s="5">
        <f t="shared" si="34"/>
        <v>-302.12010815779263</v>
      </c>
    </row>
    <row r="257" spans="1:13" x14ac:dyDescent="0.25">
      <c r="A257" s="4">
        <v>249</v>
      </c>
      <c r="B257" s="4">
        <f t="shared" si="27"/>
        <v>65</v>
      </c>
      <c r="C257" s="4">
        <f t="shared" si="28"/>
        <v>264</v>
      </c>
      <c r="D257" s="4">
        <f>IF(B257&gt;'Mortality Table'!$A$118,D256,VLOOKUP(B257,'Mortality Table'!$A$2:$B$118,2,FALSE))</f>
        <v>2.6120000000000001E-2</v>
      </c>
      <c r="E257" s="4">
        <f>IF(INT((C257-1)/12)+1&gt;'Lapse Table'!$A$11,E256,VLOOKUP(INT((C257-1)/12)+1,'Lapse Table'!$A$2:$B$11,2,FALSE))/12</f>
        <v>3.3015609797720859E-159</v>
      </c>
      <c r="F257" s="5">
        <f t="shared" si="35"/>
        <v>0.32231096771250001</v>
      </c>
      <c r="G257" s="6">
        <f t="shared" si="29"/>
        <v>2.1766666666666666E-3</v>
      </c>
      <c r="H257" s="6">
        <f t="shared" si="30"/>
        <v>3.2584425933762629E-159</v>
      </c>
      <c r="I257" s="7">
        <f t="shared" si="31"/>
        <v>10.743698923750001</v>
      </c>
      <c r="J257" s="8">
        <f t="shared" si="32"/>
        <v>2176.6666666666665</v>
      </c>
      <c r="K257" s="7">
        <f t="shared" si="33"/>
        <v>-2165.9229677429166</v>
      </c>
      <c r="L257" s="4">
        <f>IF(A257&gt;'Yield Curve'!A871,L256,(1+VLOOKUP(A257,'Yield Curve'!A250:B872,2,FALSE))^(1/12)-1)</f>
        <v>7.9741404289037643E-3</v>
      </c>
      <c r="M257" s="5">
        <f t="shared" si="34"/>
        <v>-299.74005979203076</v>
      </c>
    </row>
    <row r="258" spans="1:13" x14ac:dyDescent="0.25">
      <c r="A258" s="4">
        <v>250</v>
      </c>
      <c r="B258" s="4">
        <f t="shared" si="27"/>
        <v>65</v>
      </c>
      <c r="C258" s="4">
        <f t="shared" si="28"/>
        <v>265</v>
      </c>
      <c r="D258" s="4">
        <f>IF(B258&gt;'Mortality Table'!$A$118,D257,VLOOKUP(B258,'Mortality Table'!$A$2:$B$118,2,FALSE))</f>
        <v>2.6120000000000001E-2</v>
      </c>
      <c r="E258" s="4">
        <f>IF(INT((C258-1)/12)+1&gt;'Lapse Table'!$A$11,E257,VLOOKUP(INT((C258-1)/12)+1,'Lapse Table'!$A$2:$B$11,2,FALSE))/12</f>
        <v>2.7513008164767382E-160</v>
      </c>
      <c r="F258" s="5">
        <f t="shared" si="35"/>
        <v>0.32013430104583335</v>
      </c>
      <c r="G258" s="6">
        <f t="shared" si="29"/>
        <v>2.1766666666666666E-3</v>
      </c>
      <c r="H258" s="6">
        <f t="shared" si="30"/>
        <v>2.715368827813552E-160</v>
      </c>
      <c r="I258" s="7">
        <f t="shared" si="31"/>
        <v>10.671143368194445</v>
      </c>
      <c r="J258" s="8">
        <f t="shared" si="32"/>
        <v>2176.6666666666665</v>
      </c>
      <c r="K258" s="7">
        <f t="shared" si="33"/>
        <v>-2165.9955232984721</v>
      </c>
      <c r="L258" s="4">
        <f>IF(A258&gt;'Yield Curve'!A872,L257,(1+VLOOKUP(A258,'Yield Curve'!A251:B873,2,FALSE))^(1/12)-1)</f>
        <v>7.9741404289037643E-3</v>
      </c>
      <c r="M258" s="5">
        <f t="shared" si="34"/>
        <v>-297.37876068939568</v>
      </c>
    </row>
    <row r="259" spans="1:13" x14ac:dyDescent="0.25">
      <c r="A259" s="4">
        <v>251</v>
      </c>
      <c r="B259" s="4">
        <f t="shared" si="27"/>
        <v>65</v>
      </c>
      <c r="C259" s="4">
        <f t="shared" si="28"/>
        <v>266</v>
      </c>
      <c r="D259" s="4">
        <f>IF(B259&gt;'Mortality Table'!$A$118,D258,VLOOKUP(B259,'Mortality Table'!$A$2:$B$118,2,FALSE))</f>
        <v>2.6120000000000001E-2</v>
      </c>
      <c r="E259" s="4">
        <f>IF(INT((C259-1)/12)+1&gt;'Lapse Table'!$A$11,E258,VLOOKUP(INT((C259-1)/12)+1,'Lapse Table'!$A$2:$B$11,2,FALSE))/12</f>
        <v>2.2927506803972817E-161</v>
      </c>
      <c r="F259" s="5">
        <f t="shared" si="35"/>
        <v>0.31795763437916669</v>
      </c>
      <c r="G259" s="6">
        <f t="shared" si="29"/>
        <v>2.1766666666666666E-3</v>
      </c>
      <c r="H259" s="6">
        <f t="shared" si="30"/>
        <v>2.2628073565112932E-161</v>
      </c>
      <c r="I259" s="7">
        <f t="shared" si="31"/>
        <v>10.59858781263889</v>
      </c>
      <c r="J259" s="8">
        <f t="shared" si="32"/>
        <v>2176.6666666666665</v>
      </c>
      <c r="K259" s="7">
        <f t="shared" si="33"/>
        <v>-2166.0680788540276</v>
      </c>
      <c r="L259" s="4">
        <f>IF(A259&gt;'Yield Curve'!A873,L258,(1+VLOOKUP(A259,'Yield Curve'!A252:B874,2,FALSE))^(1/12)-1)</f>
        <v>7.9741404289037643E-3</v>
      </c>
      <c r="M259" s="5">
        <f t="shared" si="34"/>
        <v>-295.03606315181429</v>
      </c>
    </row>
    <row r="260" spans="1:13" x14ac:dyDescent="0.25">
      <c r="A260" s="4">
        <v>252</v>
      </c>
      <c r="B260" s="4">
        <f t="shared" si="27"/>
        <v>66</v>
      </c>
      <c r="C260" s="4">
        <f t="shared" si="28"/>
        <v>267</v>
      </c>
      <c r="D260" s="4">
        <f>IF(B260&gt;'Mortality Table'!$A$118,D259,VLOOKUP(B260,'Mortality Table'!$A$2:$B$118,2,FALSE))</f>
        <v>2.8629999999999999E-2</v>
      </c>
      <c r="E260" s="4">
        <f>IF(INT((C260-1)/12)+1&gt;'Lapse Table'!$A$11,E259,VLOOKUP(INT((C260-1)/12)+1,'Lapse Table'!$A$2:$B$11,2,FALSE))/12</f>
        <v>1.9106255669977347E-162</v>
      </c>
      <c r="F260" s="5">
        <f t="shared" si="35"/>
        <v>0.31557180104583338</v>
      </c>
      <c r="G260" s="6">
        <f t="shared" si="29"/>
        <v>2.3858333333333331E-3</v>
      </c>
      <c r="H260" s="6">
        <f t="shared" si="30"/>
        <v>1.8832749620061623E-162</v>
      </c>
      <c r="I260" s="7">
        <f t="shared" si="31"/>
        <v>10.519060034861113</v>
      </c>
      <c r="J260" s="8">
        <f t="shared" si="32"/>
        <v>2385.833333333333</v>
      </c>
      <c r="K260" s="7">
        <f t="shared" si="33"/>
        <v>-2375.314273298472</v>
      </c>
      <c r="L260" s="4">
        <f>IF(A260&gt;'Yield Curve'!A874,L259,(1+VLOOKUP(A260,'Yield Curve'!A253:B875,2,FALSE))^(1/12)-1)</f>
        <v>7.9741404289037643E-3</v>
      </c>
      <c r="M260" s="5">
        <f t="shared" si="34"/>
        <v>-320.97757389146801</v>
      </c>
    </row>
    <row r="261" spans="1:13" x14ac:dyDescent="0.25">
      <c r="A261" s="4">
        <v>253</v>
      </c>
      <c r="B261" s="4">
        <f t="shared" si="27"/>
        <v>66</v>
      </c>
      <c r="C261" s="4">
        <f t="shared" si="28"/>
        <v>268</v>
      </c>
      <c r="D261" s="4">
        <f>IF(B261&gt;'Mortality Table'!$A$118,D260,VLOOKUP(B261,'Mortality Table'!$A$2:$B$118,2,FALSE))</f>
        <v>2.8629999999999999E-2</v>
      </c>
      <c r="E261" s="4">
        <f>IF(INT((C261-1)/12)+1&gt;'Lapse Table'!$A$11,E260,VLOOKUP(INT((C261-1)/12)+1,'Lapse Table'!$A$2:$B$11,2,FALSE))/12</f>
        <v>1.5921879724981122E-163</v>
      </c>
      <c r="F261" s="5">
        <f t="shared" si="35"/>
        <v>0.31318596771250007</v>
      </c>
      <c r="G261" s="6">
        <f t="shared" si="29"/>
        <v>2.3858333333333331E-3</v>
      </c>
      <c r="H261" s="6">
        <f t="shared" si="30"/>
        <v>1.5693958016718019E-163</v>
      </c>
      <c r="I261" s="7">
        <f t="shared" si="31"/>
        <v>10.439532257083336</v>
      </c>
      <c r="J261" s="8">
        <f t="shared" si="32"/>
        <v>2385.833333333333</v>
      </c>
      <c r="K261" s="7">
        <f t="shared" si="33"/>
        <v>-2375.3938010762495</v>
      </c>
      <c r="L261" s="4">
        <f>IF(A261&gt;'Yield Curve'!A875,L260,(1+VLOOKUP(A261,'Yield Curve'!A254:B876,2,FALSE))^(1/12)-1)</f>
        <v>7.9741404289037643E-3</v>
      </c>
      <c r="M261" s="5">
        <f t="shared" si="34"/>
        <v>-318.44896376895144</v>
      </c>
    </row>
    <row r="262" spans="1:13" x14ac:dyDescent="0.25">
      <c r="A262" s="4">
        <v>254</v>
      </c>
      <c r="B262" s="4">
        <f t="shared" si="27"/>
        <v>66</v>
      </c>
      <c r="C262" s="4">
        <f t="shared" si="28"/>
        <v>269</v>
      </c>
      <c r="D262" s="4">
        <f>IF(B262&gt;'Mortality Table'!$A$118,D261,VLOOKUP(B262,'Mortality Table'!$A$2:$B$118,2,FALSE))</f>
        <v>2.8629999999999999E-2</v>
      </c>
      <c r="E262" s="4">
        <f>IF(INT((C262-1)/12)+1&gt;'Lapse Table'!$A$11,E261,VLOOKUP(INT((C262-1)/12)+1,'Lapse Table'!$A$2:$B$11,2,FALSE))/12</f>
        <v>1.3268233104150934E-164</v>
      </c>
      <c r="F262" s="5">
        <f t="shared" si="35"/>
        <v>0.31080013437916676</v>
      </c>
      <c r="G262" s="6">
        <f t="shared" si="29"/>
        <v>2.3858333333333331E-3</v>
      </c>
      <c r="H262" s="6">
        <f t="shared" si="30"/>
        <v>1.3078298347265014E-164</v>
      </c>
      <c r="I262" s="7">
        <f t="shared" si="31"/>
        <v>10.360004479305559</v>
      </c>
      <c r="J262" s="8">
        <f t="shared" si="32"/>
        <v>2385.833333333333</v>
      </c>
      <c r="K262" s="7">
        <f t="shared" si="33"/>
        <v>-2375.4733288540274</v>
      </c>
      <c r="L262" s="4">
        <f>IF(A262&gt;'Yield Curve'!A876,L261,(1+VLOOKUP(A262,'Yield Curve'!A255:B877,2,FALSE))^(1/12)-1)</f>
        <v>7.9741404289037643E-3</v>
      </c>
      <c r="M262" s="5">
        <f t="shared" si="34"/>
        <v>-315.94027327946145</v>
      </c>
    </row>
    <row r="263" spans="1:13" x14ac:dyDescent="0.25">
      <c r="A263" s="4">
        <v>255</v>
      </c>
      <c r="B263" s="4">
        <f t="shared" si="27"/>
        <v>66</v>
      </c>
      <c r="C263" s="4">
        <f t="shared" si="28"/>
        <v>270</v>
      </c>
      <c r="D263" s="4">
        <f>IF(B263&gt;'Mortality Table'!$A$118,D262,VLOOKUP(B263,'Mortality Table'!$A$2:$B$118,2,FALSE))</f>
        <v>2.8629999999999999E-2</v>
      </c>
      <c r="E263" s="4">
        <f>IF(INT((C263-1)/12)+1&gt;'Lapse Table'!$A$11,E262,VLOOKUP(INT((C263-1)/12)+1,'Lapse Table'!$A$2:$B$11,2,FALSE))/12</f>
        <v>1.1056860920125779E-165</v>
      </c>
      <c r="F263" s="5">
        <f t="shared" si="35"/>
        <v>0.30841430104583345</v>
      </c>
      <c r="G263" s="6">
        <f t="shared" si="29"/>
        <v>2.3858333333333331E-3</v>
      </c>
      <c r="H263" s="6">
        <f t="shared" si="30"/>
        <v>1.0898581956054179E-165</v>
      </c>
      <c r="I263" s="7">
        <f t="shared" si="31"/>
        <v>10.280476701527782</v>
      </c>
      <c r="J263" s="8">
        <f t="shared" si="32"/>
        <v>2385.833333333333</v>
      </c>
      <c r="K263" s="7">
        <f t="shared" si="33"/>
        <v>-2375.5528566318053</v>
      </c>
      <c r="L263" s="4">
        <f>IF(A263&gt;'Yield Curve'!A877,L262,(1+VLOOKUP(A263,'Yield Curve'!A256:B878,2,FALSE))^(1/12)-1)</f>
        <v>7.9741404289037643E-3</v>
      </c>
      <c r="M263" s="5">
        <f t="shared" si="34"/>
        <v>-313.45134550490963</v>
      </c>
    </row>
    <row r="264" spans="1:13" x14ac:dyDescent="0.25">
      <c r="A264" s="4">
        <v>256</v>
      </c>
      <c r="B264" s="4">
        <f t="shared" si="27"/>
        <v>66</v>
      </c>
      <c r="C264" s="4">
        <f t="shared" si="28"/>
        <v>271</v>
      </c>
      <c r="D264" s="4">
        <f>IF(B264&gt;'Mortality Table'!$A$118,D263,VLOOKUP(B264,'Mortality Table'!$A$2:$B$118,2,FALSE))</f>
        <v>2.8629999999999999E-2</v>
      </c>
      <c r="E264" s="4">
        <f>IF(INT((C264-1)/12)+1&gt;'Lapse Table'!$A$11,E263,VLOOKUP(INT((C264-1)/12)+1,'Lapse Table'!$A$2:$B$11,2,FALSE))/12</f>
        <v>9.2140507667714828E-167</v>
      </c>
      <c r="F264" s="5">
        <f t="shared" si="35"/>
        <v>0.30602846771250014</v>
      </c>
      <c r="G264" s="6">
        <f t="shared" si="29"/>
        <v>2.3858333333333331E-3</v>
      </c>
      <c r="H264" s="6">
        <f t="shared" si="30"/>
        <v>9.0821516300451499E-167</v>
      </c>
      <c r="I264" s="7">
        <f t="shared" si="31"/>
        <v>10.200948923750005</v>
      </c>
      <c r="J264" s="8">
        <f t="shared" si="32"/>
        <v>2385.833333333333</v>
      </c>
      <c r="K264" s="7">
        <f t="shared" si="33"/>
        <v>-2375.6323844095832</v>
      </c>
      <c r="L264" s="4">
        <f>IF(A264&gt;'Yield Curve'!A878,L263,(1+VLOOKUP(A264,'Yield Curve'!A257:B879,2,FALSE))^(1/12)-1)</f>
        <v>7.9741404289037643E-3</v>
      </c>
      <c r="M264" s="5">
        <f t="shared" si="34"/>
        <v>-310.98202476331727</v>
      </c>
    </row>
    <row r="265" spans="1:13" x14ac:dyDescent="0.25">
      <c r="A265" s="4">
        <v>257</v>
      </c>
      <c r="B265" s="4">
        <f t="shared" si="27"/>
        <v>66</v>
      </c>
      <c r="C265" s="4">
        <f t="shared" si="28"/>
        <v>272</v>
      </c>
      <c r="D265" s="4">
        <f>IF(B265&gt;'Mortality Table'!$A$118,D264,VLOOKUP(B265,'Mortality Table'!$A$2:$B$118,2,FALSE))</f>
        <v>2.8629999999999999E-2</v>
      </c>
      <c r="E265" s="4">
        <f>IF(INT((C265-1)/12)+1&gt;'Lapse Table'!$A$11,E264,VLOOKUP(INT((C265-1)/12)+1,'Lapse Table'!$A$2:$B$11,2,FALSE))/12</f>
        <v>7.678375638976236E-168</v>
      </c>
      <c r="F265" s="5">
        <f t="shared" si="35"/>
        <v>0.30364263437916683</v>
      </c>
      <c r="G265" s="6">
        <f t="shared" si="29"/>
        <v>2.3858333333333331E-3</v>
      </c>
      <c r="H265" s="6">
        <f t="shared" si="30"/>
        <v>7.5684596917042919E-168</v>
      </c>
      <c r="I265" s="7">
        <f t="shared" si="31"/>
        <v>10.121421145972228</v>
      </c>
      <c r="J265" s="8">
        <f t="shared" si="32"/>
        <v>2385.833333333333</v>
      </c>
      <c r="K265" s="7">
        <f t="shared" si="33"/>
        <v>-2375.7119121873607</v>
      </c>
      <c r="L265" s="4">
        <f>IF(A265&gt;'Yield Curve'!A879,L264,(1+VLOOKUP(A265,'Yield Curve'!A258:B880,2,FALSE))^(1/12)-1)</f>
        <v>7.9741404289037643E-3</v>
      </c>
      <c r="M265" s="5">
        <f t="shared" si="34"/>
        <v>-308.53215659907738</v>
      </c>
    </row>
    <row r="266" spans="1:13" x14ac:dyDescent="0.25">
      <c r="A266" s="4">
        <v>258</v>
      </c>
      <c r="B266" s="4">
        <f t="shared" ref="B266:B329" si="36">INT($B$3+A266/12)</f>
        <v>66</v>
      </c>
      <c r="C266" s="4">
        <f t="shared" ref="C266:C329" si="37">$B$4+A266</f>
        <v>273</v>
      </c>
      <c r="D266" s="4">
        <f>IF(B266&gt;'Mortality Table'!$A$118,D265,VLOOKUP(B266,'Mortality Table'!$A$2:$B$118,2,FALSE))</f>
        <v>2.8629999999999999E-2</v>
      </c>
      <c r="E266" s="4">
        <f>IF(INT((C266-1)/12)+1&gt;'Lapse Table'!$A$11,E265,VLOOKUP(INT((C266-1)/12)+1,'Lapse Table'!$A$2:$B$11,2,FALSE))/12</f>
        <v>6.3986463658135296E-169</v>
      </c>
      <c r="F266" s="5">
        <f t="shared" si="35"/>
        <v>0.30125680104583352</v>
      </c>
      <c r="G266" s="6">
        <f t="shared" ref="G266:G329" si="38">D266/12*(1-0.5*E266)</f>
        <v>2.3858333333333331E-3</v>
      </c>
      <c r="H266" s="6">
        <f t="shared" ref="H266:H329" si="39">E266*(1-0.5*D266)</f>
        <v>6.3070497430869091E-169</v>
      </c>
      <c r="I266" s="7">
        <f t="shared" ref="I266:I329" si="40">F266*$B$5/12</f>
        <v>10.041893368194451</v>
      </c>
      <c r="J266" s="8">
        <f t="shared" ref="J266:J329" si="41">$B$6*G266</f>
        <v>2385.833333333333</v>
      </c>
      <c r="K266" s="7">
        <f t="shared" ref="K266:K329" si="42">I266-J266</f>
        <v>-2375.7914399651386</v>
      </c>
      <c r="L266" s="4">
        <f>IF(A266&gt;'Yield Curve'!A880,L265,(1+VLOOKUP(A266,'Yield Curve'!A259:B881,2,FALSE))^(1/12)-1)</f>
        <v>7.9741404289037643E-3</v>
      </c>
      <c r="M266" s="5">
        <f t="shared" ref="M266:M329" si="43">K266*(1+L266)^-A266</f>
        <v>-306.10158777329485</v>
      </c>
    </row>
    <row r="267" spans="1:13" x14ac:dyDescent="0.25">
      <c r="A267" s="4">
        <v>259</v>
      </c>
      <c r="B267" s="4">
        <f t="shared" si="36"/>
        <v>66</v>
      </c>
      <c r="C267" s="4">
        <f t="shared" si="37"/>
        <v>274</v>
      </c>
      <c r="D267" s="4">
        <f>IF(B267&gt;'Mortality Table'!$A$118,D266,VLOOKUP(B267,'Mortality Table'!$A$2:$B$118,2,FALSE))</f>
        <v>2.8629999999999999E-2</v>
      </c>
      <c r="E267" s="4">
        <f>IF(INT((C267-1)/12)+1&gt;'Lapse Table'!$A$11,E266,VLOOKUP(INT((C267-1)/12)+1,'Lapse Table'!$A$2:$B$11,2,FALSE))/12</f>
        <v>5.332205304844608E-170</v>
      </c>
      <c r="F267" s="5">
        <f t="shared" ref="F267:F330" si="44">F266-G267-H267</f>
        <v>0.29887096771250021</v>
      </c>
      <c r="G267" s="6">
        <f t="shared" si="38"/>
        <v>2.3858333333333331E-3</v>
      </c>
      <c r="H267" s="6">
        <f t="shared" si="39"/>
        <v>5.2558747859057573E-170</v>
      </c>
      <c r="I267" s="7">
        <f t="shared" si="40"/>
        <v>9.9623655904166739</v>
      </c>
      <c r="J267" s="8">
        <f t="shared" si="41"/>
        <v>2385.833333333333</v>
      </c>
      <c r="K267" s="7">
        <f t="shared" si="42"/>
        <v>-2375.8709677429165</v>
      </c>
      <c r="L267" s="4">
        <f>IF(A267&gt;'Yield Curve'!A881,L266,(1+VLOOKUP(A267,'Yield Curve'!A260:B882,2,FALSE))^(1/12)-1)</f>
        <v>7.9741404289037643E-3</v>
      </c>
      <c r="M267" s="5">
        <f t="shared" si="43"/>
        <v>-303.69016625420136</v>
      </c>
    </row>
    <row r="268" spans="1:13" x14ac:dyDescent="0.25">
      <c r="A268" s="4">
        <v>260</v>
      </c>
      <c r="B268" s="4">
        <f t="shared" si="36"/>
        <v>66</v>
      </c>
      <c r="C268" s="4">
        <f t="shared" si="37"/>
        <v>275</v>
      </c>
      <c r="D268" s="4">
        <f>IF(B268&gt;'Mortality Table'!$A$118,D267,VLOOKUP(B268,'Mortality Table'!$A$2:$B$118,2,FALSE))</f>
        <v>2.8629999999999999E-2</v>
      </c>
      <c r="E268" s="4">
        <f>IF(INT((C268-1)/12)+1&gt;'Lapse Table'!$A$11,E267,VLOOKUP(INT((C268-1)/12)+1,'Lapse Table'!$A$2:$B$11,2,FALSE))/12</f>
        <v>4.4435044207038397E-171</v>
      </c>
      <c r="F268" s="5">
        <f t="shared" si="44"/>
        <v>0.2964851343791669</v>
      </c>
      <c r="G268" s="6">
        <f t="shared" si="38"/>
        <v>2.3858333333333331E-3</v>
      </c>
      <c r="H268" s="6">
        <f t="shared" si="39"/>
        <v>4.3798956549214644E-171</v>
      </c>
      <c r="I268" s="7">
        <f t="shared" si="40"/>
        <v>9.8828378126388969</v>
      </c>
      <c r="J268" s="8">
        <f t="shared" si="41"/>
        <v>2385.833333333333</v>
      </c>
      <c r="K268" s="7">
        <f t="shared" si="42"/>
        <v>-2375.9504955206939</v>
      </c>
      <c r="L268" s="4">
        <f>IF(A268&gt;'Yield Curve'!A882,L267,(1+VLOOKUP(A268,'Yield Curve'!A261:B883,2,FALSE))^(1/12)-1)</f>
        <v>7.9741404289037643E-3</v>
      </c>
      <c r="M268" s="5">
        <f t="shared" si="43"/>
        <v>-301.29774120764682</v>
      </c>
    </row>
    <row r="269" spans="1:13" x14ac:dyDescent="0.25">
      <c r="A269" s="4">
        <v>261</v>
      </c>
      <c r="B269" s="4">
        <f t="shared" si="36"/>
        <v>66</v>
      </c>
      <c r="C269" s="4">
        <f t="shared" si="37"/>
        <v>276</v>
      </c>
      <c r="D269" s="4">
        <f>IF(B269&gt;'Mortality Table'!$A$118,D268,VLOOKUP(B269,'Mortality Table'!$A$2:$B$118,2,FALSE))</f>
        <v>2.8629999999999999E-2</v>
      </c>
      <c r="E269" s="4">
        <f>IF(INT((C269-1)/12)+1&gt;'Lapse Table'!$A$11,E268,VLOOKUP(INT((C269-1)/12)+1,'Lapse Table'!$A$2:$B$11,2,FALSE))/12</f>
        <v>3.7029203505865333E-172</v>
      </c>
      <c r="F269" s="5">
        <f t="shared" si="44"/>
        <v>0.29409930104583359</v>
      </c>
      <c r="G269" s="6">
        <f t="shared" si="38"/>
        <v>2.3858333333333331E-3</v>
      </c>
      <c r="H269" s="6">
        <f t="shared" si="39"/>
        <v>3.6499130457678872E-172</v>
      </c>
      <c r="I269" s="7">
        <f t="shared" si="40"/>
        <v>9.80331003486112</v>
      </c>
      <c r="J269" s="8">
        <f t="shared" si="41"/>
        <v>2385.833333333333</v>
      </c>
      <c r="K269" s="7">
        <f t="shared" si="42"/>
        <v>-2376.0300232984719</v>
      </c>
      <c r="L269" s="4">
        <f>IF(A269&gt;'Yield Curve'!A883,L268,(1+VLOOKUP(A269,'Yield Curve'!A262:B884,2,FALSE))^(1/12)-1)</f>
        <v>7.9741404289037643E-3</v>
      </c>
      <c r="M269" s="5">
        <f t="shared" si="43"/>
        <v>-298.92416298766591</v>
      </c>
    </row>
    <row r="270" spans="1:13" x14ac:dyDescent="0.25">
      <c r="A270" s="4">
        <v>262</v>
      </c>
      <c r="B270" s="4">
        <f t="shared" si="36"/>
        <v>66</v>
      </c>
      <c r="C270" s="4">
        <f t="shared" si="37"/>
        <v>277</v>
      </c>
      <c r="D270" s="4">
        <f>IF(B270&gt;'Mortality Table'!$A$118,D269,VLOOKUP(B270,'Mortality Table'!$A$2:$B$118,2,FALSE))</f>
        <v>2.8629999999999999E-2</v>
      </c>
      <c r="E270" s="4">
        <f>IF(INT((C270-1)/12)+1&gt;'Lapse Table'!$A$11,E269,VLOOKUP(INT((C270-1)/12)+1,'Lapse Table'!$A$2:$B$11,2,FALSE))/12</f>
        <v>3.0857669588221112E-173</v>
      </c>
      <c r="F270" s="5">
        <f t="shared" si="44"/>
        <v>0.29171346771250029</v>
      </c>
      <c r="G270" s="6">
        <f t="shared" si="38"/>
        <v>2.3858333333333331E-3</v>
      </c>
      <c r="H270" s="6">
        <f t="shared" si="39"/>
        <v>3.0415942048065728E-173</v>
      </c>
      <c r="I270" s="7">
        <f t="shared" si="40"/>
        <v>9.723782257083343</v>
      </c>
      <c r="J270" s="8">
        <f t="shared" si="41"/>
        <v>2385.833333333333</v>
      </c>
      <c r="K270" s="7">
        <f t="shared" si="42"/>
        <v>-2376.1095510762498</v>
      </c>
      <c r="L270" s="4">
        <f>IF(A270&gt;'Yield Curve'!A884,L269,(1+VLOOKUP(A270,'Yield Curve'!A263:B885,2,FALSE))^(1/12)-1)</f>
        <v>7.9741404289037643E-3</v>
      </c>
      <c r="M270" s="5">
        <f t="shared" si="43"/>
        <v>-296.56928312711767</v>
      </c>
    </row>
    <row r="271" spans="1:13" x14ac:dyDescent="0.25">
      <c r="A271" s="4">
        <v>263</v>
      </c>
      <c r="B271" s="4">
        <f t="shared" si="36"/>
        <v>66</v>
      </c>
      <c r="C271" s="4">
        <f t="shared" si="37"/>
        <v>278</v>
      </c>
      <c r="D271" s="4">
        <f>IF(B271&gt;'Mortality Table'!$A$118,D270,VLOOKUP(B271,'Mortality Table'!$A$2:$B$118,2,FALSE))</f>
        <v>2.8629999999999999E-2</v>
      </c>
      <c r="E271" s="4">
        <f>IF(INT((C271-1)/12)+1&gt;'Lapse Table'!$A$11,E270,VLOOKUP(INT((C271-1)/12)+1,'Lapse Table'!$A$2:$B$11,2,FALSE))/12</f>
        <v>2.5714724656850926E-174</v>
      </c>
      <c r="F271" s="5">
        <f t="shared" si="44"/>
        <v>0.28932763437916698</v>
      </c>
      <c r="G271" s="6">
        <f t="shared" si="38"/>
        <v>2.3858333333333331E-3</v>
      </c>
      <c r="H271" s="6">
        <f t="shared" si="39"/>
        <v>2.5346618373388105E-174</v>
      </c>
      <c r="I271" s="7">
        <f t="shared" si="40"/>
        <v>9.644254479305566</v>
      </c>
      <c r="J271" s="8">
        <f t="shared" si="41"/>
        <v>2385.833333333333</v>
      </c>
      <c r="K271" s="7">
        <f t="shared" si="42"/>
        <v>-2376.1890788540277</v>
      </c>
      <c r="L271" s="4">
        <f>IF(A271&gt;'Yield Curve'!A885,L270,(1+VLOOKUP(A271,'Yield Curve'!A264:B886,2,FALSE))^(1/12)-1)</f>
        <v>7.9741404289037643E-3</v>
      </c>
      <c r="M271" s="5">
        <f t="shared" si="43"/>
        <v>-294.2329543283999</v>
      </c>
    </row>
    <row r="272" spans="1:13" x14ac:dyDescent="0.25">
      <c r="A272" s="4">
        <v>264</v>
      </c>
      <c r="B272" s="4">
        <f t="shared" si="36"/>
        <v>67</v>
      </c>
      <c r="C272" s="4">
        <f t="shared" si="37"/>
        <v>279</v>
      </c>
      <c r="D272" s="4">
        <f>IF(B272&gt;'Mortality Table'!$A$118,D271,VLOOKUP(B272,'Mortality Table'!$A$2:$B$118,2,FALSE))</f>
        <v>3.1359999999999999E-2</v>
      </c>
      <c r="E272" s="4">
        <f>IF(INT((C272-1)/12)+1&gt;'Lapse Table'!$A$11,E271,VLOOKUP(INT((C272-1)/12)+1,'Lapse Table'!$A$2:$B$11,2,FALSE))/12</f>
        <v>2.1428937214042439E-175</v>
      </c>
      <c r="F272" s="5">
        <f t="shared" si="44"/>
        <v>0.28671430104583362</v>
      </c>
      <c r="G272" s="6">
        <f t="shared" si="38"/>
        <v>2.6133333333333334E-3</v>
      </c>
      <c r="H272" s="6">
        <f t="shared" si="39"/>
        <v>2.1092931478526254E-175</v>
      </c>
      <c r="I272" s="7">
        <f t="shared" si="40"/>
        <v>9.5571433681944544</v>
      </c>
      <c r="J272" s="8">
        <f t="shared" si="41"/>
        <v>2613.3333333333335</v>
      </c>
      <c r="K272" s="7">
        <f t="shared" si="42"/>
        <v>-2603.7761899651391</v>
      </c>
      <c r="L272" s="4">
        <f>IF(A272&gt;'Yield Curve'!A886,L271,(1+VLOOKUP(A272,'Yield Curve'!A265:B887,2,FALSE))^(1/12)-1)</f>
        <v>7.9741404289037643E-3</v>
      </c>
      <c r="M272" s="5">
        <f t="shared" si="43"/>
        <v>-319.86342102421281</v>
      </c>
    </row>
    <row r="273" spans="1:13" x14ac:dyDescent="0.25">
      <c r="A273" s="4">
        <v>265</v>
      </c>
      <c r="B273" s="4">
        <f t="shared" si="36"/>
        <v>67</v>
      </c>
      <c r="C273" s="4">
        <f t="shared" si="37"/>
        <v>280</v>
      </c>
      <c r="D273" s="4">
        <f>IF(B273&gt;'Mortality Table'!$A$118,D272,VLOOKUP(B273,'Mortality Table'!$A$2:$B$118,2,FALSE))</f>
        <v>3.1359999999999999E-2</v>
      </c>
      <c r="E273" s="4">
        <f>IF(INT((C273-1)/12)+1&gt;'Lapse Table'!$A$11,E272,VLOOKUP(INT((C273-1)/12)+1,'Lapse Table'!$A$2:$B$11,2,FALSE))/12</f>
        <v>1.78574476783687E-176</v>
      </c>
      <c r="F273" s="5">
        <f t="shared" si="44"/>
        <v>0.28410096771250026</v>
      </c>
      <c r="G273" s="6">
        <f t="shared" si="38"/>
        <v>2.6133333333333334E-3</v>
      </c>
      <c r="H273" s="6">
        <f t="shared" si="39"/>
        <v>1.7577442898771877E-176</v>
      </c>
      <c r="I273" s="7">
        <f t="shared" si="40"/>
        <v>9.4700322570833411</v>
      </c>
      <c r="J273" s="8">
        <f t="shared" si="41"/>
        <v>2613.3333333333335</v>
      </c>
      <c r="K273" s="7">
        <f t="shared" si="42"/>
        <v>-2603.8633010762501</v>
      </c>
      <c r="L273" s="4">
        <f>IF(A273&gt;'Yield Curve'!A887,L272,(1+VLOOKUP(A273,'Yield Curve'!A266:B888,2,FALSE))^(1/12)-1)</f>
        <v>7.9741404289037643E-3</v>
      </c>
      <c r="M273" s="5">
        <f t="shared" si="43"/>
        <v>-317.3435800023168</v>
      </c>
    </row>
    <row r="274" spans="1:13" x14ac:dyDescent="0.25">
      <c r="A274" s="4">
        <v>266</v>
      </c>
      <c r="B274" s="4">
        <f t="shared" si="36"/>
        <v>67</v>
      </c>
      <c r="C274" s="4">
        <f t="shared" si="37"/>
        <v>281</v>
      </c>
      <c r="D274" s="4">
        <f>IF(B274&gt;'Mortality Table'!$A$118,D273,VLOOKUP(B274,'Mortality Table'!$A$2:$B$118,2,FALSE))</f>
        <v>3.1359999999999999E-2</v>
      </c>
      <c r="E274" s="4">
        <f>IF(INT((C274-1)/12)+1&gt;'Lapse Table'!$A$11,E273,VLOOKUP(INT((C274-1)/12)+1,'Lapse Table'!$A$2:$B$11,2,FALSE))/12</f>
        <v>1.4881206398640584E-177</v>
      </c>
      <c r="F274" s="5">
        <f t="shared" si="44"/>
        <v>0.28148763437916691</v>
      </c>
      <c r="G274" s="6">
        <f t="shared" si="38"/>
        <v>2.6133333333333334E-3</v>
      </c>
      <c r="H274" s="6">
        <f t="shared" si="39"/>
        <v>1.46478690823099E-177</v>
      </c>
      <c r="I274" s="7">
        <f t="shared" si="40"/>
        <v>9.3829211459722313</v>
      </c>
      <c r="J274" s="8">
        <f t="shared" si="41"/>
        <v>2613.3333333333335</v>
      </c>
      <c r="K274" s="7">
        <f t="shared" si="42"/>
        <v>-2603.9504121873611</v>
      </c>
      <c r="L274" s="4">
        <f>IF(A274&gt;'Yield Curve'!A888,L273,(1+VLOOKUP(A274,'Yield Curve'!A267:B889,2,FALSE))^(1/12)-1)</f>
        <v>7.9741404289037643E-3</v>
      </c>
      <c r="M274" s="5">
        <f t="shared" si="43"/>
        <v>-314.84358959679724</v>
      </c>
    </row>
    <row r="275" spans="1:13" x14ac:dyDescent="0.25">
      <c r="A275" s="4">
        <v>267</v>
      </c>
      <c r="B275" s="4">
        <f t="shared" si="36"/>
        <v>67</v>
      </c>
      <c r="C275" s="4">
        <f t="shared" si="37"/>
        <v>282</v>
      </c>
      <c r="D275" s="4">
        <f>IF(B275&gt;'Mortality Table'!$A$118,D274,VLOOKUP(B275,'Mortality Table'!$A$2:$B$118,2,FALSE))</f>
        <v>3.1359999999999999E-2</v>
      </c>
      <c r="E275" s="4">
        <f>IF(INT((C275-1)/12)+1&gt;'Lapse Table'!$A$11,E274,VLOOKUP(INT((C275-1)/12)+1,'Lapse Table'!$A$2:$B$11,2,FALSE))/12</f>
        <v>1.2401005332200487E-178</v>
      </c>
      <c r="F275" s="5">
        <f t="shared" si="44"/>
        <v>0.27887430104583355</v>
      </c>
      <c r="G275" s="6">
        <f t="shared" si="38"/>
        <v>2.6133333333333334E-3</v>
      </c>
      <c r="H275" s="6">
        <f t="shared" si="39"/>
        <v>1.2206557568591583E-178</v>
      </c>
      <c r="I275" s="7">
        <f t="shared" si="40"/>
        <v>9.2958100348611179</v>
      </c>
      <c r="J275" s="8">
        <f t="shared" si="41"/>
        <v>2613.3333333333335</v>
      </c>
      <c r="K275" s="7">
        <f t="shared" si="42"/>
        <v>-2604.0375232984725</v>
      </c>
      <c r="L275" s="4">
        <f>IF(A275&gt;'Yield Curve'!A889,L274,(1+VLOOKUP(A275,'Yield Curve'!A268:B890,2,FALSE))^(1/12)-1)</f>
        <v>7.9741404289037643E-3</v>
      </c>
      <c r="M275" s="5">
        <f t="shared" si="43"/>
        <v>-312.36329343274298</v>
      </c>
    </row>
    <row r="276" spans="1:13" x14ac:dyDescent="0.25">
      <c r="A276" s="4">
        <v>268</v>
      </c>
      <c r="B276" s="4">
        <f t="shared" si="36"/>
        <v>67</v>
      </c>
      <c r="C276" s="4">
        <f t="shared" si="37"/>
        <v>283</v>
      </c>
      <c r="D276" s="4">
        <f>IF(B276&gt;'Mortality Table'!$A$118,D275,VLOOKUP(B276,'Mortality Table'!$A$2:$B$118,2,FALSE))</f>
        <v>3.1359999999999999E-2</v>
      </c>
      <c r="E276" s="4">
        <f>IF(INT((C276-1)/12)+1&gt;'Lapse Table'!$A$11,E275,VLOOKUP(INT((C276-1)/12)+1,'Lapse Table'!$A$2:$B$11,2,FALSE))/12</f>
        <v>1.0334171110167072E-179</v>
      </c>
      <c r="F276" s="5">
        <f t="shared" si="44"/>
        <v>0.27626096771250019</v>
      </c>
      <c r="G276" s="6">
        <f t="shared" si="38"/>
        <v>2.6133333333333334E-3</v>
      </c>
      <c r="H276" s="6">
        <f t="shared" si="39"/>
        <v>1.0172131307159651E-179</v>
      </c>
      <c r="I276" s="7">
        <f t="shared" si="40"/>
        <v>9.2086989237500063</v>
      </c>
      <c r="J276" s="8">
        <f t="shared" si="41"/>
        <v>2613.3333333333335</v>
      </c>
      <c r="K276" s="7">
        <f t="shared" si="42"/>
        <v>-2604.1246344095835</v>
      </c>
      <c r="L276" s="4">
        <f>IF(A276&gt;'Yield Curve'!A890,L275,(1+VLOOKUP(A276,'Yield Curve'!A269:B891,2,FALSE))^(1/12)-1)</f>
        <v>7.9741404289037643E-3</v>
      </c>
      <c r="M276" s="5">
        <f t="shared" si="43"/>
        <v>-309.90253636707661</v>
      </c>
    </row>
    <row r="277" spans="1:13" x14ac:dyDescent="0.25">
      <c r="A277" s="4">
        <v>269</v>
      </c>
      <c r="B277" s="4">
        <f t="shared" si="36"/>
        <v>67</v>
      </c>
      <c r="C277" s="4">
        <f t="shared" si="37"/>
        <v>284</v>
      </c>
      <c r="D277" s="4">
        <f>IF(B277&gt;'Mortality Table'!$A$118,D276,VLOOKUP(B277,'Mortality Table'!$A$2:$B$118,2,FALSE))</f>
        <v>3.1359999999999999E-2</v>
      </c>
      <c r="E277" s="4">
        <f>IF(INT((C277-1)/12)+1&gt;'Lapse Table'!$A$11,E276,VLOOKUP(INT((C277-1)/12)+1,'Lapse Table'!$A$2:$B$11,2,FALSE))/12</f>
        <v>8.6118092584725594E-181</v>
      </c>
      <c r="F277" s="5">
        <f t="shared" si="44"/>
        <v>0.27364763437916684</v>
      </c>
      <c r="G277" s="6">
        <f t="shared" si="38"/>
        <v>2.6133333333333334E-3</v>
      </c>
      <c r="H277" s="6">
        <f t="shared" si="39"/>
        <v>8.4767760892997097E-181</v>
      </c>
      <c r="I277" s="7">
        <f t="shared" si="40"/>
        <v>9.1215878126388947</v>
      </c>
      <c r="J277" s="8">
        <f t="shared" si="41"/>
        <v>2613.3333333333335</v>
      </c>
      <c r="K277" s="7">
        <f t="shared" si="42"/>
        <v>-2604.2117455206944</v>
      </c>
      <c r="L277" s="4">
        <f>IF(A277&gt;'Yield Curve'!A891,L276,(1+VLOOKUP(A277,'Yield Curve'!A270:B892,2,FALSE))^(1/12)-1)</f>
        <v>7.9741404289037643E-3</v>
      </c>
      <c r="M277" s="5">
        <f t="shared" si="43"/>
        <v>-307.46116447885225</v>
      </c>
    </row>
    <row r="278" spans="1:13" x14ac:dyDescent="0.25">
      <c r="A278" s="4">
        <v>270</v>
      </c>
      <c r="B278" s="4">
        <f t="shared" si="36"/>
        <v>67</v>
      </c>
      <c r="C278" s="4">
        <f t="shared" si="37"/>
        <v>285</v>
      </c>
      <c r="D278" s="4">
        <f>IF(B278&gt;'Mortality Table'!$A$118,D277,VLOOKUP(B278,'Mortality Table'!$A$2:$B$118,2,FALSE))</f>
        <v>3.1359999999999999E-2</v>
      </c>
      <c r="E278" s="4">
        <f>IF(INT((C278-1)/12)+1&gt;'Lapse Table'!$A$11,E277,VLOOKUP(INT((C278-1)/12)+1,'Lapse Table'!$A$2:$B$11,2,FALSE))/12</f>
        <v>7.1765077153937995E-182</v>
      </c>
      <c r="F278" s="5">
        <f t="shared" si="44"/>
        <v>0.27103430104583348</v>
      </c>
      <c r="G278" s="6">
        <f t="shared" si="38"/>
        <v>2.6133333333333334E-3</v>
      </c>
      <c r="H278" s="6">
        <f t="shared" si="39"/>
        <v>7.0639800744164243E-182</v>
      </c>
      <c r="I278" s="7">
        <f t="shared" si="40"/>
        <v>9.0344767015277831</v>
      </c>
      <c r="J278" s="8">
        <f t="shared" si="41"/>
        <v>2613.3333333333335</v>
      </c>
      <c r="K278" s="7">
        <f t="shared" si="42"/>
        <v>-2604.2988566318058</v>
      </c>
      <c r="L278" s="4">
        <f>IF(A278&gt;'Yield Curve'!A892,L277,(1+VLOOKUP(A278,'Yield Curve'!A271:B893,2,FALSE))^(1/12)-1)</f>
        <v>7.9741404289037643E-3</v>
      </c>
      <c r="M278" s="5">
        <f t="shared" si="43"/>
        <v>-305.03902505962753</v>
      </c>
    </row>
    <row r="279" spans="1:13" x14ac:dyDescent="0.25">
      <c r="A279" s="4">
        <v>271</v>
      </c>
      <c r="B279" s="4">
        <f t="shared" si="36"/>
        <v>67</v>
      </c>
      <c r="C279" s="4">
        <f t="shared" si="37"/>
        <v>286</v>
      </c>
      <c r="D279" s="4">
        <f>IF(B279&gt;'Mortality Table'!$A$118,D278,VLOOKUP(B279,'Mortality Table'!$A$2:$B$118,2,FALSE))</f>
        <v>3.1359999999999999E-2</v>
      </c>
      <c r="E279" s="4">
        <f>IF(INT((C279-1)/12)+1&gt;'Lapse Table'!$A$11,E278,VLOOKUP(INT((C279-1)/12)+1,'Lapse Table'!$A$2:$B$11,2,FALSE))/12</f>
        <v>5.9804230961614999E-183</v>
      </c>
      <c r="F279" s="5">
        <f t="shared" si="44"/>
        <v>0.26842096771250012</v>
      </c>
      <c r="G279" s="6">
        <f t="shared" si="38"/>
        <v>2.6133333333333334E-3</v>
      </c>
      <c r="H279" s="6">
        <f t="shared" si="39"/>
        <v>5.8866500620136875E-183</v>
      </c>
      <c r="I279" s="7">
        <f t="shared" si="40"/>
        <v>8.9473655904166716</v>
      </c>
      <c r="J279" s="8">
        <f t="shared" si="41"/>
        <v>2613.3333333333335</v>
      </c>
      <c r="K279" s="7">
        <f t="shared" si="42"/>
        <v>-2604.3859677429168</v>
      </c>
      <c r="L279" s="4">
        <f>IF(A279&gt;'Yield Curve'!A893,L278,(1+VLOOKUP(A279,'Yield Curve'!A272:B894,2,FALSE))^(1/12)-1)</f>
        <v>7.9741404289037643E-3</v>
      </c>
      <c r="M279" s="5">
        <f t="shared" si="43"/>
        <v>-302.63596660391238</v>
      </c>
    </row>
    <row r="280" spans="1:13" x14ac:dyDescent="0.25">
      <c r="A280" s="4">
        <v>272</v>
      </c>
      <c r="B280" s="4">
        <f t="shared" si="36"/>
        <v>67</v>
      </c>
      <c r="C280" s="4">
        <f t="shared" si="37"/>
        <v>287</v>
      </c>
      <c r="D280" s="4">
        <f>IF(B280&gt;'Mortality Table'!$A$118,D279,VLOOKUP(B280,'Mortality Table'!$A$2:$B$118,2,FALSE))</f>
        <v>3.1359999999999999E-2</v>
      </c>
      <c r="E280" s="4">
        <f>IF(INT((C280-1)/12)+1&gt;'Lapse Table'!$A$11,E279,VLOOKUP(INT((C280-1)/12)+1,'Lapse Table'!$A$2:$B$11,2,FALSE))/12</f>
        <v>4.9836859134679162E-184</v>
      </c>
      <c r="F280" s="5">
        <f t="shared" si="44"/>
        <v>0.26580763437916677</v>
      </c>
      <c r="G280" s="6">
        <f t="shared" si="38"/>
        <v>2.6133333333333334E-3</v>
      </c>
      <c r="H280" s="6">
        <f t="shared" si="39"/>
        <v>4.9055417183447388E-184</v>
      </c>
      <c r="I280" s="7">
        <f t="shared" si="40"/>
        <v>8.8602544793055582</v>
      </c>
      <c r="J280" s="8">
        <f t="shared" si="41"/>
        <v>2613.3333333333335</v>
      </c>
      <c r="K280" s="7">
        <f t="shared" si="42"/>
        <v>-2604.4730788540278</v>
      </c>
      <c r="L280" s="4">
        <f>IF(A280&gt;'Yield Curve'!A894,L279,(1+VLOOKUP(A280,'Yield Curve'!A273:B895,2,FALSE))^(1/12)-1)</f>
        <v>7.9741404289037643E-3</v>
      </c>
      <c r="M280" s="5">
        <f t="shared" si="43"/>
        <v>-300.25183879969313</v>
      </c>
    </row>
    <row r="281" spans="1:13" x14ac:dyDescent="0.25">
      <c r="A281" s="4">
        <v>273</v>
      </c>
      <c r="B281" s="4">
        <f t="shared" si="36"/>
        <v>67</v>
      </c>
      <c r="C281" s="4">
        <f t="shared" si="37"/>
        <v>288</v>
      </c>
      <c r="D281" s="4">
        <f>IF(B281&gt;'Mortality Table'!$A$118,D280,VLOOKUP(B281,'Mortality Table'!$A$2:$B$118,2,FALSE))</f>
        <v>3.1359999999999999E-2</v>
      </c>
      <c r="E281" s="4">
        <f>IF(INT((C281-1)/12)+1&gt;'Lapse Table'!$A$11,E280,VLOOKUP(INT((C281-1)/12)+1,'Lapse Table'!$A$2:$B$11,2,FALSE))/12</f>
        <v>4.1530715945565971E-185</v>
      </c>
      <c r="F281" s="5">
        <f t="shared" si="44"/>
        <v>0.26319430104583341</v>
      </c>
      <c r="G281" s="6">
        <f t="shared" si="38"/>
        <v>2.6133333333333334E-3</v>
      </c>
      <c r="H281" s="6">
        <f t="shared" si="39"/>
        <v>4.0879514319539497E-185</v>
      </c>
      <c r="I281" s="7">
        <f t="shared" si="40"/>
        <v>8.7731433681944466</v>
      </c>
      <c r="J281" s="8">
        <f t="shared" si="41"/>
        <v>2613.3333333333335</v>
      </c>
      <c r="K281" s="7">
        <f t="shared" si="42"/>
        <v>-2604.5601899651392</v>
      </c>
      <c r="L281" s="4">
        <f>IF(A281&gt;'Yield Curve'!A895,L280,(1+VLOOKUP(A281,'Yield Curve'!A274:B896,2,FALSE))^(1/12)-1)</f>
        <v>7.9741404289037643E-3</v>
      </c>
      <c r="M281" s="5">
        <f t="shared" si="43"/>
        <v>-297.88649251903195</v>
      </c>
    </row>
    <row r="282" spans="1:13" x14ac:dyDescent="0.25">
      <c r="A282" s="4">
        <v>274</v>
      </c>
      <c r="B282" s="4">
        <f t="shared" si="36"/>
        <v>67</v>
      </c>
      <c r="C282" s="4">
        <f t="shared" si="37"/>
        <v>289</v>
      </c>
      <c r="D282" s="4">
        <f>IF(B282&gt;'Mortality Table'!$A$118,D281,VLOOKUP(B282,'Mortality Table'!$A$2:$B$118,2,FALSE))</f>
        <v>3.1359999999999999E-2</v>
      </c>
      <c r="E282" s="4">
        <f>IF(INT((C282-1)/12)+1&gt;'Lapse Table'!$A$11,E281,VLOOKUP(INT((C282-1)/12)+1,'Lapse Table'!$A$2:$B$11,2,FALSE))/12</f>
        <v>3.4608929954638307E-186</v>
      </c>
      <c r="F282" s="5">
        <f t="shared" si="44"/>
        <v>0.26058096771250006</v>
      </c>
      <c r="G282" s="6">
        <f t="shared" si="38"/>
        <v>2.6133333333333334E-3</v>
      </c>
      <c r="H282" s="6">
        <f t="shared" si="39"/>
        <v>3.4066261932949577E-186</v>
      </c>
      <c r="I282" s="7">
        <f t="shared" si="40"/>
        <v>8.686032257083335</v>
      </c>
      <c r="J282" s="8">
        <f t="shared" si="41"/>
        <v>2613.3333333333335</v>
      </c>
      <c r="K282" s="7">
        <f t="shared" si="42"/>
        <v>-2604.6473010762502</v>
      </c>
      <c r="L282" s="4">
        <f>IF(A282&gt;'Yield Curve'!A896,L281,(1+VLOOKUP(A282,'Yield Curve'!A275:B897,2,FALSE))^(1/12)-1)</f>
        <v>7.9741404289037643E-3</v>
      </c>
      <c r="M282" s="5">
        <f t="shared" si="43"/>
        <v>-295.53977980873776</v>
      </c>
    </row>
    <row r="283" spans="1:13" x14ac:dyDescent="0.25">
      <c r="A283" s="4">
        <v>275</v>
      </c>
      <c r="B283" s="4">
        <f t="shared" si="36"/>
        <v>67</v>
      </c>
      <c r="C283" s="4">
        <f t="shared" si="37"/>
        <v>290</v>
      </c>
      <c r="D283" s="4">
        <f>IF(B283&gt;'Mortality Table'!$A$118,D282,VLOOKUP(B283,'Mortality Table'!$A$2:$B$118,2,FALSE))</f>
        <v>3.1359999999999999E-2</v>
      </c>
      <c r="E283" s="4">
        <f>IF(INT((C283-1)/12)+1&gt;'Lapse Table'!$A$11,E282,VLOOKUP(INT((C283-1)/12)+1,'Lapse Table'!$A$2:$B$11,2,FALSE))/12</f>
        <v>2.8840774962198591E-187</v>
      </c>
      <c r="F283" s="5">
        <f t="shared" si="44"/>
        <v>0.2579676343791667</v>
      </c>
      <c r="G283" s="6">
        <f t="shared" si="38"/>
        <v>2.6133333333333334E-3</v>
      </c>
      <c r="H283" s="6">
        <f t="shared" si="39"/>
        <v>2.8388551610791317E-187</v>
      </c>
      <c r="I283" s="7">
        <f t="shared" si="40"/>
        <v>8.5989211459722235</v>
      </c>
      <c r="J283" s="8">
        <f t="shared" si="41"/>
        <v>2613.3333333333335</v>
      </c>
      <c r="K283" s="7">
        <f t="shared" si="42"/>
        <v>-2604.7344121873612</v>
      </c>
      <c r="L283" s="4">
        <f>IF(A283&gt;'Yield Curve'!A897,L282,(1+VLOOKUP(A283,'Yield Curve'!A276:B898,2,FALSE))^(1/12)-1)</f>
        <v>7.9741404289037643E-3</v>
      </c>
      <c r="M283" s="5">
        <f t="shared" si="43"/>
        <v>-293.21155388111418</v>
      </c>
    </row>
    <row r="284" spans="1:13" x14ac:dyDescent="0.25">
      <c r="A284" s="4">
        <v>276</v>
      </c>
      <c r="B284" s="4">
        <f t="shared" si="36"/>
        <v>68</v>
      </c>
      <c r="C284" s="4">
        <f t="shared" si="37"/>
        <v>291</v>
      </c>
      <c r="D284" s="4">
        <f>IF(B284&gt;'Mortality Table'!$A$118,D283,VLOOKUP(B284,'Mortality Table'!$A$2:$B$118,2,FALSE))</f>
        <v>3.4360000000000002E-2</v>
      </c>
      <c r="E284" s="4">
        <f>IF(INT((C284-1)/12)+1&gt;'Lapse Table'!$A$11,E283,VLOOKUP(INT((C284-1)/12)+1,'Lapse Table'!$A$2:$B$11,2,FALSE))/12</f>
        <v>2.4033979135165492E-188</v>
      </c>
      <c r="F284" s="5">
        <f t="shared" si="44"/>
        <v>0.25510430104583337</v>
      </c>
      <c r="G284" s="6">
        <f t="shared" si="38"/>
        <v>2.8633333333333336E-3</v>
      </c>
      <c r="H284" s="6">
        <f t="shared" si="39"/>
        <v>2.362107537362335E-188</v>
      </c>
      <c r="I284" s="7">
        <f t="shared" si="40"/>
        <v>8.503476701527779</v>
      </c>
      <c r="J284" s="8">
        <f t="shared" si="41"/>
        <v>2863.3333333333335</v>
      </c>
      <c r="K284" s="7">
        <f t="shared" si="42"/>
        <v>-2854.8298566318058</v>
      </c>
      <c r="L284" s="4">
        <f>IF(A284&gt;'Yield Curve'!A898,L283,(1+VLOOKUP(A284,'Yield Curve'!A277:B899,2,FALSE))^(1/12)-1)</f>
        <v>7.9741404289037643E-3</v>
      </c>
      <c r="M284" s="5">
        <f t="shared" si="43"/>
        <v>-318.82213920465398</v>
      </c>
    </row>
    <row r="285" spans="1:13" x14ac:dyDescent="0.25">
      <c r="A285" s="4">
        <v>277</v>
      </c>
      <c r="B285" s="4">
        <f t="shared" si="36"/>
        <v>68</v>
      </c>
      <c r="C285" s="4">
        <f t="shared" si="37"/>
        <v>292</v>
      </c>
      <c r="D285" s="4">
        <f>IF(B285&gt;'Mortality Table'!$A$118,D284,VLOOKUP(B285,'Mortality Table'!$A$2:$B$118,2,FALSE))</f>
        <v>3.4360000000000002E-2</v>
      </c>
      <c r="E285" s="4">
        <f>IF(INT((C285-1)/12)+1&gt;'Lapse Table'!$A$11,E284,VLOOKUP(INT((C285-1)/12)+1,'Lapse Table'!$A$2:$B$11,2,FALSE))/12</f>
        <v>2.0028315945971242E-189</v>
      </c>
      <c r="F285" s="5">
        <f t="shared" si="44"/>
        <v>0.25224096771250004</v>
      </c>
      <c r="G285" s="6">
        <f t="shared" si="38"/>
        <v>2.8633333333333336E-3</v>
      </c>
      <c r="H285" s="6">
        <f t="shared" si="39"/>
        <v>1.9684229478019457E-189</v>
      </c>
      <c r="I285" s="7">
        <f t="shared" si="40"/>
        <v>8.4080322570833346</v>
      </c>
      <c r="J285" s="8">
        <f t="shared" si="41"/>
        <v>2863.3333333333335</v>
      </c>
      <c r="K285" s="7">
        <f t="shared" si="42"/>
        <v>-2854.92530107625</v>
      </c>
      <c r="L285" s="4">
        <f>IF(A285&gt;'Yield Curve'!A899,L284,(1+VLOOKUP(A285,'Yield Curve'!A278:B900,2,FALSE))^(1/12)-1)</f>
        <v>7.9741404289037643E-3</v>
      </c>
      <c r="M285" s="5">
        <f t="shared" si="43"/>
        <v>-316.31049396635746</v>
      </c>
    </row>
    <row r="286" spans="1:13" x14ac:dyDescent="0.25">
      <c r="A286" s="4">
        <v>278</v>
      </c>
      <c r="B286" s="4">
        <f t="shared" si="36"/>
        <v>68</v>
      </c>
      <c r="C286" s="4">
        <f t="shared" si="37"/>
        <v>293</v>
      </c>
      <c r="D286" s="4">
        <f>IF(B286&gt;'Mortality Table'!$A$118,D285,VLOOKUP(B286,'Mortality Table'!$A$2:$B$118,2,FALSE))</f>
        <v>3.4360000000000002E-2</v>
      </c>
      <c r="E286" s="4">
        <f>IF(INT((C286-1)/12)+1&gt;'Lapse Table'!$A$11,E285,VLOOKUP(INT((C286-1)/12)+1,'Lapse Table'!$A$2:$B$11,2,FALSE))/12</f>
        <v>1.6690263288309367E-190</v>
      </c>
      <c r="F286" s="5">
        <f t="shared" si="44"/>
        <v>0.24937763437916671</v>
      </c>
      <c r="G286" s="6">
        <f t="shared" si="38"/>
        <v>2.8633333333333336E-3</v>
      </c>
      <c r="H286" s="6">
        <f t="shared" si="39"/>
        <v>1.6403524565016212E-190</v>
      </c>
      <c r="I286" s="7">
        <f t="shared" si="40"/>
        <v>8.3125878126388901</v>
      </c>
      <c r="J286" s="8">
        <f t="shared" si="41"/>
        <v>2863.3333333333335</v>
      </c>
      <c r="K286" s="7">
        <f t="shared" si="42"/>
        <v>-2855.0207455206946</v>
      </c>
      <c r="L286" s="4">
        <f>IF(A286&gt;'Yield Curve'!A900,L285,(1+VLOOKUP(A286,'Yield Curve'!A279:B901,2,FALSE))^(1/12)-1)</f>
        <v>7.9741404289037643E-3</v>
      </c>
      <c r="M286" s="5">
        <f t="shared" si="43"/>
        <v>-313.81863483825339</v>
      </c>
    </row>
    <row r="287" spans="1:13" x14ac:dyDescent="0.25">
      <c r="A287" s="4">
        <v>279</v>
      </c>
      <c r="B287" s="4">
        <f t="shared" si="36"/>
        <v>68</v>
      </c>
      <c r="C287" s="4">
        <f t="shared" si="37"/>
        <v>294</v>
      </c>
      <c r="D287" s="4">
        <f>IF(B287&gt;'Mortality Table'!$A$118,D286,VLOOKUP(B287,'Mortality Table'!$A$2:$B$118,2,FALSE))</f>
        <v>3.4360000000000002E-2</v>
      </c>
      <c r="E287" s="4">
        <f>IF(INT((C287-1)/12)+1&gt;'Lapse Table'!$A$11,E286,VLOOKUP(INT((C287-1)/12)+1,'Lapse Table'!$A$2:$B$11,2,FALSE))/12</f>
        <v>1.3908552740257807E-191</v>
      </c>
      <c r="F287" s="5">
        <f t="shared" si="44"/>
        <v>0.24651430104583338</v>
      </c>
      <c r="G287" s="6">
        <f t="shared" si="38"/>
        <v>2.8633333333333336E-3</v>
      </c>
      <c r="H287" s="6">
        <f t="shared" si="39"/>
        <v>1.3669603804180177E-191</v>
      </c>
      <c r="I287" s="7">
        <f t="shared" si="40"/>
        <v>8.2171433681944457</v>
      </c>
      <c r="J287" s="8">
        <f t="shared" si="41"/>
        <v>2863.3333333333335</v>
      </c>
      <c r="K287" s="7">
        <f t="shared" si="42"/>
        <v>-2855.1161899651393</v>
      </c>
      <c r="L287" s="4">
        <f>IF(A287&gt;'Yield Curve'!A901,L286,(1+VLOOKUP(A287,'Yield Curve'!A280:B902,2,FALSE))^(1/12)-1)</f>
        <v>7.9741404289037643E-3</v>
      </c>
      <c r="M287" s="5">
        <f t="shared" si="43"/>
        <v>-311.34640595312271</v>
      </c>
    </row>
    <row r="288" spans="1:13" x14ac:dyDescent="0.25">
      <c r="A288" s="4">
        <v>280</v>
      </c>
      <c r="B288" s="4">
        <f t="shared" si="36"/>
        <v>68</v>
      </c>
      <c r="C288" s="4">
        <f t="shared" si="37"/>
        <v>295</v>
      </c>
      <c r="D288" s="4">
        <f>IF(B288&gt;'Mortality Table'!$A$118,D287,VLOOKUP(B288,'Mortality Table'!$A$2:$B$118,2,FALSE))</f>
        <v>3.4360000000000002E-2</v>
      </c>
      <c r="E288" s="4">
        <f>IF(INT((C288-1)/12)+1&gt;'Lapse Table'!$A$11,E287,VLOOKUP(INT((C288-1)/12)+1,'Lapse Table'!$A$2:$B$11,2,FALSE))/12</f>
        <v>1.1590460616881505E-192</v>
      </c>
      <c r="F288" s="5">
        <f t="shared" si="44"/>
        <v>0.24365096771250006</v>
      </c>
      <c r="G288" s="6">
        <f t="shared" si="38"/>
        <v>2.8633333333333336E-3</v>
      </c>
      <c r="H288" s="6">
        <f t="shared" si="39"/>
        <v>1.1391336503483482E-192</v>
      </c>
      <c r="I288" s="7">
        <f t="shared" si="40"/>
        <v>8.1216989237500012</v>
      </c>
      <c r="J288" s="8">
        <f t="shared" si="41"/>
        <v>2863.3333333333335</v>
      </c>
      <c r="K288" s="7">
        <f t="shared" si="42"/>
        <v>-2855.2116344095834</v>
      </c>
      <c r="L288" s="4">
        <f>IF(A288&gt;'Yield Curve'!A902,L287,(1+VLOOKUP(A288,'Yield Curve'!A281:B903,2,FALSE))^(1/12)-1)</f>
        <v>7.9741404289037643E-3</v>
      </c>
      <c r="M288" s="5">
        <f t="shared" si="43"/>
        <v>-308.89365267158519</v>
      </c>
    </row>
    <row r="289" spans="1:13" x14ac:dyDescent="0.25">
      <c r="A289" s="4">
        <v>281</v>
      </c>
      <c r="B289" s="4">
        <f t="shared" si="36"/>
        <v>68</v>
      </c>
      <c r="C289" s="4">
        <f t="shared" si="37"/>
        <v>296</v>
      </c>
      <c r="D289" s="4">
        <f>IF(B289&gt;'Mortality Table'!$A$118,D288,VLOOKUP(B289,'Mortality Table'!$A$2:$B$118,2,FALSE))</f>
        <v>3.4360000000000002E-2</v>
      </c>
      <c r="E289" s="4">
        <f>IF(INT((C289-1)/12)+1&gt;'Lapse Table'!$A$11,E288,VLOOKUP(INT((C289-1)/12)+1,'Lapse Table'!$A$2:$B$11,2,FALSE))/12</f>
        <v>9.6587171807345879E-194</v>
      </c>
      <c r="F289" s="5">
        <f t="shared" si="44"/>
        <v>0.24078763437916673</v>
      </c>
      <c r="G289" s="6">
        <f t="shared" si="38"/>
        <v>2.8633333333333336E-3</v>
      </c>
      <c r="H289" s="6">
        <f t="shared" si="39"/>
        <v>9.4927804195695683E-194</v>
      </c>
      <c r="I289" s="7">
        <f t="shared" si="40"/>
        <v>8.0262544793055586</v>
      </c>
      <c r="J289" s="8">
        <f t="shared" si="41"/>
        <v>2863.3333333333335</v>
      </c>
      <c r="K289" s="7">
        <f t="shared" si="42"/>
        <v>-2855.3070788540281</v>
      </c>
      <c r="L289" s="4">
        <f>IF(A289&gt;'Yield Curve'!A903,L288,(1+VLOOKUP(A289,'Yield Curve'!A282:B904,2,FALSE))^(1/12)-1)</f>
        <v>7.9741404289037643E-3</v>
      </c>
      <c r="M289" s="5">
        <f t="shared" si="43"/>
        <v>-306.46022157242754</v>
      </c>
    </row>
    <row r="290" spans="1:13" x14ac:dyDescent="0.25">
      <c r="A290" s="4">
        <v>282</v>
      </c>
      <c r="B290" s="4">
        <f t="shared" si="36"/>
        <v>68</v>
      </c>
      <c r="C290" s="4">
        <f t="shared" si="37"/>
        <v>297</v>
      </c>
      <c r="D290" s="4">
        <f>IF(B290&gt;'Mortality Table'!$A$118,D289,VLOOKUP(B290,'Mortality Table'!$A$2:$B$118,2,FALSE))</f>
        <v>3.4360000000000002E-2</v>
      </c>
      <c r="E290" s="4">
        <f>IF(INT((C290-1)/12)+1&gt;'Lapse Table'!$A$11,E289,VLOOKUP(INT((C290-1)/12)+1,'Lapse Table'!$A$2:$B$11,2,FALSE))/12</f>
        <v>8.0489309839454894E-195</v>
      </c>
      <c r="F290" s="5">
        <f t="shared" si="44"/>
        <v>0.2379243010458334</v>
      </c>
      <c r="G290" s="6">
        <f t="shared" si="38"/>
        <v>2.8633333333333336E-3</v>
      </c>
      <c r="H290" s="6">
        <f t="shared" si="39"/>
        <v>7.9106503496413054E-195</v>
      </c>
      <c r="I290" s="7">
        <f t="shared" si="40"/>
        <v>7.9308100348611132</v>
      </c>
      <c r="J290" s="8">
        <f t="shared" si="41"/>
        <v>2863.3333333333335</v>
      </c>
      <c r="K290" s="7">
        <f t="shared" si="42"/>
        <v>-2855.4025232984723</v>
      </c>
      <c r="L290" s="4">
        <f>IF(A290&gt;'Yield Curve'!A904,L289,(1+VLOOKUP(A290,'Yield Curve'!A283:B905,2,FALSE))^(1/12)-1)</f>
        <v>7.9741404289037643E-3</v>
      </c>
      <c r="M290" s="5">
        <f t="shared" si="43"/>
        <v>-304.04596044300678</v>
      </c>
    </row>
    <row r="291" spans="1:13" x14ac:dyDescent="0.25">
      <c r="A291" s="4">
        <v>283</v>
      </c>
      <c r="B291" s="4">
        <f t="shared" si="36"/>
        <v>68</v>
      </c>
      <c r="C291" s="4">
        <f t="shared" si="37"/>
        <v>298</v>
      </c>
      <c r="D291" s="4">
        <f>IF(B291&gt;'Mortality Table'!$A$118,D290,VLOOKUP(B291,'Mortality Table'!$A$2:$B$118,2,FALSE))</f>
        <v>3.4360000000000002E-2</v>
      </c>
      <c r="E291" s="4">
        <f>IF(INT((C291-1)/12)+1&gt;'Lapse Table'!$A$11,E290,VLOOKUP(INT((C291-1)/12)+1,'Lapse Table'!$A$2:$B$11,2,FALSE))/12</f>
        <v>6.7074424866212409E-196</v>
      </c>
      <c r="F291" s="5">
        <f t="shared" si="44"/>
        <v>0.23506096771250007</v>
      </c>
      <c r="G291" s="6">
        <f t="shared" si="38"/>
        <v>2.8633333333333336E-3</v>
      </c>
      <c r="H291" s="6">
        <f t="shared" si="39"/>
        <v>6.5922086247010878E-196</v>
      </c>
      <c r="I291" s="7">
        <f t="shared" si="40"/>
        <v>7.8353655904166688</v>
      </c>
      <c r="J291" s="8">
        <f t="shared" si="41"/>
        <v>2863.3333333333335</v>
      </c>
      <c r="K291" s="7">
        <f t="shared" si="42"/>
        <v>-2855.4979677429169</v>
      </c>
      <c r="L291" s="4">
        <f>IF(A291&gt;'Yield Curve'!A905,L290,(1+VLOOKUP(A291,'Yield Curve'!A284:B906,2,FALSE))^(1/12)-1)</f>
        <v>7.9741404289037643E-3</v>
      </c>
      <c r="M291" s="5">
        <f t="shared" si="43"/>
        <v>-301.65071826973076</v>
      </c>
    </row>
    <row r="292" spans="1:13" x14ac:dyDescent="0.25">
      <c r="A292" s="4">
        <v>284</v>
      </c>
      <c r="B292" s="4">
        <f t="shared" si="36"/>
        <v>68</v>
      </c>
      <c r="C292" s="4">
        <f t="shared" si="37"/>
        <v>299</v>
      </c>
      <c r="D292" s="4">
        <f>IF(B292&gt;'Mortality Table'!$A$118,D291,VLOOKUP(B292,'Mortality Table'!$A$2:$B$118,2,FALSE))</f>
        <v>3.4360000000000002E-2</v>
      </c>
      <c r="E292" s="4">
        <f>IF(INT((C292-1)/12)+1&gt;'Lapse Table'!$A$11,E291,VLOOKUP(INT((C292-1)/12)+1,'Lapse Table'!$A$2:$B$11,2,FALSE))/12</f>
        <v>5.5895354055177011E-197</v>
      </c>
      <c r="F292" s="5">
        <f t="shared" si="44"/>
        <v>0.23219763437916674</v>
      </c>
      <c r="G292" s="6">
        <f t="shared" si="38"/>
        <v>2.8633333333333336E-3</v>
      </c>
      <c r="H292" s="6">
        <f t="shared" si="39"/>
        <v>5.4935071872509069E-197</v>
      </c>
      <c r="I292" s="7">
        <f t="shared" si="40"/>
        <v>7.7399211459722252</v>
      </c>
      <c r="J292" s="8">
        <f t="shared" si="41"/>
        <v>2863.3333333333335</v>
      </c>
      <c r="K292" s="7">
        <f t="shared" si="42"/>
        <v>-2855.5934121873611</v>
      </c>
      <c r="L292" s="4">
        <f>IF(A292&gt;'Yield Curve'!A906,L291,(1+VLOOKUP(A292,'Yield Curve'!A285:B907,2,FALSE))^(1/12)-1)</f>
        <v>7.9741404289037643E-3</v>
      </c>
      <c r="M292" s="5">
        <f t="shared" si="43"/>
        <v>-299.27434522861211</v>
      </c>
    </row>
    <row r="293" spans="1:13" x14ac:dyDescent="0.25">
      <c r="A293" s="4">
        <v>285</v>
      </c>
      <c r="B293" s="4">
        <f t="shared" si="36"/>
        <v>68</v>
      </c>
      <c r="C293" s="4">
        <f t="shared" si="37"/>
        <v>300</v>
      </c>
      <c r="D293" s="4">
        <f>IF(B293&gt;'Mortality Table'!$A$118,D292,VLOOKUP(B293,'Mortality Table'!$A$2:$B$118,2,FALSE))</f>
        <v>3.4360000000000002E-2</v>
      </c>
      <c r="E293" s="4">
        <f>IF(INT((C293-1)/12)+1&gt;'Lapse Table'!$A$11,E292,VLOOKUP(INT((C293-1)/12)+1,'Lapse Table'!$A$2:$B$11,2,FALSE))/12</f>
        <v>4.6579461712647507E-198</v>
      </c>
      <c r="F293" s="5">
        <f t="shared" si="44"/>
        <v>0.22933430104583341</v>
      </c>
      <c r="G293" s="6">
        <f t="shared" si="38"/>
        <v>2.8633333333333336E-3</v>
      </c>
      <c r="H293" s="6">
        <f t="shared" si="39"/>
        <v>4.5779226560424227E-198</v>
      </c>
      <c r="I293" s="7">
        <f t="shared" si="40"/>
        <v>7.6444767015277799</v>
      </c>
      <c r="J293" s="8">
        <f t="shared" si="41"/>
        <v>2863.3333333333335</v>
      </c>
      <c r="K293" s="7">
        <f t="shared" si="42"/>
        <v>-2855.6888566318057</v>
      </c>
      <c r="L293" s="4">
        <f>IF(A293&gt;'Yield Curve'!A907,L292,(1+VLOOKUP(A293,'Yield Curve'!A286:B908,2,FALSE))^(1/12)-1)</f>
        <v>7.9741404289037643E-3</v>
      </c>
      <c r="M293" s="5">
        <f t="shared" si="43"/>
        <v>-296.91669267589782</v>
      </c>
    </row>
    <row r="294" spans="1:13" x14ac:dyDescent="0.25">
      <c r="A294" s="4">
        <v>286</v>
      </c>
      <c r="B294" s="4">
        <f t="shared" si="36"/>
        <v>68</v>
      </c>
      <c r="C294" s="4">
        <f t="shared" si="37"/>
        <v>301</v>
      </c>
      <c r="D294" s="4">
        <f>IF(B294&gt;'Mortality Table'!$A$118,D293,VLOOKUP(B294,'Mortality Table'!$A$2:$B$118,2,FALSE))</f>
        <v>3.4360000000000002E-2</v>
      </c>
      <c r="E294" s="4">
        <f>IF(INT((C294-1)/12)+1&gt;'Lapse Table'!$A$11,E293,VLOOKUP(INT((C294-1)/12)+1,'Lapse Table'!$A$2:$B$11,2,FALSE))/12</f>
        <v>3.8816218093872921E-199</v>
      </c>
      <c r="F294" s="5">
        <f t="shared" si="44"/>
        <v>0.22647096771250008</v>
      </c>
      <c r="G294" s="6">
        <f t="shared" si="38"/>
        <v>2.8633333333333336E-3</v>
      </c>
      <c r="H294" s="6">
        <f t="shared" si="39"/>
        <v>3.8149355467020184E-199</v>
      </c>
      <c r="I294" s="7">
        <f t="shared" si="40"/>
        <v>7.5490322570833364</v>
      </c>
      <c r="J294" s="8">
        <f t="shared" si="41"/>
        <v>2863.3333333333335</v>
      </c>
      <c r="K294" s="7">
        <f t="shared" si="42"/>
        <v>-2855.7843010762504</v>
      </c>
      <c r="L294" s="4">
        <f>IF(A294&gt;'Yield Curve'!A908,L293,(1+VLOOKUP(A294,'Yield Curve'!A287:B909,2,FALSE))^(1/12)-1)</f>
        <v>7.9741404289037643E-3</v>
      </c>
      <c r="M294" s="5">
        <f t="shared" si="43"/>
        <v>-294.57761313877205</v>
      </c>
    </row>
    <row r="295" spans="1:13" x14ac:dyDescent="0.25">
      <c r="A295" s="4">
        <v>287</v>
      </c>
      <c r="B295" s="4">
        <f t="shared" si="36"/>
        <v>68</v>
      </c>
      <c r="C295" s="4">
        <f t="shared" si="37"/>
        <v>302</v>
      </c>
      <c r="D295" s="4">
        <f>IF(B295&gt;'Mortality Table'!$A$118,D294,VLOOKUP(B295,'Mortality Table'!$A$2:$B$118,2,FALSE))</f>
        <v>3.4360000000000002E-2</v>
      </c>
      <c r="E295" s="4">
        <f>IF(INT((C295-1)/12)+1&gt;'Lapse Table'!$A$11,E294,VLOOKUP(INT((C295-1)/12)+1,'Lapse Table'!$A$2:$B$11,2,FALSE))/12</f>
        <v>3.2346848411560769E-200</v>
      </c>
      <c r="F295" s="5">
        <f t="shared" si="44"/>
        <v>0.22360763437916675</v>
      </c>
      <c r="G295" s="6">
        <f t="shared" si="38"/>
        <v>2.8633333333333336E-3</v>
      </c>
      <c r="H295" s="6">
        <f t="shared" si="39"/>
        <v>3.1791129555850154E-200</v>
      </c>
      <c r="I295" s="7">
        <f t="shared" si="40"/>
        <v>7.453587812638891</v>
      </c>
      <c r="J295" s="8">
        <f t="shared" si="41"/>
        <v>2863.3333333333335</v>
      </c>
      <c r="K295" s="7">
        <f t="shared" si="42"/>
        <v>-2855.8797455206945</v>
      </c>
      <c r="L295" s="4">
        <f>IF(A295&gt;'Yield Curve'!A909,L294,(1+VLOOKUP(A295,'Yield Curve'!A288:B910,2,FALSE))^(1/12)-1)</f>
        <v>7.9741404289037643E-3</v>
      </c>
      <c r="M295" s="5">
        <f t="shared" si="43"/>
        <v>-292.25696030613204</v>
      </c>
    </row>
    <row r="296" spans="1:13" x14ac:dyDescent="0.25">
      <c r="A296" s="4">
        <v>288</v>
      </c>
      <c r="B296" s="4">
        <f t="shared" si="36"/>
        <v>69</v>
      </c>
      <c r="C296" s="4">
        <f t="shared" si="37"/>
        <v>303</v>
      </c>
      <c r="D296" s="4">
        <f>IF(B296&gt;'Mortality Table'!$A$118,D295,VLOOKUP(B296,'Mortality Table'!$A$2:$B$118,2,FALSE))</f>
        <v>3.7629999999999997E-2</v>
      </c>
      <c r="E296" s="4">
        <f>IF(INT((C296-1)/12)+1&gt;'Lapse Table'!$A$11,E295,VLOOKUP(INT((C296-1)/12)+1,'Lapse Table'!$A$2:$B$11,2,FALSE))/12</f>
        <v>2.6955707009633976E-201</v>
      </c>
      <c r="F296" s="5">
        <f t="shared" si="44"/>
        <v>0.22047180104583342</v>
      </c>
      <c r="G296" s="6">
        <f t="shared" si="38"/>
        <v>3.1358333333333329E-3</v>
      </c>
      <c r="H296" s="6">
        <f t="shared" si="39"/>
        <v>2.6448535382247712E-201</v>
      </c>
      <c r="I296" s="7">
        <f t="shared" si="40"/>
        <v>7.3490600348611137</v>
      </c>
      <c r="J296" s="8">
        <f t="shared" si="41"/>
        <v>3135.833333333333</v>
      </c>
      <c r="K296" s="7">
        <f t="shared" si="42"/>
        <v>-3128.4842732984721</v>
      </c>
      <c r="L296" s="4">
        <f>IF(A296&gt;'Yield Curve'!A910,L295,(1+VLOOKUP(A296,'Yield Curve'!A289:B911,2,FALSE))^(1/12)-1)</f>
        <v>7.9741404289037643E-3</v>
      </c>
      <c r="M296" s="5">
        <f t="shared" si="43"/>
        <v>-317.62123666386032</v>
      </c>
    </row>
    <row r="297" spans="1:13" x14ac:dyDescent="0.25">
      <c r="A297" s="4">
        <v>289</v>
      </c>
      <c r="B297" s="4">
        <f t="shared" si="36"/>
        <v>69</v>
      </c>
      <c r="C297" s="4">
        <f t="shared" si="37"/>
        <v>304</v>
      </c>
      <c r="D297" s="4">
        <f>IF(B297&gt;'Mortality Table'!$A$118,D296,VLOOKUP(B297,'Mortality Table'!$A$2:$B$118,2,FALSE))</f>
        <v>3.7629999999999997E-2</v>
      </c>
      <c r="E297" s="4">
        <f>IF(INT((C297-1)/12)+1&gt;'Lapse Table'!$A$11,E296,VLOOKUP(INT((C297-1)/12)+1,'Lapse Table'!$A$2:$B$11,2,FALSE))/12</f>
        <v>2.2463089174694981E-202</v>
      </c>
      <c r="F297" s="5">
        <f t="shared" si="44"/>
        <v>0.21733596771250008</v>
      </c>
      <c r="G297" s="6">
        <f t="shared" si="38"/>
        <v>3.1358333333333329E-3</v>
      </c>
      <c r="H297" s="6">
        <f t="shared" si="39"/>
        <v>2.2040446151873095E-202</v>
      </c>
      <c r="I297" s="7">
        <f t="shared" si="40"/>
        <v>7.2445322570833355</v>
      </c>
      <c r="J297" s="8">
        <f t="shared" si="41"/>
        <v>3135.833333333333</v>
      </c>
      <c r="K297" s="7">
        <f t="shared" si="42"/>
        <v>-3128.5888010762496</v>
      </c>
      <c r="L297" s="4">
        <f>IF(A297&gt;'Yield Curve'!A911,L296,(1+VLOOKUP(A297,'Yield Curve'!A290:B912,2,FALSE))^(1/12)-1)</f>
        <v>7.9741404289037643E-3</v>
      </c>
      <c r="M297" s="5">
        <f t="shared" si="43"/>
        <v>-315.11904538925029</v>
      </c>
    </row>
    <row r="298" spans="1:13" x14ac:dyDescent="0.25">
      <c r="A298" s="4">
        <v>290</v>
      </c>
      <c r="B298" s="4">
        <f t="shared" si="36"/>
        <v>69</v>
      </c>
      <c r="C298" s="4">
        <f t="shared" si="37"/>
        <v>305</v>
      </c>
      <c r="D298" s="4">
        <f>IF(B298&gt;'Mortality Table'!$A$118,D297,VLOOKUP(B298,'Mortality Table'!$A$2:$B$118,2,FALSE))</f>
        <v>3.7629999999999997E-2</v>
      </c>
      <c r="E298" s="4">
        <f>IF(INT((C298-1)/12)+1&gt;'Lapse Table'!$A$11,E297,VLOOKUP(INT((C298-1)/12)+1,'Lapse Table'!$A$2:$B$11,2,FALSE))/12</f>
        <v>1.8719240978912485E-203</v>
      </c>
      <c r="F298" s="5">
        <f t="shared" si="44"/>
        <v>0.21420013437916674</v>
      </c>
      <c r="G298" s="6">
        <f t="shared" si="38"/>
        <v>3.1358333333333329E-3</v>
      </c>
      <c r="H298" s="6">
        <f t="shared" si="39"/>
        <v>1.8367038459894246E-203</v>
      </c>
      <c r="I298" s="7">
        <f t="shared" si="40"/>
        <v>7.1400044793055573</v>
      </c>
      <c r="J298" s="8">
        <f t="shared" si="41"/>
        <v>3135.833333333333</v>
      </c>
      <c r="K298" s="7">
        <f t="shared" si="42"/>
        <v>-3128.6933288540276</v>
      </c>
      <c r="L298" s="4">
        <f>IF(A298&gt;'Yield Curve'!A912,L297,(1+VLOOKUP(A298,'Yield Curve'!A291:B913,2,FALSE))^(1/12)-1)</f>
        <v>7.9741404289037643E-3</v>
      </c>
      <c r="M298" s="5">
        <f t="shared" si="43"/>
        <v>-312.63656580141406</v>
      </c>
    </row>
    <row r="299" spans="1:13" x14ac:dyDescent="0.25">
      <c r="A299" s="4">
        <v>291</v>
      </c>
      <c r="B299" s="4">
        <f t="shared" si="36"/>
        <v>69</v>
      </c>
      <c r="C299" s="4">
        <f t="shared" si="37"/>
        <v>306</v>
      </c>
      <c r="D299" s="4">
        <f>IF(B299&gt;'Mortality Table'!$A$118,D298,VLOOKUP(B299,'Mortality Table'!$A$2:$B$118,2,FALSE))</f>
        <v>3.7629999999999997E-2</v>
      </c>
      <c r="E299" s="4">
        <f>IF(INT((C299-1)/12)+1&gt;'Lapse Table'!$A$11,E298,VLOOKUP(INT((C299-1)/12)+1,'Lapse Table'!$A$2:$B$11,2,FALSE))/12</f>
        <v>1.5599367482427072E-204</v>
      </c>
      <c r="F299" s="5">
        <f t="shared" si="44"/>
        <v>0.2110643010458334</v>
      </c>
      <c r="G299" s="6">
        <f t="shared" si="38"/>
        <v>3.1358333333333329E-3</v>
      </c>
      <c r="H299" s="6">
        <f t="shared" si="39"/>
        <v>1.5305865383245205E-204</v>
      </c>
      <c r="I299" s="7">
        <f t="shared" si="40"/>
        <v>7.0354767015277799</v>
      </c>
      <c r="J299" s="8">
        <f t="shared" si="41"/>
        <v>3135.833333333333</v>
      </c>
      <c r="K299" s="7">
        <f t="shared" si="42"/>
        <v>-3128.7978566318052</v>
      </c>
      <c r="L299" s="4">
        <f>IF(A299&gt;'Yield Curve'!A913,L298,(1+VLOOKUP(A299,'Yield Curve'!A292:B914,2,FALSE))^(1/12)-1)</f>
        <v>7.9741404289037643E-3</v>
      </c>
      <c r="M299" s="5">
        <f t="shared" si="43"/>
        <v>-310.17364261899394</v>
      </c>
    </row>
    <row r="300" spans="1:13" x14ac:dyDescent="0.25">
      <c r="A300" s="4">
        <v>292</v>
      </c>
      <c r="B300" s="4">
        <f t="shared" si="36"/>
        <v>69</v>
      </c>
      <c r="C300" s="4">
        <f t="shared" si="37"/>
        <v>307</v>
      </c>
      <c r="D300" s="4">
        <f>IF(B300&gt;'Mortality Table'!$A$118,D299,VLOOKUP(B300,'Mortality Table'!$A$2:$B$118,2,FALSE))</f>
        <v>3.7629999999999997E-2</v>
      </c>
      <c r="E300" s="4">
        <f>IF(INT((C300-1)/12)+1&gt;'Lapse Table'!$A$11,E299,VLOOKUP(INT((C300-1)/12)+1,'Lapse Table'!$A$2:$B$11,2,FALSE))/12</f>
        <v>1.299947290202256E-205</v>
      </c>
      <c r="F300" s="5">
        <f t="shared" si="44"/>
        <v>0.20792846771250006</v>
      </c>
      <c r="G300" s="6">
        <f t="shared" si="38"/>
        <v>3.1358333333333329E-3</v>
      </c>
      <c r="H300" s="6">
        <f t="shared" si="39"/>
        <v>1.2754887819371006E-205</v>
      </c>
      <c r="I300" s="7">
        <f t="shared" si="40"/>
        <v>6.9309489237500017</v>
      </c>
      <c r="J300" s="8">
        <f t="shared" si="41"/>
        <v>3135.833333333333</v>
      </c>
      <c r="K300" s="7">
        <f t="shared" si="42"/>
        <v>-3128.9023844095832</v>
      </c>
      <c r="L300" s="4">
        <f>IF(A300&gt;'Yield Curve'!A914,L299,(1+VLOOKUP(A300,'Yield Curve'!A293:B915,2,FALSE))^(1/12)-1)</f>
        <v>7.9741404289037643E-3</v>
      </c>
      <c r="M300" s="5">
        <f t="shared" si="43"/>
        <v>-307.7301217838592</v>
      </c>
    </row>
    <row r="301" spans="1:13" x14ac:dyDescent="0.25">
      <c r="A301" s="4">
        <v>293</v>
      </c>
      <c r="B301" s="4">
        <f t="shared" si="36"/>
        <v>69</v>
      </c>
      <c r="C301" s="4">
        <f t="shared" si="37"/>
        <v>308</v>
      </c>
      <c r="D301" s="4">
        <f>IF(B301&gt;'Mortality Table'!$A$118,D300,VLOOKUP(B301,'Mortality Table'!$A$2:$B$118,2,FALSE))</f>
        <v>3.7629999999999997E-2</v>
      </c>
      <c r="E301" s="4">
        <f>IF(INT((C301-1)/12)+1&gt;'Lapse Table'!$A$11,E300,VLOOKUP(INT((C301-1)/12)+1,'Lapse Table'!$A$2:$B$11,2,FALSE))/12</f>
        <v>1.0832894085018801E-206</v>
      </c>
      <c r="F301" s="5">
        <f t="shared" si="44"/>
        <v>0.20479263437916673</v>
      </c>
      <c r="G301" s="6">
        <f t="shared" si="38"/>
        <v>3.1358333333333329E-3</v>
      </c>
      <c r="H301" s="6">
        <f t="shared" si="39"/>
        <v>1.0629073182809171E-206</v>
      </c>
      <c r="I301" s="7">
        <f t="shared" si="40"/>
        <v>6.8264211459722235</v>
      </c>
      <c r="J301" s="8">
        <f t="shared" si="41"/>
        <v>3135.833333333333</v>
      </c>
      <c r="K301" s="7">
        <f t="shared" si="42"/>
        <v>-3129.0069121873607</v>
      </c>
      <c r="L301" s="4">
        <f>IF(A301&gt;'Yield Curve'!A915,L300,(1+VLOOKUP(A301,'Yield Curve'!A294:B916,2,FALSE))^(1/12)-1)</f>
        <v>7.9741404289037643E-3</v>
      </c>
      <c r="M301" s="5">
        <f t="shared" si="43"/>
        <v>-305.30585045147023</v>
      </c>
    </row>
    <row r="302" spans="1:13" x14ac:dyDescent="0.25">
      <c r="A302" s="4">
        <v>294</v>
      </c>
      <c r="B302" s="4">
        <f t="shared" si="36"/>
        <v>69</v>
      </c>
      <c r="C302" s="4">
        <f t="shared" si="37"/>
        <v>309</v>
      </c>
      <c r="D302" s="4">
        <f>IF(B302&gt;'Mortality Table'!$A$118,D301,VLOOKUP(B302,'Mortality Table'!$A$2:$B$118,2,FALSE))</f>
        <v>3.7629999999999997E-2</v>
      </c>
      <c r="E302" s="4">
        <f>IF(INT((C302-1)/12)+1&gt;'Lapse Table'!$A$11,E301,VLOOKUP(INT((C302-1)/12)+1,'Lapse Table'!$A$2:$B$11,2,FALSE))/12</f>
        <v>9.0274117375156679E-208</v>
      </c>
      <c r="F302" s="5">
        <f t="shared" si="44"/>
        <v>0.20165680104583339</v>
      </c>
      <c r="G302" s="6">
        <f t="shared" si="38"/>
        <v>3.1358333333333329E-3</v>
      </c>
      <c r="H302" s="6">
        <f t="shared" si="39"/>
        <v>8.8575609856743101E-208</v>
      </c>
      <c r="I302" s="7">
        <f t="shared" si="40"/>
        <v>6.7218933681944462</v>
      </c>
      <c r="J302" s="8">
        <f t="shared" si="41"/>
        <v>3135.833333333333</v>
      </c>
      <c r="K302" s="7">
        <f t="shared" si="42"/>
        <v>-3129.1114399651387</v>
      </c>
      <c r="L302" s="4">
        <f>IF(A302&gt;'Yield Curve'!A916,L301,(1+VLOOKUP(A302,'Yield Curve'!A295:B917,2,FALSE))^(1/12)-1)</f>
        <v>7.9741404289037643E-3</v>
      </c>
      <c r="M302" s="5">
        <f t="shared" si="43"/>
        <v>-302.90067698131878</v>
      </c>
    </row>
    <row r="303" spans="1:13" x14ac:dyDescent="0.25">
      <c r="A303" s="4">
        <v>295</v>
      </c>
      <c r="B303" s="4">
        <f t="shared" si="36"/>
        <v>69</v>
      </c>
      <c r="C303" s="4">
        <f t="shared" si="37"/>
        <v>310</v>
      </c>
      <c r="D303" s="4">
        <f>IF(B303&gt;'Mortality Table'!$A$118,D302,VLOOKUP(B303,'Mortality Table'!$A$2:$B$118,2,FALSE))</f>
        <v>3.7629999999999997E-2</v>
      </c>
      <c r="E303" s="4">
        <f>IF(INT((C303-1)/12)+1&gt;'Lapse Table'!$A$11,E302,VLOOKUP(INT((C303-1)/12)+1,'Lapse Table'!$A$2:$B$11,2,FALSE))/12</f>
        <v>7.5228431145963903E-209</v>
      </c>
      <c r="F303" s="5">
        <f t="shared" si="44"/>
        <v>0.19852096771250005</v>
      </c>
      <c r="G303" s="6">
        <f t="shared" si="38"/>
        <v>3.1358333333333329E-3</v>
      </c>
      <c r="H303" s="6">
        <f t="shared" si="39"/>
        <v>7.3813008213952595E-209</v>
      </c>
      <c r="I303" s="7">
        <f t="shared" si="40"/>
        <v>6.6173655904166679</v>
      </c>
      <c r="J303" s="8">
        <f t="shared" si="41"/>
        <v>3135.833333333333</v>
      </c>
      <c r="K303" s="7">
        <f t="shared" si="42"/>
        <v>-3129.2159677429163</v>
      </c>
      <c r="L303" s="4">
        <f>IF(A303&gt;'Yield Curve'!A917,L302,(1+VLOOKUP(A303,'Yield Curve'!A296:B918,2,FALSE))^(1/12)-1)</f>
        <v>7.9741404289037643E-3</v>
      </c>
      <c r="M303" s="5">
        <f t="shared" si="43"/>
        <v>-300.51445092744297</v>
      </c>
    </row>
    <row r="304" spans="1:13" x14ac:dyDescent="0.25">
      <c r="A304" s="4">
        <v>296</v>
      </c>
      <c r="B304" s="4">
        <f t="shared" si="36"/>
        <v>69</v>
      </c>
      <c r="C304" s="4">
        <f t="shared" si="37"/>
        <v>311</v>
      </c>
      <c r="D304" s="4">
        <f>IF(B304&gt;'Mortality Table'!$A$118,D303,VLOOKUP(B304,'Mortality Table'!$A$2:$B$118,2,FALSE))</f>
        <v>3.7629999999999997E-2</v>
      </c>
      <c r="E304" s="4">
        <f>IF(INT((C304-1)/12)+1&gt;'Lapse Table'!$A$11,E303,VLOOKUP(INT((C304-1)/12)+1,'Lapse Table'!$A$2:$B$11,2,FALSE))/12</f>
        <v>6.2690359288303257E-210</v>
      </c>
      <c r="F304" s="5">
        <f t="shared" si="44"/>
        <v>0.19538513437916671</v>
      </c>
      <c r="G304" s="6">
        <f t="shared" si="38"/>
        <v>3.1358333333333329E-3</v>
      </c>
      <c r="H304" s="6">
        <f t="shared" si="39"/>
        <v>6.1510840178293833E-210</v>
      </c>
      <c r="I304" s="7">
        <f t="shared" si="40"/>
        <v>6.5128378126388897</v>
      </c>
      <c r="J304" s="8">
        <f t="shared" si="41"/>
        <v>3135.833333333333</v>
      </c>
      <c r="K304" s="7">
        <f t="shared" si="42"/>
        <v>-3129.3204955206943</v>
      </c>
      <c r="L304" s="4">
        <f>IF(A304&gt;'Yield Curve'!A918,L303,(1+VLOOKUP(A304,'Yield Curve'!A297:B919,2,FALSE))^(1/12)-1)</f>
        <v>7.9741404289037643E-3</v>
      </c>
      <c r="M304" s="5">
        <f t="shared" si="43"/>
        <v>-298.14702302901816</v>
      </c>
    </row>
    <row r="305" spans="1:13" x14ac:dyDescent="0.25">
      <c r="A305" s="4">
        <v>297</v>
      </c>
      <c r="B305" s="4">
        <f t="shared" si="36"/>
        <v>69</v>
      </c>
      <c r="C305" s="4">
        <f t="shared" si="37"/>
        <v>312</v>
      </c>
      <c r="D305" s="4">
        <f>IF(B305&gt;'Mortality Table'!$A$118,D304,VLOOKUP(B305,'Mortality Table'!$A$2:$B$118,2,FALSE))</f>
        <v>3.7629999999999997E-2</v>
      </c>
      <c r="E305" s="4">
        <f>IF(INT((C305-1)/12)+1&gt;'Lapse Table'!$A$11,E304,VLOOKUP(INT((C305-1)/12)+1,'Lapse Table'!$A$2:$B$11,2,FALSE))/12</f>
        <v>5.224196607358605E-211</v>
      </c>
      <c r="F305" s="5">
        <f t="shared" si="44"/>
        <v>0.19224930104583338</v>
      </c>
      <c r="G305" s="6">
        <f t="shared" si="38"/>
        <v>3.1358333333333329E-3</v>
      </c>
      <c r="H305" s="6">
        <f t="shared" si="39"/>
        <v>5.1259033481911528E-211</v>
      </c>
      <c r="I305" s="7">
        <f t="shared" si="40"/>
        <v>6.4083100348611124</v>
      </c>
      <c r="J305" s="8">
        <f t="shared" si="41"/>
        <v>3135.833333333333</v>
      </c>
      <c r="K305" s="7">
        <f t="shared" si="42"/>
        <v>-3129.4250232984718</v>
      </c>
      <c r="L305" s="4">
        <f>IF(A305&gt;'Yield Curve'!A919,L304,(1+VLOOKUP(A305,'Yield Curve'!A298:B920,2,FALSE))^(1/12)-1)</f>
        <v>7.9741404289037643E-3</v>
      </c>
      <c r="M305" s="5">
        <f t="shared" si="43"/>
        <v>-295.79824520102051</v>
      </c>
    </row>
    <row r="306" spans="1:13" x14ac:dyDescent="0.25">
      <c r="A306" s="4">
        <v>298</v>
      </c>
      <c r="B306" s="4">
        <f t="shared" si="36"/>
        <v>69</v>
      </c>
      <c r="C306" s="4">
        <f t="shared" si="37"/>
        <v>313</v>
      </c>
      <c r="D306" s="4">
        <f>IF(B306&gt;'Mortality Table'!$A$118,D305,VLOOKUP(B306,'Mortality Table'!$A$2:$B$118,2,FALSE))</f>
        <v>3.7629999999999997E-2</v>
      </c>
      <c r="E306" s="4">
        <f>IF(INT((C306-1)/12)+1&gt;'Lapse Table'!$A$11,E305,VLOOKUP(INT((C306-1)/12)+1,'Lapse Table'!$A$2:$B$11,2,FALSE))/12</f>
        <v>4.3534971727988374E-212</v>
      </c>
      <c r="F306" s="5">
        <f t="shared" si="44"/>
        <v>0.18911346771250004</v>
      </c>
      <c r="G306" s="6">
        <f t="shared" si="38"/>
        <v>3.1358333333333329E-3</v>
      </c>
      <c r="H306" s="6">
        <f t="shared" si="39"/>
        <v>4.2715861234926271E-212</v>
      </c>
      <c r="I306" s="7">
        <f t="shared" si="40"/>
        <v>6.3037822570833342</v>
      </c>
      <c r="J306" s="8">
        <f t="shared" si="41"/>
        <v>3135.833333333333</v>
      </c>
      <c r="K306" s="7">
        <f t="shared" si="42"/>
        <v>-3129.5295510762498</v>
      </c>
      <c r="L306" s="4">
        <f>IF(A306&gt;'Yield Curve'!A920,L305,(1+VLOOKUP(A306,'Yield Curve'!A299:B921,2,FALSE))^(1/12)-1)</f>
        <v>7.9741404289037643E-3</v>
      </c>
      <c r="M306" s="5">
        <f t="shared" si="43"/>
        <v>-293.46797052496532</v>
      </c>
    </row>
    <row r="307" spans="1:13" x14ac:dyDescent="0.25">
      <c r="A307" s="4">
        <v>299</v>
      </c>
      <c r="B307" s="4">
        <f t="shared" si="36"/>
        <v>69</v>
      </c>
      <c r="C307" s="4">
        <f t="shared" si="37"/>
        <v>314</v>
      </c>
      <c r="D307" s="4">
        <f>IF(B307&gt;'Mortality Table'!$A$118,D306,VLOOKUP(B307,'Mortality Table'!$A$2:$B$118,2,FALSE))</f>
        <v>3.7629999999999997E-2</v>
      </c>
      <c r="E307" s="4">
        <f>IF(INT((C307-1)/12)+1&gt;'Lapse Table'!$A$11,E306,VLOOKUP(INT((C307-1)/12)+1,'Lapse Table'!$A$2:$B$11,2,FALSE))/12</f>
        <v>3.627914310665698E-213</v>
      </c>
      <c r="F307" s="5">
        <f t="shared" si="44"/>
        <v>0.1859776343791667</v>
      </c>
      <c r="G307" s="6">
        <f t="shared" si="38"/>
        <v>3.1358333333333329E-3</v>
      </c>
      <c r="H307" s="6">
        <f t="shared" si="39"/>
        <v>3.5596551029105226E-213</v>
      </c>
      <c r="I307" s="7">
        <f t="shared" si="40"/>
        <v>6.199254479305556</v>
      </c>
      <c r="J307" s="8">
        <f t="shared" si="41"/>
        <v>3135.833333333333</v>
      </c>
      <c r="K307" s="7">
        <f t="shared" si="42"/>
        <v>-3129.6340788540274</v>
      </c>
      <c r="L307" s="4">
        <f>IF(A307&gt;'Yield Curve'!A921,L306,(1+VLOOKUP(A307,'Yield Curve'!A300:B922,2,FALSE))^(1/12)-1)</f>
        <v>7.9741404289037643E-3</v>
      </c>
      <c r="M307" s="5">
        <f t="shared" si="43"/>
        <v>-291.15605323971738</v>
      </c>
    </row>
    <row r="308" spans="1:13" x14ac:dyDescent="0.25">
      <c r="A308" s="4">
        <v>300</v>
      </c>
      <c r="B308" s="4">
        <f t="shared" si="36"/>
        <v>70</v>
      </c>
      <c r="C308" s="4">
        <f t="shared" si="37"/>
        <v>315</v>
      </c>
      <c r="D308" s="4">
        <f>IF(B308&gt;'Mortality Table'!$A$118,D307,VLOOKUP(B308,'Mortality Table'!$A$2:$B$118,2,FALSE))</f>
        <v>4.1209999999999997E-2</v>
      </c>
      <c r="E308" s="4">
        <f>IF(INT((C308-1)/12)+1&gt;'Lapse Table'!$A$11,E307,VLOOKUP(INT((C308-1)/12)+1,'Lapse Table'!$A$2:$B$11,2,FALSE))/12</f>
        <v>3.0232619255547482E-214</v>
      </c>
      <c r="F308" s="5">
        <f t="shared" si="44"/>
        <v>0.18254346771250005</v>
      </c>
      <c r="G308" s="6">
        <f t="shared" si="38"/>
        <v>3.4341666666666665E-3</v>
      </c>
      <c r="H308" s="6">
        <f t="shared" si="39"/>
        <v>2.9609676135786927E-214</v>
      </c>
      <c r="I308" s="7">
        <f t="shared" si="40"/>
        <v>6.0847822570833356</v>
      </c>
      <c r="J308" s="8">
        <f t="shared" si="41"/>
        <v>3434.1666666666665</v>
      </c>
      <c r="K308" s="7">
        <f t="shared" si="42"/>
        <v>-3428.0818844095834</v>
      </c>
      <c r="L308" s="4">
        <f>IF(A308&gt;'Yield Curve'!A922,L307,(1+VLOOKUP(A308,'Yield Curve'!A301:B923,2,FALSE))^(1/12)-1)</f>
        <v>7.9741404289037643E-3</v>
      </c>
      <c r="M308" s="5">
        <f t="shared" si="43"/>
        <v>-316.39823935429121</v>
      </c>
    </row>
    <row r="309" spans="1:13" x14ac:dyDescent="0.25">
      <c r="A309" s="4">
        <v>301</v>
      </c>
      <c r="B309" s="4">
        <f t="shared" si="36"/>
        <v>70</v>
      </c>
      <c r="C309" s="4">
        <f t="shared" si="37"/>
        <v>316</v>
      </c>
      <c r="D309" s="4">
        <f>IF(B309&gt;'Mortality Table'!$A$118,D308,VLOOKUP(B309,'Mortality Table'!$A$2:$B$118,2,FALSE))</f>
        <v>4.1209999999999997E-2</v>
      </c>
      <c r="E309" s="4">
        <f>IF(INT((C309-1)/12)+1&gt;'Lapse Table'!$A$11,E308,VLOOKUP(INT((C309-1)/12)+1,'Lapse Table'!$A$2:$B$11,2,FALSE))/12</f>
        <v>2.51938493796229E-215</v>
      </c>
      <c r="F309" s="5">
        <f t="shared" si="44"/>
        <v>0.17910930104583339</v>
      </c>
      <c r="G309" s="6">
        <f t="shared" si="38"/>
        <v>3.4341666666666665E-3</v>
      </c>
      <c r="H309" s="6">
        <f t="shared" si="39"/>
        <v>2.4674730113155773E-215</v>
      </c>
      <c r="I309" s="7">
        <f t="shared" si="40"/>
        <v>5.9703100348611136</v>
      </c>
      <c r="J309" s="8">
        <f t="shared" si="41"/>
        <v>3434.1666666666665</v>
      </c>
      <c r="K309" s="7">
        <f t="shared" si="42"/>
        <v>-3428.1963566318054</v>
      </c>
      <c r="L309" s="4">
        <f>IF(A309&gt;'Yield Curve'!A923,L308,(1+VLOOKUP(A309,'Yield Curve'!A302:B924,2,FALSE))^(1/12)-1)</f>
        <v>7.9741404289037643E-3</v>
      </c>
      <c r="M309" s="5">
        <f t="shared" si="43"/>
        <v>-313.90567673459304</v>
      </c>
    </row>
    <row r="310" spans="1:13" x14ac:dyDescent="0.25">
      <c r="A310" s="4">
        <v>302</v>
      </c>
      <c r="B310" s="4">
        <f t="shared" si="36"/>
        <v>70</v>
      </c>
      <c r="C310" s="4">
        <f t="shared" si="37"/>
        <v>317</v>
      </c>
      <c r="D310" s="4">
        <f>IF(B310&gt;'Mortality Table'!$A$118,D309,VLOOKUP(B310,'Mortality Table'!$A$2:$B$118,2,FALSE))</f>
        <v>4.1209999999999997E-2</v>
      </c>
      <c r="E310" s="4">
        <f>IF(INT((C310-1)/12)+1&gt;'Lapse Table'!$A$11,E309,VLOOKUP(INT((C310-1)/12)+1,'Lapse Table'!$A$2:$B$11,2,FALSE))/12</f>
        <v>2.0994874483019083E-216</v>
      </c>
      <c r="F310" s="5">
        <f t="shared" si="44"/>
        <v>0.17567513437916674</v>
      </c>
      <c r="G310" s="6">
        <f t="shared" si="38"/>
        <v>3.4341666666666665E-3</v>
      </c>
      <c r="H310" s="6">
        <f t="shared" si="39"/>
        <v>2.0562275094296476E-216</v>
      </c>
      <c r="I310" s="7">
        <f t="shared" si="40"/>
        <v>5.8558378126388915</v>
      </c>
      <c r="J310" s="8">
        <f t="shared" si="41"/>
        <v>3434.1666666666665</v>
      </c>
      <c r="K310" s="7">
        <f t="shared" si="42"/>
        <v>-3428.3108288540275</v>
      </c>
      <c r="L310" s="4">
        <f>IF(A310&gt;'Yield Curve'!A924,L309,(1+VLOOKUP(A310,'Yield Curve'!A303:B925,2,FALSE))^(1/12)-1)</f>
        <v>7.9741404289037643E-3</v>
      </c>
      <c r="M310" s="5">
        <f t="shared" si="43"/>
        <v>-311.4327499970629</v>
      </c>
    </row>
    <row r="311" spans="1:13" x14ac:dyDescent="0.25">
      <c r="A311" s="4">
        <v>303</v>
      </c>
      <c r="B311" s="4">
        <f t="shared" si="36"/>
        <v>70</v>
      </c>
      <c r="C311" s="4">
        <f t="shared" si="37"/>
        <v>318</v>
      </c>
      <c r="D311" s="4">
        <f>IF(B311&gt;'Mortality Table'!$A$118,D310,VLOOKUP(B311,'Mortality Table'!$A$2:$B$118,2,FALSE))</f>
        <v>4.1209999999999997E-2</v>
      </c>
      <c r="E311" s="4">
        <f>IF(INT((C311-1)/12)+1&gt;'Lapse Table'!$A$11,E310,VLOOKUP(INT((C311-1)/12)+1,'Lapse Table'!$A$2:$B$11,2,FALSE))/12</f>
        <v>1.7495728735849236E-217</v>
      </c>
      <c r="F311" s="5">
        <f t="shared" si="44"/>
        <v>0.17224096771250008</v>
      </c>
      <c r="G311" s="6">
        <f t="shared" si="38"/>
        <v>3.4341666666666665E-3</v>
      </c>
      <c r="H311" s="6">
        <f t="shared" si="39"/>
        <v>1.7135229245247063E-217</v>
      </c>
      <c r="I311" s="7">
        <f t="shared" si="40"/>
        <v>5.7413655904166694</v>
      </c>
      <c r="J311" s="8">
        <f t="shared" si="41"/>
        <v>3434.1666666666665</v>
      </c>
      <c r="K311" s="7">
        <f t="shared" si="42"/>
        <v>-3428.42530107625</v>
      </c>
      <c r="L311" s="4">
        <f>IF(A311&gt;'Yield Curve'!A925,L310,(1+VLOOKUP(A311,'Yield Curve'!A304:B926,2,FALSE))^(1/12)-1)</f>
        <v>7.9741404289037643E-3</v>
      </c>
      <c r="M311" s="5">
        <f t="shared" si="43"/>
        <v>-308.97930445712467</v>
      </c>
    </row>
    <row r="312" spans="1:13" x14ac:dyDescent="0.25">
      <c r="A312" s="4">
        <v>304</v>
      </c>
      <c r="B312" s="4">
        <f t="shared" si="36"/>
        <v>70</v>
      </c>
      <c r="C312" s="4">
        <f t="shared" si="37"/>
        <v>319</v>
      </c>
      <c r="D312" s="4">
        <f>IF(B312&gt;'Mortality Table'!$A$118,D311,VLOOKUP(B312,'Mortality Table'!$A$2:$B$118,2,FALSE))</f>
        <v>4.1209999999999997E-2</v>
      </c>
      <c r="E312" s="4">
        <f>IF(INT((C312-1)/12)+1&gt;'Lapse Table'!$A$11,E311,VLOOKUP(INT((C312-1)/12)+1,'Lapse Table'!$A$2:$B$11,2,FALSE))/12</f>
        <v>1.4579773946541029E-218</v>
      </c>
      <c r="F312" s="5">
        <f t="shared" si="44"/>
        <v>0.16880680104583343</v>
      </c>
      <c r="G312" s="6">
        <f t="shared" si="38"/>
        <v>3.4341666666666665E-3</v>
      </c>
      <c r="H312" s="6">
        <f t="shared" si="39"/>
        <v>1.427935770437255E-218</v>
      </c>
      <c r="I312" s="7">
        <f t="shared" si="40"/>
        <v>5.6268933681944473</v>
      </c>
      <c r="J312" s="8">
        <f t="shared" si="41"/>
        <v>3434.1666666666665</v>
      </c>
      <c r="K312" s="7">
        <f t="shared" si="42"/>
        <v>-3428.539773298472</v>
      </c>
      <c r="L312" s="4">
        <f>IF(A312&gt;'Yield Curve'!A926,L311,(1+VLOOKUP(A312,'Yield Curve'!A305:B927,2,FALSE))^(1/12)-1)</f>
        <v>7.9741404289037643E-3</v>
      </c>
      <c r="M312" s="5">
        <f t="shared" si="43"/>
        <v>-306.54518664873063</v>
      </c>
    </row>
    <row r="313" spans="1:13" x14ac:dyDescent="0.25">
      <c r="A313" s="4">
        <v>305</v>
      </c>
      <c r="B313" s="4">
        <f t="shared" si="36"/>
        <v>70</v>
      </c>
      <c r="C313" s="4">
        <f t="shared" si="37"/>
        <v>320</v>
      </c>
      <c r="D313" s="4">
        <f>IF(B313&gt;'Mortality Table'!$A$118,D312,VLOOKUP(B313,'Mortality Table'!$A$2:$B$118,2,FALSE))</f>
        <v>4.1209999999999997E-2</v>
      </c>
      <c r="E313" s="4">
        <f>IF(INT((C313-1)/12)+1&gt;'Lapse Table'!$A$11,E312,VLOOKUP(INT((C313-1)/12)+1,'Lapse Table'!$A$2:$B$11,2,FALSE))/12</f>
        <v>1.2149811622117524E-219</v>
      </c>
      <c r="F313" s="5">
        <f t="shared" si="44"/>
        <v>0.16537263437916677</v>
      </c>
      <c r="G313" s="6">
        <f t="shared" si="38"/>
        <v>3.4341666666666665E-3</v>
      </c>
      <c r="H313" s="6">
        <f t="shared" si="39"/>
        <v>1.1899464753643793E-219</v>
      </c>
      <c r="I313" s="7">
        <f t="shared" si="40"/>
        <v>5.5124211459722261</v>
      </c>
      <c r="J313" s="8">
        <f t="shared" si="41"/>
        <v>3434.1666666666665</v>
      </c>
      <c r="K313" s="7">
        <f t="shared" si="42"/>
        <v>-3428.6542455206941</v>
      </c>
      <c r="L313" s="4">
        <f>IF(A313&gt;'Yield Curve'!A927,L312,(1+VLOOKUP(A313,'Yield Curve'!A306:B928,2,FALSE))^(1/12)-1)</f>
        <v>7.9741404289037643E-3</v>
      </c>
      <c r="M313" s="5">
        <f t="shared" si="43"/>
        <v>-304.13024431476373</v>
      </c>
    </row>
    <row r="314" spans="1:13" x14ac:dyDescent="0.25">
      <c r="A314" s="4">
        <v>306</v>
      </c>
      <c r="B314" s="4">
        <f t="shared" si="36"/>
        <v>70</v>
      </c>
      <c r="C314" s="4">
        <f t="shared" si="37"/>
        <v>321</v>
      </c>
      <c r="D314" s="4">
        <f>IF(B314&gt;'Mortality Table'!$A$118,D313,VLOOKUP(B314,'Mortality Table'!$A$2:$B$118,2,FALSE))</f>
        <v>4.1209999999999997E-2</v>
      </c>
      <c r="E314" s="4">
        <f>IF(INT((C314-1)/12)+1&gt;'Lapse Table'!$A$11,E313,VLOOKUP(INT((C314-1)/12)+1,'Lapse Table'!$A$2:$B$11,2,FALSE))/12</f>
        <v>1.012484301843127E-220</v>
      </c>
      <c r="F314" s="5">
        <f t="shared" si="44"/>
        <v>0.16193846771250012</v>
      </c>
      <c r="G314" s="6">
        <f t="shared" si="38"/>
        <v>3.4341666666666665E-3</v>
      </c>
      <c r="H314" s="6">
        <f t="shared" si="39"/>
        <v>9.9162206280364942E-221</v>
      </c>
      <c r="I314" s="7">
        <f t="shared" si="40"/>
        <v>5.397948923750004</v>
      </c>
      <c r="J314" s="8">
        <f t="shared" si="41"/>
        <v>3434.1666666666665</v>
      </c>
      <c r="K314" s="7">
        <f t="shared" si="42"/>
        <v>-3428.7687177429166</v>
      </c>
      <c r="L314" s="4">
        <f>IF(A314&gt;'Yield Curve'!A928,L313,(1+VLOOKUP(A314,'Yield Curve'!A307:B929,2,FALSE))^(1/12)-1)</f>
        <v>7.9741404289037643E-3</v>
      </c>
      <c r="M314" s="5">
        <f t="shared" si="43"/>
        <v>-301.7343263975132</v>
      </c>
    </row>
    <row r="315" spans="1:13" x14ac:dyDescent="0.25">
      <c r="A315" s="4">
        <v>307</v>
      </c>
      <c r="B315" s="4">
        <f t="shared" si="36"/>
        <v>70</v>
      </c>
      <c r="C315" s="4">
        <f t="shared" si="37"/>
        <v>322</v>
      </c>
      <c r="D315" s="4">
        <f>IF(B315&gt;'Mortality Table'!$A$118,D314,VLOOKUP(B315,'Mortality Table'!$A$2:$B$118,2,FALSE))</f>
        <v>4.1209999999999997E-2</v>
      </c>
      <c r="E315" s="4">
        <f>IF(INT((C315-1)/12)+1&gt;'Lapse Table'!$A$11,E314,VLOOKUP(INT((C315-1)/12)+1,'Lapse Table'!$A$2:$B$11,2,FALSE))/12</f>
        <v>8.437369182026059E-222</v>
      </c>
      <c r="F315" s="5">
        <f t="shared" si="44"/>
        <v>0.15850430104583346</v>
      </c>
      <c r="G315" s="6">
        <f t="shared" si="38"/>
        <v>3.4341666666666665E-3</v>
      </c>
      <c r="H315" s="6">
        <f t="shared" si="39"/>
        <v>8.2635171900304126E-222</v>
      </c>
      <c r="I315" s="7">
        <f t="shared" si="40"/>
        <v>5.2834767015277819</v>
      </c>
      <c r="J315" s="8">
        <f t="shared" si="41"/>
        <v>3434.1666666666665</v>
      </c>
      <c r="K315" s="7">
        <f t="shared" si="42"/>
        <v>-3428.8831899651386</v>
      </c>
      <c r="L315" s="4">
        <f>IF(A315&gt;'Yield Curve'!A929,L314,(1+VLOOKUP(A315,'Yield Curve'!A308:B930,2,FALSE))^(1/12)-1)</f>
        <v>7.9741404289037643E-3</v>
      </c>
      <c r="M315" s="5">
        <f t="shared" si="43"/>
        <v>-299.35728302922712</v>
      </c>
    </row>
    <row r="316" spans="1:13" x14ac:dyDescent="0.25">
      <c r="A316" s="4">
        <v>308</v>
      </c>
      <c r="B316" s="4">
        <f t="shared" si="36"/>
        <v>70</v>
      </c>
      <c r="C316" s="4">
        <f t="shared" si="37"/>
        <v>323</v>
      </c>
      <c r="D316" s="4">
        <f>IF(B316&gt;'Mortality Table'!$A$118,D315,VLOOKUP(B316,'Mortality Table'!$A$2:$B$118,2,FALSE))</f>
        <v>4.1209999999999997E-2</v>
      </c>
      <c r="E316" s="4">
        <f>IF(INT((C316-1)/12)+1&gt;'Lapse Table'!$A$11,E315,VLOOKUP(INT((C316-1)/12)+1,'Lapse Table'!$A$2:$B$11,2,FALSE))/12</f>
        <v>7.0311409850217158E-223</v>
      </c>
      <c r="F316" s="5">
        <f t="shared" si="44"/>
        <v>0.15507013437916681</v>
      </c>
      <c r="G316" s="6">
        <f t="shared" si="38"/>
        <v>3.4341666666666665E-3</v>
      </c>
      <c r="H316" s="6">
        <f t="shared" si="39"/>
        <v>6.8862643250253438E-223</v>
      </c>
      <c r="I316" s="7">
        <f t="shared" si="40"/>
        <v>5.1690044793055607</v>
      </c>
      <c r="J316" s="8">
        <f t="shared" si="41"/>
        <v>3434.1666666666665</v>
      </c>
      <c r="K316" s="7">
        <f t="shared" si="42"/>
        <v>-3428.9976621873611</v>
      </c>
      <c r="L316" s="4">
        <f>IF(A316&gt;'Yield Curve'!A930,L315,(1+VLOOKUP(A316,'Yield Curve'!A309:B931,2,FALSE))^(1/12)-1)</f>
        <v>7.9741404289037643E-3</v>
      </c>
      <c r="M316" s="5">
        <f t="shared" si="43"/>
        <v>-296.99896552273839</v>
      </c>
    </row>
    <row r="317" spans="1:13" x14ac:dyDescent="0.25">
      <c r="A317" s="4">
        <v>309</v>
      </c>
      <c r="B317" s="4">
        <f t="shared" si="36"/>
        <v>70</v>
      </c>
      <c r="C317" s="4">
        <f t="shared" si="37"/>
        <v>324</v>
      </c>
      <c r="D317" s="4">
        <f>IF(B317&gt;'Mortality Table'!$A$118,D316,VLOOKUP(B317,'Mortality Table'!$A$2:$B$118,2,FALSE))</f>
        <v>4.1209999999999997E-2</v>
      </c>
      <c r="E317" s="4">
        <f>IF(INT((C317-1)/12)+1&gt;'Lapse Table'!$A$11,E316,VLOOKUP(INT((C317-1)/12)+1,'Lapse Table'!$A$2:$B$11,2,FALSE))/12</f>
        <v>5.8592841541847632E-224</v>
      </c>
      <c r="F317" s="5">
        <f t="shared" si="44"/>
        <v>0.15163596771250015</v>
      </c>
      <c r="G317" s="6">
        <f t="shared" si="38"/>
        <v>3.4341666666666665E-3</v>
      </c>
      <c r="H317" s="6">
        <f t="shared" si="39"/>
        <v>5.7385536041877865E-224</v>
      </c>
      <c r="I317" s="7">
        <f t="shared" si="40"/>
        <v>5.0545322570833386</v>
      </c>
      <c r="J317" s="8">
        <f t="shared" si="41"/>
        <v>3434.1666666666665</v>
      </c>
      <c r="K317" s="7">
        <f t="shared" si="42"/>
        <v>-3429.1121344095832</v>
      </c>
      <c r="L317" s="4">
        <f>IF(A317&gt;'Yield Curve'!A931,L316,(1+VLOOKUP(A317,'Yield Curve'!A310:B932,2,FALSE))^(1/12)-1)</f>
        <v>7.9741404289037643E-3</v>
      </c>
      <c r="M317" s="5">
        <f t="shared" si="43"/>
        <v>-294.65922636216482</v>
      </c>
    </row>
    <row r="318" spans="1:13" x14ac:dyDescent="0.25">
      <c r="A318" s="4">
        <v>310</v>
      </c>
      <c r="B318" s="4">
        <f t="shared" si="36"/>
        <v>70</v>
      </c>
      <c r="C318" s="4">
        <f t="shared" si="37"/>
        <v>325</v>
      </c>
      <c r="D318" s="4">
        <f>IF(B318&gt;'Mortality Table'!$A$118,D317,VLOOKUP(B318,'Mortality Table'!$A$2:$B$118,2,FALSE))</f>
        <v>4.1209999999999997E-2</v>
      </c>
      <c r="E318" s="4">
        <f>IF(INT((C318-1)/12)+1&gt;'Lapse Table'!$A$11,E317,VLOOKUP(INT((C318-1)/12)+1,'Lapse Table'!$A$2:$B$11,2,FALSE))/12</f>
        <v>4.8827367951539693E-225</v>
      </c>
      <c r="F318" s="5">
        <f t="shared" si="44"/>
        <v>0.1482018010458335</v>
      </c>
      <c r="G318" s="6">
        <f t="shared" si="38"/>
        <v>3.4341666666666665E-3</v>
      </c>
      <c r="H318" s="6">
        <f t="shared" si="39"/>
        <v>4.7821280034898221E-225</v>
      </c>
      <c r="I318" s="7">
        <f t="shared" si="40"/>
        <v>4.9400600348611166</v>
      </c>
      <c r="J318" s="8">
        <f t="shared" si="41"/>
        <v>3434.1666666666665</v>
      </c>
      <c r="K318" s="7">
        <f t="shared" si="42"/>
        <v>-3429.2266066318052</v>
      </c>
      <c r="L318" s="4">
        <f>IF(A318&gt;'Yield Curve'!A932,L317,(1+VLOOKUP(A318,'Yield Curve'!A311:B933,2,FALSE))^(1/12)-1)</f>
        <v>7.9741404289037643E-3</v>
      </c>
      <c r="M318" s="5">
        <f t="shared" si="43"/>
        <v>-292.33791919368309</v>
      </c>
    </row>
    <row r="319" spans="1:13" x14ac:dyDescent="0.25">
      <c r="A319" s="4">
        <v>311</v>
      </c>
      <c r="B319" s="4">
        <f t="shared" si="36"/>
        <v>70</v>
      </c>
      <c r="C319" s="4">
        <f t="shared" si="37"/>
        <v>326</v>
      </c>
      <c r="D319" s="4">
        <f>IF(B319&gt;'Mortality Table'!$A$118,D318,VLOOKUP(B319,'Mortality Table'!$A$2:$B$118,2,FALSE))</f>
        <v>4.1209999999999997E-2</v>
      </c>
      <c r="E319" s="4">
        <f>IF(INT((C319-1)/12)+1&gt;'Lapse Table'!$A$11,E318,VLOOKUP(INT((C319-1)/12)+1,'Lapse Table'!$A$2:$B$11,2,FALSE))/12</f>
        <v>4.0689473292949742E-226</v>
      </c>
      <c r="F319" s="5">
        <f t="shared" si="44"/>
        <v>0.14476763437916684</v>
      </c>
      <c r="G319" s="6">
        <f t="shared" si="38"/>
        <v>3.4341666666666665E-3</v>
      </c>
      <c r="H319" s="6">
        <f t="shared" si="39"/>
        <v>3.985106669574851E-226</v>
      </c>
      <c r="I319" s="7">
        <f t="shared" si="40"/>
        <v>4.8255878126388945</v>
      </c>
      <c r="J319" s="8">
        <f t="shared" si="41"/>
        <v>3434.1666666666665</v>
      </c>
      <c r="K319" s="7">
        <f t="shared" si="42"/>
        <v>-3429.3410788540277</v>
      </c>
      <c r="L319" s="4">
        <f>IF(A319&gt;'Yield Curve'!A933,L318,(1+VLOOKUP(A319,'Yield Curve'!A312:B934,2,FALSE))^(1/12)-1)</f>
        <v>7.9741404289037643E-3</v>
      </c>
      <c r="M319" s="5">
        <f t="shared" si="43"/>
        <v>-290.03489881637358</v>
      </c>
    </row>
    <row r="320" spans="1:13" x14ac:dyDescent="0.25">
      <c r="A320" s="4">
        <v>312</v>
      </c>
      <c r="B320" s="4">
        <f t="shared" si="36"/>
        <v>71</v>
      </c>
      <c r="C320" s="4">
        <f t="shared" si="37"/>
        <v>327</v>
      </c>
      <c r="D320" s="4">
        <f>IF(B320&gt;'Mortality Table'!$A$118,D319,VLOOKUP(B320,'Mortality Table'!$A$2:$B$118,2,FALSE))</f>
        <v>4.5109999999999997E-2</v>
      </c>
      <c r="E320" s="4">
        <f>IF(INT((C320-1)/12)+1&gt;'Lapse Table'!$A$11,E319,VLOOKUP(INT((C320-1)/12)+1,'Lapse Table'!$A$2:$B$11,2,FALSE))/12</f>
        <v>3.390789441079145E-227</v>
      </c>
      <c r="F320" s="5">
        <f t="shared" si="44"/>
        <v>0.14100846771250017</v>
      </c>
      <c r="G320" s="6">
        <f t="shared" si="38"/>
        <v>3.7591666666666663E-3</v>
      </c>
      <c r="H320" s="6">
        <f t="shared" si="39"/>
        <v>3.3143101852356047E-227</v>
      </c>
      <c r="I320" s="7">
        <f t="shared" si="40"/>
        <v>4.7002822570833391</v>
      </c>
      <c r="J320" s="8">
        <f t="shared" si="41"/>
        <v>3759.1666666666665</v>
      </c>
      <c r="K320" s="7">
        <f t="shared" si="42"/>
        <v>-3754.466384409583</v>
      </c>
      <c r="L320" s="4">
        <f>IF(A320&gt;'Yield Curve'!A934,L319,(1+VLOOKUP(A320,'Yield Curve'!A313:B935,2,FALSE))^(1/12)-1)</f>
        <v>7.9741404289037643E-3</v>
      </c>
      <c r="M320" s="5">
        <f t="shared" si="43"/>
        <v>-315.02020233755707</v>
      </c>
    </row>
    <row r="321" spans="1:13" x14ac:dyDescent="0.25">
      <c r="A321" s="4">
        <v>313</v>
      </c>
      <c r="B321" s="4">
        <f t="shared" si="36"/>
        <v>71</v>
      </c>
      <c r="C321" s="4">
        <f t="shared" si="37"/>
        <v>328</v>
      </c>
      <c r="D321" s="4">
        <f>IF(B321&gt;'Mortality Table'!$A$118,D320,VLOOKUP(B321,'Mortality Table'!$A$2:$B$118,2,FALSE))</f>
        <v>4.5109999999999997E-2</v>
      </c>
      <c r="E321" s="4">
        <f>IF(INT((C321-1)/12)+1&gt;'Lapse Table'!$A$11,E320,VLOOKUP(INT((C321-1)/12)+1,'Lapse Table'!$A$2:$B$11,2,FALSE))/12</f>
        <v>2.825657867565954E-228</v>
      </c>
      <c r="F321" s="5">
        <f t="shared" si="44"/>
        <v>0.13724930104583349</v>
      </c>
      <c r="G321" s="6">
        <f t="shared" si="38"/>
        <v>3.7591666666666663E-3</v>
      </c>
      <c r="H321" s="6">
        <f t="shared" si="39"/>
        <v>2.7619251543630039E-228</v>
      </c>
      <c r="I321" s="7">
        <f t="shared" si="40"/>
        <v>4.5749767015277829</v>
      </c>
      <c r="J321" s="8">
        <f t="shared" si="41"/>
        <v>3759.1666666666665</v>
      </c>
      <c r="K321" s="7">
        <f t="shared" si="42"/>
        <v>-3754.5916899651388</v>
      </c>
      <c r="L321" s="4">
        <f>IF(A321&gt;'Yield Curve'!A935,L320,(1+VLOOKUP(A321,'Yield Curve'!A314:B936,2,FALSE))^(1/12)-1)</f>
        <v>7.9741404289037643E-3</v>
      </c>
      <c r="M321" s="5">
        <f t="shared" si="43"/>
        <v>-312.5384903454929</v>
      </c>
    </row>
    <row r="322" spans="1:13" x14ac:dyDescent="0.25">
      <c r="A322" s="4">
        <v>314</v>
      </c>
      <c r="B322" s="4">
        <f t="shared" si="36"/>
        <v>71</v>
      </c>
      <c r="C322" s="4">
        <f t="shared" si="37"/>
        <v>329</v>
      </c>
      <c r="D322" s="4">
        <f>IF(B322&gt;'Mortality Table'!$A$118,D321,VLOOKUP(B322,'Mortality Table'!$A$2:$B$118,2,FALSE))</f>
        <v>4.5109999999999997E-2</v>
      </c>
      <c r="E322" s="4">
        <f>IF(INT((C322-1)/12)+1&gt;'Lapse Table'!$A$11,E321,VLOOKUP(INT((C322-1)/12)+1,'Lapse Table'!$A$2:$B$11,2,FALSE))/12</f>
        <v>2.354714889638295E-229</v>
      </c>
      <c r="F322" s="5">
        <f t="shared" si="44"/>
        <v>0.13349013437916682</v>
      </c>
      <c r="G322" s="6">
        <f t="shared" si="38"/>
        <v>3.7591666666666663E-3</v>
      </c>
      <c r="H322" s="6">
        <f t="shared" si="39"/>
        <v>2.3016042953025034E-229</v>
      </c>
      <c r="I322" s="7">
        <f t="shared" si="40"/>
        <v>4.4496711459722276</v>
      </c>
      <c r="J322" s="8">
        <f t="shared" si="41"/>
        <v>3759.1666666666665</v>
      </c>
      <c r="K322" s="7">
        <f t="shared" si="42"/>
        <v>-3754.7169955206941</v>
      </c>
      <c r="L322" s="4">
        <f>IF(A322&gt;'Yield Curve'!A936,L321,(1+VLOOKUP(A322,'Yield Curve'!A315:B937,2,FALSE))^(1/12)-1)</f>
        <v>7.9741404289037643E-3</v>
      </c>
      <c r="M322" s="5">
        <f t="shared" si="43"/>
        <v>-310.07632879993184</v>
      </c>
    </row>
    <row r="323" spans="1:13" x14ac:dyDescent="0.25">
      <c r="A323" s="4">
        <v>315</v>
      </c>
      <c r="B323" s="4">
        <f t="shared" si="36"/>
        <v>71</v>
      </c>
      <c r="C323" s="4">
        <f t="shared" si="37"/>
        <v>330</v>
      </c>
      <c r="D323" s="4">
        <f>IF(B323&gt;'Mortality Table'!$A$118,D322,VLOOKUP(B323,'Mortality Table'!$A$2:$B$118,2,FALSE))</f>
        <v>4.5109999999999997E-2</v>
      </c>
      <c r="E323" s="4">
        <f>IF(INT((C323-1)/12)+1&gt;'Lapse Table'!$A$11,E322,VLOOKUP(INT((C323-1)/12)+1,'Lapse Table'!$A$2:$B$11,2,FALSE))/12</f>
        <v>1.9622624080319125E-230</v>
      </c>
      <c r="F323" s="5">
        <f t="shared" si="44"/>
        <v>0.12973096771250014</v>
      </c>
      <c r="G323" s="6">
        <f t="shared" si="38"/>
        <v>3.7591666666666663E-3</v>
      </c>
      <c r="H323" s="6">
        <f t="shared" si="39"/>
        <v>1.9180035794187527E-230</v>
      </c>
      <c r="I323" s="7">
        <f t="shared" si="40"/>
        <v>4.3243655904166713</v>
      </c>
      <c r="J323" s="8">
        <f t="shared" si="41"/>
        <v>3759.1666666666665</v>
      </c>
      <c r="K323" s="7">
        <f t="shared" si="42"/>
        <v>-3754.8423010762499</v>
      </c>
      <c r="L323" s="4">
        <f>IF(A323&gt;'Yield Curve'!A937,L322,(1+VLOOKUP(A323,'Yield Curve'!A316:B938,2,FALSE))^(1/12)-1)</f>
        <v>7.9741404289037643E-3</v>
      </c>
      <c r="M323" s="5">
        <f t="shared" si="43"/>
        <v>-307.63356368898599</v>
      </c>
    </row>
    <row r="324" spans="1:13" x14ac:dyDescent="0.25">
      <c r="A324" s="4">
        <v>316</v>
      </c>
      <c r="B324" s="4">
        <f t="shared" si="36"/>
        <v>71</v>
      </c>
      <c r="C324" s="4">
        <f t="shared" si="37"/>
        <v>331</v>
      </c>
      <c r="D324" s="4">
        <f>IF(B324&gt;'Mortality Table'!$A$118,D323,VLOOKUP(B324,'Mortality Table'!$A$2:$B$118,2,FALSE))</f>
        <v>4.5109999999999997E-2</v>
      </c>
      <c r="E324" s="4">
        <f>IF(INT((C324-1)/12)+1&gt;'Lapse Table'!$A$11,E323,VLOOKUP(INT((C324-1)/12)+1,'Lapse Table'!$A$2:$B$11,2,FALSE))/12</f>
        <v>1.635218673359927E-231</v>
      </c>
      <c r="F324" s="5">
        <f t="shared" si="44"/>
        <v>0.12597180104583347</v>
      </c>
      <c r="G324" s="6">
        <f t="shared" si="38"/>
        <v>3.7591666666666663E-3</v>
      </c>
      <c r="H324" s="6">
        <f t="shared" si="39"/>
        <v>1.5983363161822938E-231</v>
      </c>
      <c r="I324" s="7">
        <f t="shared" si="40"/>
        <v>4.1990600348611151</v>
      </c>
      <c r="J324" s="8">
        <f t="shared" si="41"/>
        <v>3759.1666666666665</v>
      </c>
      <c r="K324" s="7">
        <f t="shared" si="42"/>
        <v>-3754.9676066318052</v>
      </c>
      <c r="L324" s="4">
        <f>IF(A324&gt;'Yield Curve'!A938,L323,(1+VLOOKUP(A324,'Yield Curve'!A317:B939,2,FALSE))^(1/12)-1)</f>
        <v>7.9741404289037643E-3</v>
      </c>
      <c r="M324" s="5">
        <f t="shared" si="43"/>
        <v>-305.21004221399971</v>
      </c>
    </row>
    <row r="325" spans="1:13" x14ac:dyDescent="0.25">
      <c r="A325" s="4">
        <v>317</v>
      </c>
      <c r="B325" s="4">
        <f t="shared" si="36"/>
        <v>71</v>
      </c>
      <c r="C325" s="4">
        <f t="shared" si="37"/>
        <v>332</v>
      </c>
      <c r="D325" s="4">
        <f>IF(B325&gt;'Mortality Table'!$A$118,D324,VLOOKUP(B325,'Mortality Table'!$A$2:$B$118,2,FALSE))</f>
        <v>4.5109999999999997E-2</v>
      </c>
      <c r="E325" s="4">
        <f>IF(INT((C325-1)/12)+1&gt;'Lapse Table'!$A$11,E324,VLOOKUP(INT((C325-1)/12)+1,'Lapse Table'!$A$2:$B$11,2,FALSE))/12</f>
        <v>1.3626822277999391E-232</v>
      </c>
      <c r="F325" s="5">
        <f t="shared" si="44"/>
        <v>0.12221263437916681</v>
      </c>
      <c r="G325" s="6">
        <f t="shared" si="38"/>
        <v>3.7591666666666663E-3</v>
      </c>
      <c r="H325" s="6">
        <f t="shared" si="39"/>
        <v>1.3319469301519115E-232</v>
      </c>
      <c r="I325" s="7">
        <f t="shared" si="40"/>
        <v>4.0737544793055607</v>
      </c>
      <c r="J325" s="8">
        <f t="shared" si="41"/>
        <v>3759.1666666666665</v>
      </c>
      <c r="K325" s="7">
        <f t="shared" si="42"/>
        <v>-3755.092912187361</v>
      </c>
      <c r="L325" s="4">
        <f>IF(A325&gt;'Yield Curve'!A939,L324,(1+VLOOKUP(A325,'Yield Curve'!A318:B940,2,FALSE))^(1/12)-1)</f>
        <v>7.9741404289037643E-3</v>
      </c>
      <c r="M325" s="5">
        <f t="shared" si="43"/>
        <v>-302.80561277999283</v>
      </c>
    </row>
    <row r="326" spans="1:13" x14ac:dyDescent="0.25">
      <c r="A326" s="4">
        <v>318</v>
      </c>
      <c r="B326" s="4">
        <f t="shared" si="36"/>
        <v>71</v>
      </c>
      <c r="C326" s="4">
        <f t="shared" si="37"/>
        <v>333</v>
      </c>
      <c r="D326" s="4">
        <f>IF(B326&gt;'Mortality Table'!$A$118,D325,VLOOKUP(B326,'Mortality Table'!$A$2:$B$118,2,FALSE))</f>
        <v>4.5109999999999997E-2</v>
      </c>
      <c r="E326" s="4">
        <f>IF(INT((C326-1)/12)+1&gt;'Lapse Table'!$A$11,E325,VLOOKUP(INT((C326-1)/12)+1,'Lapse Table'!$A$2:$B$11,2,FALSE))/12</f>
        <v>1.135568523166616E-233</v>
      </c>
      <c r="F326" s="5">
        <f t="shared" si="44"/>
        <v>0.11845346771250015</v>
      </c>
      <c r="G326" s="6">
        <f t="shared" si="38"/>
        <v>3.7591666666666663E-3</v>
      </c>
      <c r="H326" s="6">
        <f t="shared" si="39"/>
        <v>1.1099557751265928E-233</v>
      </c>
      <c r="I326" s="7">
        <f t="shared" si="40"/>
        <v>3.9484489237500049</v>
      </c>
      <c r="J326" s="8">
        <f t="shared" si="41"/>
        <v>3759.1666666666665</v>
      </c>
      <c r="K326" s="7">
        <f t="shared" si="42"/>
        <v>-3755.2182177429163</v>
      </c>
      <c r="L326" s="4">
        <f>IF(A326&gt;'Yield Curve'!A940,L325,(1+VLOOKUP(A326,'Yield Curve'!A319:B941,2,FALSE))^(1/12)-1)</f>
        <v>7.9741404289037643E-3</v>
      </c>
      <c r="M326" s="5">
        <f t="shared" si="43"/>
        <v>-300.42012498617862</v>
      </c>
    </row>
    <row r="327" spans="1:13" x14ac:dyDescent="0.25">
      <c r="A327" s="4">
        <v>319</v>
      </c>
      <c r="B327" s="4">
        <f t="shared" si="36"/>
        <v>71</v>
      </c>
      <c r="C327" s="4">
        <f t="shared" si="37"/>
        <v>334</v>
      </c>
      <c r="D327" s="4">
        <f>IF(B327&gt;'Mortality Table'!$A$118,D326,VLOOKUP(B327,'Mortality Table'!$A$2:$B$118,2,FALSE))</f>
        <v>4.5109999999999997E-2</v>
      </c>
      <c r="E327" s="4">
        <f>IF(INT((C327-1)/12)+1&gt;'Lapse Table'!$A$11,E326,VLOOKUP(INT((C327-1)/12)+1,'Lapse Table'!$A$2:$B$11,2,FALSE))/12</f>
        <v>9.4630710263884663E-235</v>
      </c>
      <c r="F327" s="5">
        <f t="shared" si="44"/>
        <v>0.11469430104583349</v>
      </c>
      <c r="G327" s="6">
        <f t="shared" si="38"/>
        <v>3.7591666666666663E-3</v>
      </c>
      <c r="H327" s="6">
        <f t="shared" si="39"/>
        <v>9.2496314593882742E-235</v>
      </c>
      <c r="I327" s="7">
        <f t="shared" si="40"/>
        <v>3.8231433681944496</v>
      </c>
      <c r="J327" s="8">
        <f t="shared" si="41"/>
        <v>3759.1666666666665</v>
      </c>
      <c r="K327" s="7">
        <f t="shared" si="42"/>
        <v>-3755.3435232984721</v>
      </c>
      <c r="L327" s="4">
        <f>IF(A327&gt;'Yield Curve'!A941,L326,(1+VLOOKUP(A327,'Yield Curve'!A320:B942,2,FALSE))^(1/12)-1)</f>
        <v>7.9741404289037643E-3</v>
      </c>
      <c r="M327" s="5">
        <f t="shared" si="43"/>
        <v>-298.05342961655663</v>
      </c>
    </row>
    <row r="328" spans="1:13" x14ac:dyDescent="0.25">
      <c r="A328" s="4">
        <v>320</v>
      </c>
      <c r="B328" s="4">
        <f t="shared" si="36"/>
        <v>71</v>
      </c>
      <c r="C328" s="4">
        <f t="shared" si="37"/>
        <v>335</v>
      </c>
      <c r="D328" s="4">
        <f>IF(B328&gt;'Mortality Table'!$A$118,D327,VLOOKUP(B328,'Mortality Table'!$A$2:$B$118,2,FALSE))</f>
        <v>4.5109999999999997E-2</v>
      </c>
      <c r="E328" s="4">
        <f>IF(INT((C328-1)/12)+1&gt;'Lapse Table'!$A$11,E327,VLOOKUP(INT((C328-1)/12)+1,'Lapse Table'!$A$2:$B$11,2,FALSE))/12</f>
        <v>7.8858925219903892E-236</v>
      </c>
      <c r="F328" s="5">
        <f t="shared" si="44"/>
        <v>0.11093513437916683</v>
      </c>
      <c r="G328" s="6">
        <f t="shared" si="38"/>
        <v>3.7591666666666663E-3</v>
      </c>
      <c r="H328" s="6">
        <f t="shared" si="39"/>
        <v>7.7080262161568957E-236</v>
      </c>
      <c r="I328" s="7">
        <f t="shared" si="40"/>
        <v>3.6978378126388942</v>
      </c>
      <c r="J328" s="8">
        <f t="shared" si="41"/>
        <v>3759.1666666666665</v>
      </c>
      <c r="K328" s="7">
        <f t="shared" si="42"/>
        <v>-3755.4688288540278</v>
      </c>
      <c r="L328" s="4">
        <f>IF(A328&gt;'Yield Curve'!A942,L327,(1+VLOOKUP(A328,'Yield Curve'!A321:B943,2,FALSE))^(1/12)-1)</f>
        <v>7.9741404289037643E-3</v>
      </c>
      <c r="M328" s="5">
        <f t="shared" si="43"/>
        <v>-295.7053786305799</v>
      </c>
    </row>
    <row r="329" spans="1:13" x14ac:dyDescent="0.25">
      <c r="A329" s="4">
        <v>321</v>
      </c>
      <c r="B329" s="4">
        <f t="shared" si="36"/>
        <v>71</v>
      </c>
      <c r="C329" s="4">
        <f t="shared" si="37"/>
        <v>336</v>
      </c>
      <c r="D329" s="4">
        <f>IF(B329&gt;'Mortality Table'!$A$118,D328,VLOOKUP(B329,'Mortality Table'!$A$2:$B$118,2,FALSE))</f>
        <v>4.5109999999999997E-2</v>
      </c>
      <c r="E329" s="4">
        <f>IF(INT((C329-1)/12)+1&gt;'Lapse Table'!$A$11,E328,VLOOKUP(INT((C329-1)/12)+1,'Lapse Table'!$A$2:$B$11,2,FALSE))/12</f>
        <v>6.571577101658658E-237</v>
      </c>
      <c r="F329" s="5">
        <f t="shared" si="44"/>
        <v>0.10717596771250017</v>
      </c>
      <c r="G329" s="6">
        <f t="shared" si="38"/>
        <v>3.7591666666666663E-3</v>
      </c>
      <c r="H329" s="6">
        <f t="shared" si="39"/>
        <v>6.4233551801307475E-237</v>
      </c>
      <c r="I329" s="7">
        <f t="shared" si="40"/>
        <v>3.5725322570833389</v>
      </c>
      <c r="J329" s="8">
        <f t="shared" si="41"/>
        <v>3759.1666666666665</v>
      </c>
      <c r="K329" s="7">
        <f t="shared" si="42"/>
        <v>-3755.5941344095831</v>
      </c>
      <c r="L329" s="4">
        <f>IF(A329&gt;'Yield Curve'!A943,L328,(1+VLOOKUP(A329,'Yield Curve'!A322:B944,2,FALSE))^(1/12)-1)</f>
        <v>7.9741404289037643E-3</v>
      </c>
      <c r="M329" s="5">
        <f t="shared" si="43"/>
        <v>-293.37582515389545</v>
      </c>
    </row>
    <row r="330" spans="1:13" x14ac:dyDescent="0.25">
      <c r="A330" s="4">
        <v>322</v>
      </c>
      <c r="B330" s="4">
        <f t="shared" ref="B330:B393" si="45">INT($B$3+A330/12)</f>
        <v>71</v>
      </c>
      <c r="C330" s="4">
        <f t="shared" ref="C330:C393" si="46">$B$4+A330</f>
        <v>337</v>
      </c>
      <c r="D330" s="4">
        <f>IF(B330&gt;'Mortality Table'!$A$118,D329,VLOOKUP(B330,'Mortality Table'!$A$2:$B$118,2,FALSE))</f>
        <v>4.5109999999999997E-2</v>
      </c>
      <c r="E330" s="4">
        <f>IF(INT((C330-1)/12)+1&gt;'Lapse Table'!$A$11,E329,VLOOKUP(INT((C330-1)/12)+1,'Lapse Table'!$A$2:$B$11,2,FALSE))/12</f>
        <v>5.476314251382215E-238</v>
      </c>
      <c r="F330" s="5">
        <f t="shared" si="44"/>
        <v>0.10341680104583351</v>
      </c>
      <c r="G330" s="6">
        <f t="shared" ref="G330:G393" si="47">D330/12*(1-0.5*E330)</f>
        <v>3.7591666666666663E-3</v>
      </c>
      <c r="H330" s="6">
        <f t="shared" ref="H330:H393" si="48">E330*(1-0.5*D330)</f>
        <v>5.3527959834422889E-238</v>
      </c>
      <c r="I330" s="7">
        <f t="shared" ref="I330:I393" si="49">F330*$B$5/12</f>
        <v>3.4472267015277835</v>
      </c>
      <c r="J330" s="8">
        <f t="shared" ref="J330:J393" si="50">$B$6*G330</f>
        <v>3759.1666666666665</v>
      </c>
      <c r="K330" s="7">
        <f t="shared" ref="K330:K393" si="51">I330-J330</f>
        <v>-3755.7194399651389</v>
      </c>
      <c r="L330" s="4">
        <f>IF(A330&gt;'Yield Curve'!A944,L329,(1+VLOOKUP(A330,'Yield Curve'!A323:B945,2,FALSE))^(1/12)-1)</f>
        <v>7.9741404289037643E-3</v>
      </c>
      <c r="M330" s="5">
        <f t="shared" ref="M330:M393" si="52">K330*(1+L330)^-A330</f>
        <v>-291.06462346915743</v>
      </c>
    </row>
    <row r="331" spans="1:13" x14ac:dyDescent="0.25">
      <c r="A331" s="4">
        <v>323</v>
      </c>
      <c r="B331" s="4">
        <f t="shared" si="45"/>
        <v>71</v>
      </c>
      <c r="C331" s="4">
        <f t="shared" si="46"/>
        <v>338</v>
      </c>
      <c r="D331" s="4">
        <f>IF(B331&gt;'Mortality Table'!$A$118,D330,VLOOKUP(B331,'Mortality Table'!$A$2:$B$118,2,FALSE))</f>
        <v>4.5109999999999997E-2</v>
      </c>
      <c r="E331" s="4">
        <f>IF(INT((C331-1)/12)+1&gt;'Lapse Table'!$A$11,E330,VLOOKUP(INT((C331-1)/12)+1,'Lapse Table'!$A$2:$B$11,2,FALSE))/12</f>
        <v>4.5635952094851794E-239</v>
      </c>
      <c r="F331" s="5">
        <f t="shared" ref="F331:F394" si="53">F330-G331-H331</f>
        <v>9.9657634379166846E-2</v>
      </c>
      <c r="G331" s="6">
        <f t="shared" si="47"/>
        <v>3.7591666666666663E-3</v>
      </c>
      <c r="H331" s="6">
        <f t="shared" si="48"/>
        <v>4.4606633195352414E-239</v>
      </c>
      <c r="I331" s="7">
        <f t="shared" si="49"/>
        <v>3.3219211459722282</v>
      </c>
      <c r="J331" s="8">
        <f t="shared" si="50"/>
        <v>3759.1666666666665</v>
      </c>
      <c r="K331" s="7">
        <f t="shared" si="51"/>
        <v>-3755.8447455206942</v>
      </c>
      <c r="L331" s="4">
        <f>IF(A331&gt;'Yield Curve'!A945,L330,(1+VLOOKUP(A331,'Yield Curve'!A324:B946,2,FALSE))^(1/12)-1)</f>
        <v>7.9741404289037643E-3</v>
      </c>
      <c r="M331" s="5">
        <f t="shared" si="52"/>
        <v>-288.77162900691314</v>
      </c>
    </row>
    <row r="332" spans="1:13" x14ac:dyDescent="0.25">
      <c r="A332" s="4">
        <v>324</v>
      </c>
      <c r="B332" s="4">
        <f t="shared" si="45"/>
        <v>72</v>
      </c>
      <c r="C332" s="4">
        <f t="shared" si="46"/>
        <v>339</v>
      </c>
      <c r="D332" s="4">
        <f>IF(B332&gt;'Mortality Table'!$A$118,D331,VLOOKUP(B332,'Mortality Table'!$A$2:$B$118,2,FALSE))</f>
        <v>4.9369999999999997E-2</v>
      </c>
      <c r="E332" s="4">
        <f>IF(INT((C332-1)/12)+1&gt;'Lapse Table'!$A$11,E331,VLOOKUP(INT((C332-1)/12)+1,'Lapse Table'!$A$2:$B$11,2,FALSE))/12</f>
        <v>3.8029960079043164E-240</v>
      </c>
      <c r="F332" s="5">
        <f t="shared" si="53"/>
        <v>9.5543467712500177E-2</v>
      </c>
      <c r="G332" s="6">
        <f t="shared" si="47"/>
        <v>4.1141666666666661E-3</v>
      </c>
      <c r="H332" s="6">
        <f t="shared" si="48"/>
        <v>3.7091190514491984E-240</v>
      </c>
      <c r="I332" s="7">
        <f t="shared" si="49"/>
        <v>3.1847822570833393</v>
      </c>
      <c r="J332" s="8">
        <f t="shared" si="50"/>
        <v>4114.1666666666661</v>
      </c>
      <c r="K332" s="7">
        <f t="shared" si="51"/>
        <v>-4110.9818844095826</v>
      </c>
      <c r="L332" s="4">
        <f>IF(A332&gt;'Yield Curve'!A946,L331,(1+VLOOKUP(A332,'Yield Curve'!A325:B947,2,FALSE))^(1/12)-1)</f>
        <v>7.9741404289037643E-3</v>
      </c>
      <c r="M332" s="5">
        <f t="shared" si="52"/>
        <v>-313.57617893339466</v>
      </c>
    </row>
    <row r="333" spans="1:13" x14ac:dyDescent="0.25">
      <c r="A333" s="4">
        <v>325</v>
      </c>
      <c r="B333" s="4">
        <f t="shared" si="45"/>
        <v>72</v>
      </c>
      <c r="C333" s="4">
        <f t="shared" si="46"/>
        <v>340</v>
      </c>
      <c r="D333" s="4">
        <f>IF(B333&gt;'Mortality Table'!$A$118,D332,VLOOKUP(B333,'Mortality Table'!$A$2:$B$118,2,FALSE))</f>
        <v>4.9369999999999997E-2</v>
      </c>
      <c r="E333" s="4">
        <f>IF(INT((C333-1)/12)+1&gt;'Lapse Table'!$A$11,E332,VLOOKUP(INT((C333-1)/12)+1,'Lapse Table'!$A$2:$B$11,2,FALSE))/12</f>
        <v>3.1691633399202637E-241</v>
      </c>
      <c r="F333" s="5">
        <f t="shared" si="53"/>
        <v>9.1429301045833508E-2</v>
      </c>
      <c r="G333" s="6">
        <f t="shared" si="47"/>
        <v>4.1141666666666661E-3</v>
      </c>
      <c r="H333" s="6">
        <f t="shared" si="48"/>
        <v>3.0909325428743323E-241</v>
      </c>
      <c r="I333" s="7">
        <f t="shared" si="49"/>
        <v>3.0476433681944504</v>
      </c>
      <c r="J333" s="8">
        <f t="shared" si="50"/>
        <v>4114.1666666666661</v>
      </c>
      <c r="K333" s="7">
        <f t="shared" si="51"/>
        <v>-4111.1190232984718</v>
      </c>
      <c r="L333" s="4">
        <f>IF(A333&gt;'Yield Curve'!A947,L332,(1+VLOOKUP(A333,'Yield Curve'!A326:B948,2,FALSE))^(1/12)-1)</f>
        <v>7.9741404289037643E-3</v>
      </c>
      <c r="M333" s="5">
        <f t="shared" si="52"/>
        <v>-311.10583793037767</v>
      </c>
    </row>
    <row r="334" spans="1:13" x14ac:dyDescent="0.25">
      <c r="A334" s="4">
        <v>326</v>
      </c>
      <c r="B334" s="4">
        <f t="shared" si="45"/>
        <v>72</v>
      </c>
      <c r="C334" s="4">
        <f t="shared" si="46"/>
        <v>341</v>
      </c>
      <c r="D334" s="4">
        <f>IF(B334&gt;'Mortality Table'!$A$118,D333,VLOOKUP(B334,'Mortality Table'!$A$2:$B$118,2,FALSE))</f>
        <v>4.9369999999999997E-2</v>
      </c>
      <c r="E334" s="4">
        <f>IF(INT((C334-1)/12)+1&gt;'Lapse Table'!$A$11,E333,VLOOKUP(INT((C334-1)/12)+1,'Lapse Table'!$A$2:$B$11,2,FALSE))/12</f>
        <v>2.6409694499335529E-242</v>
      </c>
      <c r="F334" s="5">
        <f t="shared" si="53"/>
        <v>8.7315134379166839E-2</v>
      </c>
      <c r="G334" s="6">
        <f t="shared" si="47"/>
        <v>4.1141666666666661E-3</v>
      </c>
      <c r="H334" s="6">
        <f t="shared" si="48"/>
        <v>2.5757771190619434E-242</v>
      </c>
      <c r="I334" s="7">
        <f t="shared" si="49"/>
        <v>2.9105044793055614</v>
      </c>
      <c r="J334" s="8">
        <f t="shared" si="50"/>
        <v>4114.1666666666661</v>
      </c>
      <c r="K334" s="7">
        <f t="shared" si="51"/>
        <v>-4111.2561621873601</v>
      </c>
      <c r="L334" s="4">
        <f>IF(A334&gt;'Yield Curve'!A948,L333,(1+VLOOKUP(A334,'Yield Curve'!A327:B949,2,FALSE))^(1/12)-1)</f>
        <v>7.9741404289037643E-3</v>
      </c>
      <c r="M334" s="5">
        <f t="shared" si="52"/>
        <v>-308.65495783472784</v>
      </c>
    </row>
    <row r="335" spans="1:13" x14ac:dyDescent="0.25">
      <c r="A335" s="4">
        <v>327</v>
      </c>
      <c r="B335" s="4">
        <f t="shared" si="45"/>
        <v>72</v>
      </c>
      <c r="C335" s="4">
        <f t="shared" si="46"/>
        <v>342</v>
      </c>
      <c r="D335" s="4">
        <f>IF(B335&gt;'Mortality Table'!$A$118,D334,VLOOKUP(B335,'Mortality Table'!$A$2:$B$118,2,FALSE))</f>
        <v>4.9369999999999997E-2</v>
      </c>
      <c r="E335" s="4">
        <f>IF(INT((C335-1)/12)+1&gt;'Lapse Table'!$A$11,E334,VLOOKUP(INT((C335-1)/12)+1,'Lapse Table'!$A$2:$B$11,2,FALSE))/12</f>
        <v>2.2008078749446275E-243</v>
      </c>
      <c r="F335" s="5">
        <f t="shared" si="53"/>
        <v>8.3200967712500171E-2</v>
      </c>
      <c r="G335" s="6">
        <f t="shared" si="47"/>
        <v>4.1141666666666661E-3</v>
      </c>
      <c r="H335" s="6">
        <f t="shared" si="48"/>
        <v>2.1464809325516194E-243</v>
      </c>
      <c r="I335" s="7">
        <f t="shared" si="49"/>
        <v>2.7733655904166721</v>
      </c>
      <c r="J335" s="8">
        <f t="shared" si="50"/>
        <v>4114.1666666666661</v>
      </c>
      <c r="K335" s="7">
        <f t="shared" si="51"/>
        <v>-4111.3933010762494</v>
      </c>
      <c r="L335" s="4">
        <f>IF(A335&gt;'Yield Curve'!A949,L334,(1+VLOOKUP(A335,'Yield Curve'!A328:B950,2,FALSE))^(1/12)-1)</f>
        <v>7.9741404289037643E-3</v>
      </c>
      <c r="M335" s="5">
        <f t="shared" si="52"/>
        <v>-306.22338533960419</v>
      </c>
    </row>
    <row r="336" spans="1:13" x14ac:dyDescent="0.25">
      <c r="A336" s="4">
        <v>328</v>
      </c>
      <c r="B336" s="4">
        <f t="shared" si="45"/>
        <v>72</v>
      </c>
      <c r="C336" s="4">
        <f t="shared" si="46"/>
        <v>343</v>
      </c>
      <c r="D336" s="4">
        <f>IF(B336&gt;'Mortality Table'!$A$118,D335,VLOOKUP(B336,'Mortality Table'!$A$2:$B$118,2,FALSE))</f>
        <v>4.9369999999999997E-2</v>
      </c>
      <c r="E336" s="4">
        <f>IF(INT((C336-1)/12)+1&gt;'Lapse Table'!$A$11,E335,VLOOKUP(INT((C336-1)/12)+1,'Lapse Table'!$A$2:$B$11,2,FALSE))/12</f>
        <v>1.8340065624538561E-244</v>
      </c>
      <c r="F336" s="5">
        <f t="shared" si="53"/>
        <v>7.9086801045833502E-2</v>
      </c>
      <c r="G336" s="6">
        <f t="shared" si="47"/>
        <v>4.1141666666666661E-3</v>
      </c>
      <c r="H336" s="6">
        <f t="shared" si="48"/>
        <v>1.7887341104596827E-244</v>
      </c>
      <c r="I336" s="7">
        <f t="shared" si="49"/>
        <v>2.6362267015277836</v>
      </c>
      <c r="J336" s="8">
        <f t="shared" si="50"/>
        <v>4114.1666666666661</v>
      </c>
      <c r="K336" s="7">
        <f t="shared" si="51"/>
        <v>-4111.5304399651386</v>
      </c>
      <c r="L336" s="4">
        <f>IF(A336&gt;'Yield Curve'!A950,L335,(1+VLOOKUP(A336,'Yield Curve'!A329:B951,2,FALSE))^(1/12)-1)</f>
        <v>7.9741404289037643E-3</v>
      </c>
      <c r="M336" s="5">
        <f t="shared" si="52"/>
        <v>-303.81096834584662</v>
      </c>
    </row>
    <row r="337" spans="1:13" x14ac:dyDescent="0.25">
      <c r="A337" s="4">
        <v>329</v>
      </c>
      <c r="B337" s="4">
        <f t="shared" si="45"/>
        <v>72</v>
      </c>
      <c r="C337" s="4">
        <f t="shared" si="46"/>
        <v>344</v>
      </c>
      <c r="D337" s="4">
        <f>IF(B337&gt;'Mortality Table'!$A$118,D336,VLOOKUP(B337,'Mortality Table'!$A$2:$B$118,2,FALSE))</f>
        <v>4.9369999999999997E-2</v>
      </c>
      <c r="E337" s="4">
        <f>IF(INT((C337-1)/12)+1&gt;'Lapse Table'!$A$11,E336,VLOOKUP(INT((C337-1)/12)+1,'Lapse Table'!$A$2:$B$11,2,FALSE))/12</f>
        <v>1.5283388020448801E-245</v>
      </c>
      <c r="F337" s="5">
        <f t="shared" si="53"/>
        <v>7.4972634379166833E-2</v>
      </c>
      <c r="G337" s="6">
        <f t="shared" si="47"/>
        <v>4.1141666666666661E-3</v>
      </c>
      <c r="H337" s="6">
        <f t="shared" si="48"/>
        <v>1.4906117587164024E-245</v>
      </c>
      <c r="I337" s="7">
        <f t="shared" si="49"/>
        <v>2.4990878126388947</v>
      </c>
      <c r="J337" s="8">
        <f t="shared" si="50"/>
        <v>4114.1666666666661</v>
      </c>
      <c r="K337" s="7">
        <f t="shared" si="51"/>
        <v>-4111.6675788540269</v>
      </c>
      <c r="L337" s="4">
        <f>IF(A337&gt;'Yield Curve'!A951,L336,(1+VLOOKUP(A337,'Yield Curve'!A330:B952,2,FALSE))^(1/12)-1)</f>
        <v>7.9741404289037643E-3</v>
      </c>
      <c r="M337" s="5">
        <f t="shared" si="52"/>
        <v>-301.41755595246258</v>
      </c>
    </row>
    <row r="338" spans="1:13" x14ac:dyDescent="0.25">
      <c r="A338" s="4">
        <v>330</v>
      </c>
      <c r="B338" s="4">
        <f t="shared" si="45"/>
        <v>72</v>
      </c>
      <c r="C338" s="4">
        <f t="shared" si="46"/>
        <v>345</v>
      </c>
      <c r="D338" s="4">
        <f>IF(B338&gt;'Mortality Table'!$A$118,D337,VLOOKUP(B338,'Mortality Table'!$A$2:$B$118,2,FALSE))</f>
        <v>4.9369999999999997E-2</v>
      </c>
      <c r="E338" s="4">
        <f>IF(INT((C338-1)/12)+1&gt;'Lapse Table'!$A$11,E337,VLOOKUP(INT((C338-1)/12)+1,'Lapse Table'!$A$2:$B$11,2,FALSE))/12</f>
        <v>1.2736156683707335E-246</v>
      </c>
      <c r="F338" s="5">
        <f t="shared" si="53"/>
        <v>7.0858467712500164E-2</v>
      </c>
      <c r="G338" s="6">
        <f t="shared" si="47"/>
        <v>4.1141666666666661E-3</v>
      </c>
      <c r="H338" s="6">
        <f t="shared" si="48"/>
        <v>1.2421764655970019E-246</v>
      </c>
      <c r="I338" s="7">
        <f t="shared" si="49"/>
        <v>2.3619489237500058</v>
      </c>
      <c r="J338" s="8">
        <f t="shared" si="50"/>
        <v>4114.1666666666661</v>
      </c>
      <c r="K338" s="7">
        <f t="shared" si="51"/>
        <v>-4111.8047177429162</v>
      </c>
      <c r="L338" s="4">
        <f>IF(A338&gt;'Yield Curve'!A952,L337,(1+VLOOKUP(A338,'Yield Curve'!A331:B953,2,FALSE))^(1/12)-1)</f>
        <v>7.9741404289037643E-3</v>
      </c>
      <c r="M338" s="5">
        <f t="shared" si="52"/>
        <v>-299.04299844718878</v>
      </c>
    </row>
    <row r="339" spans="1:13" x14ac:dyDescent="0.25">
      <c r="A339" s="4">
        <v>331</v>
      </c>
      <c r="B339" s="4">
        <f t="shared" si="45"/>
        <v>72</v>
      </c>
      <c r="C339" s="4">
        <f t="shared" si="46"/>
        <v>346</v>
      </c>
      <c r="D339" s="4">
        <f>IF(B339&gt;'Mortality Table'!$A$118,D338,VLOOKUP(B339,'Mortality Table'!$A$2:$B$118,2,FALSE))</f>
        <v>4.9369999999999997E-2</v>
      </c>
      <c r="E339" s="4">
        <f>IF(INT((C339-1)/12)+1&gt;'Lapse Table'!$A$11,E338,VLOOKUP(INT((C339-1)/12)+1,'Lapse Table'!$A$2:$B$11,2,FALSE))/12</f>
        <v>1.0613463903089446E-247</v>
      </c>
      <c r="F339" s="5">
        <f t="shared" si="53"/>
        <v>6.6744301045833496E-2</v>
      </c>
      <c r="G339" s="6">
        <f t="shared" si="47"/>
        <v>4.1141666666666661E-3</v>
      </c>
      <c r="H339" s="6">
        <f t="shared" si="48"/>
        <v>1.0351470546641683E-247</v>
      </c>
      <c r="I339" s="7">
        <f t="shared" si="49"/>
        <v>2.2248100348611164</v>
      </c>
      <c r="J339" s="8">
        <f t="shared" si="50"/>
        <v>4114.1666666666661</v>
      </c>
      <c r="K339" s="7">
        <f t="shared" si="51"/>
        <v>-4111.9418566318045</v>
      </c>
      <c r="L339" s="4">
        <f>IF(A339&gt;'Yield Curve'!A953,L338,(1+VLOOKUP(A339,'Yield Curve'!A332:B954,2,FALSE))^(1/12)-1)</f>
        <v>7.9741404289037643E-3</v>
      </c>
      <c r="M339" s="5">
        <f t="shared" si="52"/>
        <v>-296.6871472971265</v>
      </c>
    </row>
    <row r="340" spans="1:13" x14ac:dyDescent="0.25">
      <c r="A340" s="4">
        <v>332</v>
      </c>
      <c r="B340" s="4">
        <f t="shared" si="45"/>
        <v>72</v>
      </c>
      <c r="C340" s="4">
        <f t="shared" si="46"/>
        <v>347</v>
      </c>
      <c r="D340" s="4">
        <f>IF(B340&gt;'Mortality Table'!$A$118,D339,VLOOKUP(B340,'Mortality Table'!$A$2:$B$118,2,FALSE))</f>
        <v>4.9369999999999997E-2</v>
      </c>
      <c r="E340" s="4">
        <f>IF(INT((C340-1)/12)+1&gt;'Lapse Table'!$A$11,E339,VLOOKUP(INT((C340-1)/12)+1,'Lapse Table'!$A$2:$B$11,2,FALSE))/12</f>
        <v>8.8445532525745376E-249</v>
      </c>
      <c r="F340" s="5">
        <f t="shared" si="53"/>
        <v>6.2630134379166827E-2</v>
      </c>
      <c r="G340" s="6">
        <f t="shared" si="47"/>
        <v>4.1141666666666661E-3</v>
      </c>
      <c r="H340" s="6">
        <f t="shared" si="48"/>
        <v>8.6262254555347353E-249</v>
      </c>
      <c r="I340" s="7">
        <f t="shared" si="49"/>
        <v>2.0876711459722275</v>
      </c>
      <c r="J340" s="8">
        <f t="shared" si="50"/>
        <v>4114.1666666666661</v>
      </c>
      <c r="K340" s="7">
        <f t="shared" si="51"/>
        <v>-4112.0789955206938</v>
      </c>
      <c r="L340" s="4">
        <f>IF(A340&gt;'Yield Curve'!A954,L339,(1+VLOOKUP(A340,'Yield Curve'!A333:B955,2,FALSE))^(1/12)-1)</f>
        <v>7.9741404289037643E-3</v>
      </c>
      <c r="M340" s="5">
        <f t="shared" si="52"/>
        <v>-294.3498551394519</v>
      </c>
    </row>
    <row r="341" spans="1:13" x14ac:dyDescent="0.25">
      <c r="A341" s="4">
        <v>333</v>
      </c>
      <c r="B341" s="4">
        <f t="shared" si="45"/>
        <v>72</v>
      </c>
      <c r="C341" s="4">
        <f t="shared" si="46"/>
        <v>348</v>
      </c>
      <c r="D341" s="4">
        <f>IF(B341&gt;'Mortality Table'!$A$118,D340,VLOOKUP(B341,'Mortality Table'!$A$2:$B$118,2,FALSE))</f>
        <v>4.9369999999999997E-2</v>
      </c>
      <c r="E341" s="4">
        <f>IF(INT((C341-1)/12)+1&gt;'Lapse Table'!$A$11,E340,VLOOKUP(INT((C341-1)/12)+1,'Lapse Table'!$A$2:$B$11,2,FALSE))/12</f>
        <v>7.3704610438121143E-250</v>
      </c>
      <c r="F341" s="5">
        <f t="shared" si="53"/>
        <v>5.8515967712500158E-2</v>
      </c>
      <c r="G341" s="6">
        <f t="shared" si="47"/>
        <v>4.1141666666666661E-3</v>
      </c>
      <c r="H341" s="6">
        <f t="shared" si="48"/>
        <v>7.188521212945612E-250</v>
      </c>
      <c r="I341" s="7">
        <f t="shared" si="49"/>
        <v>1.9505322570833385</v>
      </c>
      <c r="J341" s="8">
        <f t="shared" si="50"/>
        <v>4114.1666666666661</v>
      </c>
      <c r="K341" s="7">
        <f t="shared" si="51"/>
        <v>-4112.216134409583</v>
      </c>
      <c r="L341" s="4">
        <f>IF(A341&gt;'Yield Curve'!A955,L340,(1+VLOOKUP(A341,'Yield Curve'!A334:B956,2,FALSE))^(1/12)-1)</f>
        <v>7.9741404289037643E-3</v>
      </c>
      <c r="M341" s="5">
        <f t="shared" si="52"/>
        <v>-292.03097577219847</v>
      </c>
    </row>
    <row r="342" spans="1:13" x14ac:dyDescent="0.25">
      <c r="A342" s="4">
        <v>334</v>
      </c>
      <c r="B342" s="4">
        <f t="shared" si="45"/>
        <v>72</v>
      </c>
      <c r="C342" s="4">
        <f t="shared" si="46"/>
        <v>349</v>
      </c>
      <c r="D342" s="4">
        <f>IF(B342&gt;'Mortality Table'!$A$118,D341,VLOOKUP(B342,'Mortality Table'!$A$2:$B$118,2,FALSE))</f>
        <v>4.9369999999999997E-2</v>
      </c>
      <c r="E342" s="4">
        <f>IF(INT((C342-1)/12)+1&gt;'Lapse Table'!$A$11,E341,VLOOKUP(INT((C342-1)/12)+1,'Lapse Table'!$A$2:$B$11,2,FALSE))/12</f>
        <v>6.1420508698434288E-251</v>
      </c>
      <c r="F342" s="5">
        <f t="shared" si="53"/>
        <v>5.4401801045833489E-2</v>
      </c>
      <c r="G342" s="6">
        <f t="shared" si="47"/>
        <v>4.1141666666666661E-3</v>
      </c>
      <c r="H342" s="6">
        <f t="shared" si="48"/>
        <v>5.9904343441213441E-251</v>
      </c>
      <c r="I342" s="7">
        <f t="shared" si="49"/>
        <v>1.8133933681944496</v>
      </c>
      <c r="J342" s="8">
        <f t="shared" si="50"/>
        <v>4114.1666666666661</v>
      </c>
      <c r="K342" s="7">
        <f t="shared" si="51"/>
        <v>-4112.3532732984713</v>
      </c>
      <c r="L342" s="4">
        <f>IF(A342&gt;'Yield Curve'!A956,L341,(1+VLOOKUP(A342,'Yield Curve'!A335:B957,2,FALSE))^(1/12)-1)</f>
        <v>7.9741404289037643E-3</v>
      </c>
      <c r="M342" s="5">
        <f t="shared" si="52"/>
        <v>-289.73036414511267</v>
      </c>
    </row>
    <row r="343" spans="1:13" x14ac:dyDescent="0.25">
      <c r="A343" s="4">
        <v>335</v>
      </c>
      <c r="B343" s="4">
        <f t="shared" si="45"/>
        <v>72</v>
      </c>
      <c r="C343" s="4">
        <f t="shared" si="46"/>
        <v>350</v>
      </c>
      <c r="D343" s="4">
        <f>IF(B343&gt;'Mortality Table'!$A$118,D342,VLOOKUP(B343,'Mortality Table'!$A$2:$B$118,2,FALSE))</f>
        <v>4.9369999999999997E-2</v>
      </c>
      <c r="E343" s="4">
        <f>IF(INT((C343-1)/12)+1&gt;'Lapse Table'!$A$11,E342,VLOOKUP(INT((C343-1)/12)+1,'Lapse Table'!$A$2:$B$11,2,FALSE))/12</f>
        <v>5.1183757248695243E-252</v>
      </c>
      <c r="F343" s="5">
        <f t="shared" si="53"/>
        <v>5.0287634379166821E-2</v>
      </c>
      <c r="G343" s="6">
        <f t="shared" si="47"/>
        <v>4.1141666666666661E-3</v>
      </c>
      <c r="H343" s="6">
        <f t="shared" si="48"/>
        <v>4.9920286201011204E-252</v>
      </c>
      <c r="I343" s="7">
        <f t="shared" si="49"/>
        <v>1.6762544793055607</v>
      </c>
      <c r="J343" s="8">
        <f t="shared" si="50"/>
        <v>4114.1666666666661</v>
      </c>
      <c r="K343" s="7">
        <f t="shared" si="51"/>
        <v>-4112.4904121873606</v>
      </c>
      <c r="L343" s="4">
        <f>IF(A343&gt;'Yield Curve'!A957,L342,(1+VLOOKUP(A343,'Yield Curve'!A336:B958,2,FALSE))^(1/12)-1)</f>
        <v>7.9741404289037643E-3</v>
      </c>
      <c r="M343" s="5">
        <f t="shared" si="52"/>
        <v>-287.44787635058157</v>
      </c>
    </row>
    <row r="344" spans="1:13" x14ac:dyDescent="0.25">
      <c r="A344" s="4">
        <v>336</v>
      </c>
      <c r="B344" s="4">
        <f t="shared" si="45"/>
        <v>73</v>
      </c>
      <c r="C344" s="4">
        <f t="shared" si="46"/>
        <v>351</v>
      </c>
      <c r="D344" s="4">
        <f>IF(B344&gt;'Mortality Table'!$A$118,D343,VLOOKUP(B344,'Mortality Table'!$A$2:$B$118,2,FALSE))</f>
        <v>5.4030000000000002E-2</v>
      </c>
      <c r="E344" s="4">
        <f>IF(INT((C344-1)/12)+1&gt;'Lapse Table'!$A$11,E343,VLOOKUP(INT((C344-1)/12)+1,'Lapse Table'!$A$2:$B$11,2,FALSE))/12</f>
        <v>4.2653131040579367E-253</v>
      </c>
      <c r="F344" s="5">
        <f t="shared" si="53"/>
        <v>4.5785134379166821E-2</v>
      </c>
      <c r="G344" s="6">
        <f t="shared" si="47"/>
        <v>4.5025000000000004E-3</v>
      </c>
      <c r="H344" s="6">
        <f t="shared" si="48"/>
        <v>4.1500856705518115E-253</v>
      </c>
      <c r="I344" s="7">
        <f t="shared" si="49"/>
        <v>1.5261711459722276</v>
      </c>
      <c r="J344" s="8">
        <f t="shared" si="50"/>
        <v>4502.5</v>
      </c>
      <c r="K344" s="7">
        <f t="shared" si="51"/>
        <v>-4500.9738288540275</v>
      </c>
      <c r="L344" s="4">
        <f>IF(A344&gt;'Yield Curve'!A958,L343,(1+VLOOKUP(A344,'Yield Curve'!A337:B959,2,FALSE))^(1/12)-1)</f>
        <v>7.9741404289037643E-3</v>
      </c>
      <c r="M344" s="5">
        <f t="shared" si="52"/>
        <v>-312.11260127942995</v>
      </c>
    </row>
    <row r="345" spans="1:13" x14ac:dyDescent="0.25">
      <c r="A345" s="4">
        <v>337</v>
      </c>
      <c r="B345" s="4">
        <f t="shared" si="45"/>
        <v>73</v>
      </c>
      <c r="C345" s="4">
        <f t="shared" si="46"/>
        <v>352</v>
      </c>
      <c r="D345" s="4">
        <f>IF(B345&gt;'Mortality Table'!$A$118,D344,VLOOKUP(B345,'Mortality Table'!$A$2:$B$118,2,FALSE))</f>
        <v>5.4030000000000002E-2</v>
      </c>
      <c r="E345" s="4">
        <f>IF(INT((C345-1)/12)+1&gt;'Lapse Table'!$A$11,E344,VLOOKUP(INT((C345-1)/12)+1,'Lapse Table'!$A$2:$B$11,2,FALSE))/12</f>
        <v>3.5544275867149473E-254</v>
      </c>
      <c r="F345" s="5">
        <f t="shared" si="53"/>
        <v>4.1282634379166822E-2</v>
      </c>
      <c r="G345" s="6">
        <f t="shared" si="47"/>
        <v>4.5025000000000004E-3</v>
      </c>
      <c r="H345" s="6">
        <f t="shared" si="48"/>
        <v>3.4584047254598429E-254</v>
      </c>
      <c r="I345" s="7">
        <f t="shared" si="49"/>
        <v>1.376087812638894</v>
      </c>
      <c r="J345" s="8">
        <f t="shared" si="50"/>
        <v>4502.5</v>
      </c>
      <c r="K345" s="7">
        <f t="shared" si="51"/>
        <v>-4501.1239121873614</v>
      </c>
      <c r="L345" s="4">
        <f>IF(A345&gt;'Yield Curve'!A959,L344,(1+VLOOKUP(A345,'Yield Curve'!A338:B960,2,FALSE))^(1/12)-1)</f>
        <v>7.9741404289037643E-3</v>
      </c>
      <c r="M345" s="5">
        <f t="shared" si="52"/>
        <v>-309.65378578824942</v>
      </c>
    </row>
    <row r="346" spans="1:13" x14ac:dyDescent="0.25">
      <c r="A346" s="4">
        <v>338</v>
      </c>
      <c r="B346" s="4">
        <f t="shared" si="45"/>
        <v>73</v>
      </c>
      <c r="C346" s="4">
        <f t="shared" si="46"/>
        <v>353</v>
      </c>
      <c r="D346" s="4">
        <f>IF(B346&gt;'Mortality Table'!$A$118,D345,VLOOKUP(B346,'Mortality Table'!$A$2:$B$118,2,FALSE))</f>
        <v>5.4030000000000002E-2</v>
      </c>
      <c r="E346" s="4">
        <f>IF(INT((C346-1)/12)+1&gt;'Lapse Table'!$A$11,E345,VLOOKUP(INT((C346-1)/12)+1,'Lapse Table'!$A$2:$B$11,2,FALSE))/12</f>
        <v>2.9620229889291229E-255</v>
      </c>
      <c r="F346" s="5">
        <f t="shared" si="53"/>
        <v>3.6780134379166822E-2</v>
      </c>
      <c r="G346" s="6">
        <f t="shared" si="47"/>
        <v>4.5025000000000004E-3</v>
      </c>
      <c r="H346" s="6">
        <f t="shared" si="48"/>
        <v>2.8820039378832027E-255</v>
      </c>
      <c r="I346" s="7">
        <f t="shared" si="49"/>
        <v>1.2260044793055607</v>
      </c>
      <c r="J346" s="8">
        <f t="shared" si="50"/>
        <v>4502.5</v>
      </c>
      <c r="K346" s="7">
        <f t="shared" si="51"/>
        <v>-4501.2739955206944</v>
      </c>
      <c r="L346" s="4">
        <f>IF(A346&gt;'Yield Curve'!A960,L345,(1+VLOOKUP(A346,'Yield Curve'!A339:B961,2,FALSE))^(1/12)-1)</f>
        <v>7.9741404289037643E-3</v>
      </c>
      <c r="M346" s="5">
        <f t="shared" si="52"/>
        <v>-307.21434044422188</v>
      </c>
    </row>
    <row r="347" spans="1:13" x14ac:dyDescent="0.25">
      <c r="A347" s="4">
        <v>339</v>
      </c>
      <c r="B347" s="4">
        <f t="shared" si="45"/>
        <v>73</v>
      </c>
      <c r="C347" s="4">
        <f t="shared" si="46"/>
        <v>354</v>
      </c>
      <c r="D347" s="4">
        <f>IF(B347&gt;'Mortality Table'!$A$118,D346,VLOOKUP(B347,'Mortality Table'!$A$2:$B$118,2,FALSE))</f>
        <v>5.4030000000000002E-2</v>
      </c>
      <c r="E347" s="4">
        <f>IF(INT((C347-1)/12)+1&gt;'Lapse Table'!$A$11,E346,VLOOKUP(INT((C347-1)/12)+1,'Lapse Table'!$A$2:$B$11,2,FALSE))/12</f>
        <v>2.468352490774269E-256</v>
      </c>
      <c r="F347" s="5">
        <f t="shared" si="53"/>
        <v>3.2277634379166822E-2</v>
      </c>
      <c r="G347" s="6">
        <f t="shared" si="47"/>
        <v>4.5025000000000004E-3</v>
      </c>
      <c r="H347" s="6">
        <f t="shared" si="48"/>
        <v>2.401669948236002E-256</v>
      </c>
      <c r="I347" s="7">
        <f t="shared" si="49"/>
        <v>1.0759211459722275</v>
      </c>
      <c r="J347" s="8">
        <f t="shared" si="50"/>
        <v>4502.5</v>
      </c>
      <c r="K347" s="7">
        <f t="shared" si="51"/>
        <v>-4501.4240788540274</v>
      </c>
      <c r="L347" s="4">
        <f>IF(A347&gt;'Yield Curve'!A961,L346,(1+VLOOKUP(A347,'Yield Curve'!A340:B962,2,FALSE))^(1/12)-1)</f>
        <v>7.9741404289037643E-3</v>
      </c>
      <c r="M347" s="5">
        <f t="shared" si="52"/>
        <v>-304.79411265520287</v>
      </c>
    </row>
    <row r="348" spans="1:13" x14ac:dyDescent="0.25">
      <c r="A348" s="4">
        <v>340</v>
      </c>
      <c r="B348" s="4">
        <f t="shared" si="45"/>
        <v>73</v>
      </c>
      <c r="C348" s="4">
        <f t="shared" si="46"/>
        <v>355</v>
      </c>
      <c r="D348" s="4">
        <f>IF(B348&gt;'Mortality Table'!$A$118,D347,VLOOKUP(B348,'Mortality Table'!$A$2:$B$118,2,FALSE))</f>
        <v>5.4030000000000002E-2</v>
      </c>
      <c r="E348" s="4">
        <f>IF(INT((C348-1)/12)+1&gt;'Lapse Table'!$A$11,E347,VLOOKUP(INT((C348-1)/12)+1,'Lapse Table'!$A$2:$B$11,2,FALSE))/12</f>
        <v>2.0569604089785576E-257</v>
      </c>
      <c r="F348" s="5">
        <f t="shared" si="53"/>
        <v>2.7775134379166823E-2</v>
      </c>
      <c r="G348" s="6">
        <f t="shared" si="47"/>
        <v>4.5025000000000004E-3</v>
      </c>
      <c r="H348" s="6">
        <f t="shared" si="48"/>
        <v>2.001391623530002E-257</v>
      </c>
      <c r="I348" s="7">
        <f t="shared" si="49"/>
        <v>0.92583781263889409</v>
      </c>
      <c r="J348" s="8">
        <f t="shared" si="50"/>
        <v>4502.5</v>
      </c>
      <c r="K348" s="7">
        <f t="shared" si="51"/>
        <v>-4501.5741621873613</v>
      </c>
      <c r="L348" s="4">
        <f>IF(A348&gt;'Yield Curve'!A962,L347,(1+VLOOKUP(A348,'Yield Curve'!A341:B963,2,FALSE))^(1/12)-1)</f>
        <v>7.9741404289037643E-3</v>
      </c>
      <c r="M348" s="5">
        <f t="shared" si="52"/>
        <v>-302.39295103110095</v>
      </c>
    </row>
    <row r="349" spans="1:13" x14ac:dyDescent="0.25">
      <c r="A349" s="4">
        <v>341</v>
      </c>
      <c r="B349" s="4">
        <f t="shared" si="45"/>
        <v>73</v>
      </c>
      <c r="C349" s="4">
        <f t="shared" si="46"/>
        <v>356</v>
      </c>
      <c r="D349" s="4">
        <f>IF(B349&gt;'Mortality Table'!$A$118,D348,VLOOKUP(B349,'Mortality Table'!$A$2:$B$118,2,FALSE))</f>
        <v>5.4030000000000002E-2</v>
      </c>
      <c r="E349" s="4">
        <f>IF(INT((C349-1)/12)+1&gt;'Lapse Table'!$A$11,E348,VLOOKUP(INT((C349-1)/12)+1,'Lapse Table'!$A$2:$B$11,2,FALSE))/12</f>
        <v>1.714133674148798E-258</v>
      </c>
      <c r="F349" s="5">
        <f t="shared" si="53"/>
        <v>2.3272634379166823E-2</v>
      </c>
      <c r="G349" s="6">
        <f t="shared" si="47"/>
        <v>4.5025000000000004E-3</v>
      </c>
      <c r="H349" s="6">
        <f t="shared" si="48"/>
        <v>1.6678263529416682E-258</v>
      </c>
      <c r="I349" s="7">
        <f t="shared" si="49"/>
        <v>0.77575447930556074</v>
      </c>
      <c r="J349" s="8">
        <f t="shared" si="50"/>
        <v>4502.5</v>
      </c>
      <c r="K349" s="7">
        <f t="shared" si="51"/>
        <v>-4501.7242455206942</v>
      </c>
      <c r="L349" s="4">
        <f>IF(A349&gt;'Yield Curve'!A963,L348,(1+VLOOKUP(A349,'Yield Curve'!A342:B964,2,FALSE))^(1/12)-1)</f>
        <v>7.9741404289037643E-3</v>
      </c>
      <c r="M349" s="5">
        <f t="shared" si="52"/>
        <v>-300.01070537440836</v>
      </c>
    </row>
    <row r="350" spans="1:13" x14ac:dyDescent="0.25">
      <c r="A350" s="4">
        <v>342</v>
      </c>
      <c r="B350" s="4">
        <f t="shared" si="45"/>
        <v>73</v>
      </c>
      <c r="C350" s="4">
        <f t="shared" si="46"/>
        <v>357</v>
      </c>
      <c r="D350" s="4">
        <f>IF(B350&gt;'Mortality Table'!$A$118,D349,VLOOKUP(B350,'Mortality Table'!$A$2:$B$118,2,FALSE))</f>
        <v>5.4030000000000002E-2</v>
      </c>
      <c r="E350" s="4">
        <f>IF(INT((C350-1)/12)+1&gt;'Lapse Table'!$A$11,E349,VLOOKUP(INT((C350-1)/12)+1,'Lapse Table'!$A$2:$B$11,2,FALSE))/12</f>
        <v>1.4284447284573316E-259</v>
      </c>
      <c r="F350" s="5">
        <f t="shared" si="53"/>
        <v>1.8770134379166824E-2</v>
      </c>
      <c r="G350" s="6">
        <f t="shared" si="47"/>
        <v>4.5025000000000004E-3</v>
      </c>
      <c r="H350" s="6">
        <f t="shared" si="48"/>
        <v>1.3898552941180567E-259</v>
      </c>
      <c r="I350" s="7">
        <f t="shared" si="49"/>
        <v>0.62567114597222739</v>
      </c>
      <c r="J350" s="8">
        <f t="shared" si="50"/>
        <v>4502.5</v>
      </c>
      <c r="K350" s="7">
        <f t="shared" si="51"/>
        <v>-4501.8743288540281</v>
      </c>
      <c r="L350" s="4">
        <f>IF(A350&gt;'Yield Curve'!A964,L349,(1+VLOOKUP(A350,'Yield Curve'!A343:B965,2,FALSE))^(1/12)-1)</f>
        <v>7.9741404289037643E-3</v>
      </c>
      <c r="M350" s="5">
        <f t="shared" si="52"/>
        <v>-297.64722667080758</v>
      </c>
    </row>
    <row r="351" spans="1:13" x14ac:dyDescent="0.25">
      <c r="A351" s="4">
        <v>343</v>
      </c>
      <c r="B351" s="4">
        <f t="shared" si="45"/>
        <v>73</v>
      </c>
      <c r="C351" s="4">
        <f t="shared" si="46"/>
        <v>358</v>
      </c>
      <c r="D351" s="4">
        <f>IF(B351&gt;'Mortality Table'!$A$118,D350,VLOOKUP(B351,'Mortality Table'!$A$2:$B$118,2,FALSE))</f>
        <v>5.4030000000000002E-2</v>
      </c>
      <c r="E351" s="4">
        <f>IF(INT((C351-1)/12)+1&gt;'Lapse Table'!$A$11,E350,VLOOKUP(INT((C351-1)/12)+1,'Lapse Table'!$A$2:$B$11,2,FALSE))/12</f>
        <v>1.1903706070477764E-260</v>
      </c>
      <c r="F351" s="5">
        <f t="shared" si="53"/>
        <v>1.4267634379166824E-2</v>
      </c>
      <c r="G351" s="6">
        <f t="shared" si="47"/>
        <v>4.5025000000000004E-3</v>
      </c>
      <c r="H351" s="6">
        <f t="shared" si="48"/>
        <v>1.1582127450983806E-260</v>
      </c>
      <c r="I351" s="7">
        <f t="shared" si="49"/>
        <v>0.47558781263889416</v>
      </c>
      <c r="J351" s="8">
        <f t="shared" si="50"/>
        <v>4502.5</v>
      </c>
      <c r="K351" s="7">
        <f t="shared" si="51"/>
        <v>-4502.0244121873611</v>
      </c>
      <c r="L351" s="4">
        <f>IF(A351&gt;'Yield Curve'!A965,L350,(1+VLOOKUP(A351,'Yield Curve'!A344:B966,2,FALSE))^(1/12)-1)</f>
        <v>7.9741404289037643E-3</v>
      </c>
      <c r="M351" s="5">
        <f t="shared" si="52"/>
        <v>-295.30236707984932</v>
      </c>
    </row>
    <row r="352" spans="1:13" x14ac:dyDescent="0.25">
      <c r="A352" s="4">
        <v>344</v>
      </c>
      <c r="B352" s="4">
        <f t="shared" si="45"/>
        <v>73</v>
      </c>
      <c r="C352" s="4">
        <f t="shared" si="46"/>
        <v>359</v>
      </c>
      <c r="D352" s="4">
        <f>IF(B352&gt;'Mortality Table'!$A$118,D351,VLOOKUP(B352,'Mortality Table'!$A$2:$B$118,2,FALSE))</f>
        <v>5.4030000000000002E-2</v>
      </c>
      <c r="E352" s="4">
        <f>IF(INT((C352-1)/12)+1&gt;'Lapse Table'!$A$11,E351,VLOOKUP(INT((C352-1)/12)+1,'Lapse Table'!$A$2:$B$11,2,FALSE))/12</f>
        <v>9.9197550587314698E-262</v>
      </c>
      <c r="F352" s="5">
        <f t="shared" si="53"/>
        <v>9.7651343791668246E-3</v>
      </c>
      <c r="G352" s="6">
        <f t="shared" si="47"/>
        <v>4.5025000000000004E-3</v>
      </c>
      <c r="H352" s="6">
        <f t="shared" si="48"/>
        <v>9.6517728758198392E-262</v>
      </c>
      <c r="I352" s="7">
        <f t="shared" si="49"/>
        <v>0.32550447930556081</v>
      </c>
      <c r="J352" s="8">
        <f t="shared" si="50"/>
        <v>4502.5</v>
      </c>
      <c r="K352" s="7">
        <f t="shared" si="51"/>
        <v>-4502.1744955206941</v>
      </c>
      <c r="L352" s="4">
        <f>IF(A352&gt;'Yield Curve'!A966,L351,(1+VLOOKUP(A352,'Yield Curve'!A345:B967,2,FALSE))^(1/12)-1)</f>
        <v>7.9741404289037643E-3</v>
      </c>
      <c r="M352" s="5">
        <f t="shared" si="52"/>
        <v>-292.97597992570684</v>
      </c>
    </row>
    <row r="353" spans="1:13" x14ac:dyDescent="0.25">
      <c r="A353" s="4">
        <v>345</v>
      </c>
      <c r="B353" s="4">
        <f t="shared" si="45"/>
        <v>73</v>
      </c>
      <c r="C353" s="4">
        <f t="shared" si="46"/>
        <v>360</v>
      </c>
      <c r="D353" s="4">
        <f>IF(B353&gt;'Mortality Table'!$A$118,D352,VLOOKUP(B353,'Mortality Table'!$A$2:$B$118,2,FALSE))</f>
        <v>5.4030000000000002E-2</v>
      </c>
      <c r="E353" s="4">
        <f>IF(INT((C353-1)/12)+1&gt;'Lapse Table'!$A$11,E352,VLOOKUP(INT((C353-1)/12)+1,'Lapse Table'!$A$2:$B$11,2,FALSE))/12</f>
        <v>8.266462548942891E-263</v>
      </c>
      <c r="F353" s="5">
        <f t="shared" si="53"/>
        <v>5.2626343791668242E-3</v>
      </c>
      <c r="G353" s="6">
        <f t="shared" si="47"/>
        <v>4.5025000000000004E-3</v>
      </c>
      <c r="H353" s="6">
        <f t="shared" si="48"/>
        <v>8.0431440631831993E-263</v>
      </c>
      <c r="I353" s="7">
        <f t="shared" si="49"/>
        <v>0.17542114597222747</v>
      </c>
      <c r="J353" s="8">
        <f t="shared" si="50"/>
        <v>4502.5</v>
      </c>
      <c r="K353" s="7">
        <f t="shared" si="51"/>
        <v>-4502.324578854028</v>
      </c>
      <c r="L353" s="4">
        <f>IF(A353&gt;'Yield Curve'!A967,L352,(1+VLOOKUP(A353,'Yield Curve'!A346:B968,2,FALSE))^(1/12)-1)</f>
        <v>7.9741404289037643E-3</v>
      </c>
      <c r="M353" s="5">
        <f t="shared" si="52"/>
        <v>-290.66791968800112</v>
      </c>
    </row>
    <row r="354" spans="1:13" x14ac:dyDescent="0.25">
      <c r="A354" s="4">
        <v>346</v>
      </c>
      <c r="B354" s="4">
        <f t="shared" si="45"/>
        <v>73</v>
      </c>
      <c r="C354" s="4">
        <f t="shared" si="46"/>
        <v>361</v>
      </c>
      <c r="D354" s="4">
        <f>IF(B354&gt;'Mortality Table'!$A$118,D353,VLOOKUP(B354,'Mortality Table'!$A$2:$B$118,2,FALSE))</f>
        <v>5.4030000000000002E-2</v>
      </c>
      <c r="E354" s="4">
        <f>IF(INT((C354-1)/12)+1&gt;'Lapse Table'!$A$11,E353,VLOOKUP(INT((C354-1)/12)+1,'Lapse Table'!$A$2:$B$11,2,FALSE))/12</f>
        <v>6.8887187907857425E-264</v>
      </c>
      <c r="F354" s="5">
        <f t="shared" si="53"/>
        <v>7.6013437916682379E-4</v>
      </c>
      <c r="G354" s="6">
        <f t="shared" si="47"/>
        <v>4.5025000000000004E-3</v>
      </c>
      <c r="H354" s="6">
        <f t="shared" si="48"/>
        <v>6.7026200526526652E-264</v>
      </c>
      <c r="I354" s="7">
        <f t="shared" si="49"/>
        <v>2.533781263889413E-2</v>
      </c>
      <c r="J354" s="8">
        <f t="shared" si="50"/>
        <v>4502.5</v>
      </c>
      <c r="K354" s="7">
        <f t="shared" si="51"/>
        <v>-4502.474662187361</v>
      </c>
      <c r="L354" s="4">
        <f>IF(A354&gt;'Yield Curve'!A968,L353,(1+VLOOKUP(A354,'Yield Curve'!A347:B969,2,FALSE))^(1/12)-1)</f>
        <v>7.9741404289037643E-3</v>
      </c>
      <c r="M354" s="5">
        <f t="shared" si="52"/>
        <v>-288.37804199269874</v>
      </c>
    </row>
    <row r="355" spans="1:13" x14ac:dyDescent="0.25">
      <c r="A355" s="4">
        <v>347</v>
      </c>
      <c r="B355" s="4">
        <f t="shared" si="45"/>
        <v>73</v>
      </c>
      <c r="C355" s="4">
        <f t="shared" si="46"/>
        <v>362</v>
      </c>
      <c r="D355" s="4">
        <f>IF(B355&gt;'Mortality Table'!$A$118,D354,VLOOKUP(B355,'Mortality Table'!$A$2:$B$118,2,FALSE))</f>
        <v>5.4030000000000002E-2</v>
      </c>
      <c r="E355" s="4">
        <f>IF(INT((C355-1)/12)+1&gt;'Lapse Table'!$A$11,E354,VLOOKUP(INT((C355-1)/12)+1,'Lapse Table'!$A$2:$B$11,2,FALSE))/12</f>
        <v>5.7405989923214521E-265</v>
      </c>
      <c r="F355" s="5">
        <f t="shared" si="53"/>
        <v>-3.7423656208331766E-3</v>
      </c>
      <c r="G355" s="6">
        <f t="shared" si="47"/>
        <v>4.5025000000000004E-3</v>
      </c>
      <c r="H355" s="6">
        <f t="shared" si="48"/>
        <v>5.5855167105438881E-265</v>
      </c>
      <c r="I355" s="7">
        <f t="shared" si="49"/>
        <v>-0.12474552069443923</v>
      </c>
      <c r="J355" s="8">
        <f t="shared" si="50"/>
        <v>4502.5</v>
      </c>
      <c r="K355" s="7">
        <f t="shared" si="51"/>
        <v>-4502.6247455206949</v>
      </c>
      <c r="L355" s="4">
        <f>IF(A355&gt;'Yield Curve'!A969,L354,(1+VLOOKUP(A355,'Yield Curve'!A348:B970,2,FALSE))^(1/12)-1)</f>
        <v>7.9741404289037643E-3</v>
      </c>
      <c r="M355" s="5">
        <f t="shared" si="52"/>
        <v>-286.10620360308235</v>
      </c>
    </row>
    <row r="356" spans="1:13" x14ac:dyDescent="0.25">
      <c r="A356" s="4">
        <v>348</v>
      </c>
      <c r="B356" s="4">
        <f t="shared" si="45"/>
        <v>74</v>
      </c>
      <c r="C356" s="4">
        <f t="shared" si="46"/>
        <v>363</v>
      </c>
      <c r="D356" s="4">
        <f>IF(B356&gt;'Mortality Table'!$A$118,D355,VLOOKUP(B356,'Mortality Table'!$A$2:$B$118,2,FALSE))</f>
        <v>5.91E-2</v>
      </c>
      <c r="E356" s="4">
        <f>IF(INT((C356-1)/12)+1&gt;'Lapse Table'!$A$11,E355,VLOOKUP(INT((C356-1)/12)+1,'Lapse Table'!$A$2:$B$11,2,FALSE))/12</f>
        <v>4.7838324936012101E-266</v>
      </c>
      <c r="F356" s="5">
        <f t="shared" si="53"/>
        <v>-8.6673656208331763E-3</v>
      </c>
      <c r="G356" s="6">
        <f t="shared" si="47"/>
        <v>4.9249999999999997E-3</v>
      </c>
      <c r="H356" s="6">
        <f t="shared" si="48"/>
        <v>4.6424702434152944E-266</v>
      </c>
      <c r="I356" s="7">
        <f t="shared" si="49"/>
        <v>-0.28891218736110585</v>
      </c>
      <c r="J356" s="8">
        <f t="shared" si="50"/>
        <v>4925</v>
      </c>
      <c r="K356" s="7">
        <f t="shared" si="51"/>
        <v>-4925.2889121873613</v>
      </c>
      <c r="L356" s="4">
        <f>IF(A356&gt;'Yield Curve'!A970,L355,(1+VLOOKUP(A356,'Yield Curve'!A349:B971,2,FALSE))^(1/12)-1)</f>
        <v>7.9741404289037643E-3</v>
      </c>
      <c r="M356" s="5">
        <f t="shared" si="52"/>
        <v>-310.48730036251277</v>
      </c>
    </row>
    <row r="357" spans="1:13" x14ac:dyDescent="0.25">
      <c r="A357" s="4">
        <v>349</v>
      </c>
      <c r="B357" s="4">
        <f t="shared" si="45"/>
        <v>74</v>
      </c>
      <c r="C357" s="4">
        <f t="shared" si="46"/>
        <v>364</v>
      </c>
      <c r="D357" s="4">
        <f>IF(B357&gt;'Mortality Table'!$A$118,D356,VLOOKUP(B357,'Mortality Table'!$A$2:$B$118,2,FALSE))</f>
        <v>5.91E-2</v>
      </c>
      <c r="E357" s="4">
        <f>IF(INT((C357-1)/12)+1&gt;'Lapse Table'!$A$11,E356,VLOOKUP(INT((C357-1)/12)+1,'Lapse Table'!$A$2:$B$11,2,FALSE))/12</f>
        <v>3.9865270780010084E-267</v>
      </c>
      <c r="F357" s="5">
        <f t="shared" si="53"/>
        <v>-1.3592365620833175E-2</v>
      </c>
      <c r="G357" s="6">
        <f t="shared" si="47"/>
        <v>4.9249999999999997E-3</v>
      </c>
      <c r="H357" s="6">
        <f t="shared" si="48"/>
        <v>3.8687252028460789E-267</v>
      </c>
      <c r="I357" s="7">
        <f t="shared" si="49"/>
        <v>-0.45307885402777254</v>
      </c>
      <c r="J357" s="8">
        <f t="shared" si="50"/>
        <v>4925</v>
      </c>
      <c r="K357" s="7">
        <f t="shared" si="51"/>
        <v>-4925.4530788540278</v>
      </c>
      <c r="L357" s="4">
        <f>IF(A357&gt;'Yield Curve'!A971,L356,(1+VLOOKUP(A357,'Yield Curve'!A350:B972,2,FALSE))^(1/12)-1)</f>
        <v>7.9741404289037643E-3</v>
      </c>
      <c r="M357" s="5">
        <f t="shared" si="52"/>
        <v>-308.0412848686538</v>
      </c>
    </row>
    <row r="358" spans="1:13" x14ac:dyDescent="0.25">
      <c r="A358" s="4">
        <v>350</v>
      </c>
      <c r="B358" s="4">
        <f t="shared" si="45"/>
        <v>74</v>
      </c>
      <c r="C358" s="4">
        <f t="shared" si="46"/>
        <v>365</v>
      </c>
      <c r="D358" s="4">
        <f>IF(B358&gt;'Mortality Table'!$A$118,D357,VLOOKUP(B358,'Mortality Table'!$A$2:$B$118,2,FALSE))</f>
        <v>5.91E-2</v>
      </c>
      <c r="E358" s="4">
        <f>IF(INT((C358-1)/12)+1&gt;'Lapse Table'!$A$11,E357,VLOOKUP(INT((C358-1)/12)+1,'Lapse Table'!$A$2:$B$11,2,FALSE))/12</f>
        <v>3.3221058983341737E-268</v>
      </c>
      <c r="F358" s="5">
        <f t="shared" si="53"/>
        <v>-1.8517365620833174E-2</v>
      </c>
      <c r="G358" s="6">
        <f t="shared" si="47"/>
        <v>4.9249999999999997E-3</v>
      </c>
      <c r="H358" s="6">
        <f t="shared" si="48"/>
        <v>3.2239376690383991E-268</v>
      </c>
      <c r="I358" s="7">
        <f t="shared" si="49"/>
        <v>-0.61724552069443916</v>
      </c>
      <c r="J358" s="8">
        <f t="shared" si="50"/>
        <v>4925</v>
      </c>
      <c r="K358" s="7">
        <f t="shared" si="51"/>
        <v>-4925.6172455206943</v>
      </c>
      <c r="L358" s="4">
        <f>IF(A358&gt;'Yield Curve'!A972,L357,(1+VLOOKUP(A358,'Yield Curve'!A351:B973,2,FALSE))^(1/12)-1)</f>
        <v>7.9741404289037643E-3</v>
      </c>
      <c r="M358" s="5">
        <f t="shared" si="52"/>
        <v>-305.61453871810113</v>
      </c>
    </row>
    <row r="359" spans="1:13" x14ac:dyDescent="0.25">
      <c r="A359" s="4">
        <v>351</v>
      </c>
      <c r="B359" s="4">
        <f t="shared" si="45"/>
        <v>74</v>
      </c>
      <c r="C359" s="4">
        <f t="shared" si="46"/>
        <v>366</v>
      </c>
      <c r="D359" s="4">
        <f>IF(B359&gt;'Mortality Table'!$A$118,D358,VLOOKUP(B359,'Mortality Table'!$A$2:$B$118,2,FALSE))</f>
        <v>5.91E-2</v>
      </c>
      <c r="E359" s="4">
        <f>IF(INT((C359-1)/12)+1&gt;'Lapse Table'!$A$11,E358,VLOOKUP(INT((C359-1)/12)+1,'Lapse Table'!$A$2:$B$11,2,FALSE))/12</f>
        <v>2.7684215819451446E-269</v>
      </c>
      <c r="F359" s="5">
        <f t="shared" si="53"/>
        <v>-2.3442365620833173E-2</v>
      </c>
      <c r="G359" s="6">
        <f t="shared" si="47"/>
        <v>4.9249999999999997E-3</v>
      </c>
      <c r="H359" s="6">
        <f t="shared" si="48"/>
        <v>2.6866147241986656E-269</v>
      </c>
      <c r="I359" s="7">
        <f t="shared" si="49"/>
        <v>-0.78141218736110574</v>
      </c>
      <c r="J359" s="8">
        <f t="shared" si="50"/>
        <v>4925</v>
      </c>
      <c r="K359" s="7">
        <f t="shared" si="51"/>
        <v>-4925.7814121873607</v>
      </c>
      <c r="L359" s="4">
        <f>IF(A359&gt;'Yield Curve'!A973,L358,(1+VLOOKUP(A359,'Yield Curve'!A352:B974,2,FALSE))^(1/12)-1)</f>
        <v>7.9741404289037643E-3</v>
      </c>
      <c r="M359" s="5">
        <f t="shared" si="52"/>
        <v>-303.20691011255428</v>
      </c>
    </row>
    <row r="360" spans="1:13" x14ac:dyDescent="0.25">
      <c r="A360" s="4">
        <v>352</v>
      </c>
      <c r="B360" s="4">
        <f t="shared" si="45"/>
        <v>74</v>
      </c>
      <c r="C360" s="4">
        <f t="shared" si="46"/>
        <v>367</v>
      </c>
      <c r="D360" s="4">
        <f>IF(B360&gt;'Mortality Table'!$A$118,D359,VLOOKUP(B360,'Mortality Table'!$A$2:$B$118,2,FALSE))</f>
        <v>5.91E-2</v>
      </c>
      <c r="E360" s="4">
        <f>IF(INT((C360-1)/12)+1&gt;'Lapse Table'!$A$11,E359,VLOOKUP(INT((C360-1)/12)+1,'Lapse Table'!$A$2:$B$11,2,FALSE))/12</f>
        <v>2.3070179849542872E-270</v>
      </c>
      <c r="F360" s="5">
        <f t="shared" si="53"/>
        <v>-2.8367365620833172E-2</v>
      </c>
      <c r="G360" s="6">
        <f t="shared" si="47"/>
        <v>4.9249999999999997E-3</v>
      </c>
      <c r="H360" s="6">
        <f t="shared" si="48"/>
        <v>2.2388456034988881E-270</v>
      </c>
      <c r="I360" s="7">
        <f t="shared" si="49"/>
        <v>-0.94557885402777242</v>
      </c>
      <c r="J360" s="8">
        <f t="shared" si="50"/>
        <v>4925</v>
      </c>
      <c r="K360" s="7">
        <f t="shared" si="51"/>
        <v>-4925.9455788540281</v>
      </c>
      <c r="L360" s="4">
        <f>IF(A360&gt;'Yield Curve'!A974,L359,(1+VLOOKUP(A360,'Yield Curve'!A353:B975,2,FALSE))^(1/12)-1)</f>
        <v>7.9741404289037643E-3</v>
      </c>
      <c r="M360" s="5">
        <f t="shared" si="52"/>
        <v>-300.8182484495149</v>
      </c>
    </row>
    <row r="361" spans="1:13" x14ac:dyDescent="0.25">
      <c r="A361" s="4">
        <v>353</v>
      </c>
      <c r="B361" s="4">
        <f t="shared" si="45"/>
        <v>74</v>
      </c>
      <c r="C361" s="4">
        <f t="shared" si="46"/>
        <v>368</v>
      </c>
      <c r="D361" s="4">
        <f>IF(B361&gt;'Mortality Table'!$A$118,D360,VLOOKUP(B361,'Mortality Table'!$A$2:$B$118,2,FALSE))</f>
        <v>5.91E-2</v>
      </c>
      <c r="E361" s="4">
        <f>IF(INT((C361-1)/12)+1&gt;'Lapse Table'!$A$11,E360,VLOOKUP(INT((C361-1)/12)+1,'Lapse Table'!$A$2:$B$11,2,FALSE))/12</f>
        <v>1.9225149874619061E-271</v>
      </c>
      <c r="F361" s="5">
        <f t="shared" si="53"/>
        <v>-3.3292365620833174E-2</v>
      </c>
      <c r="G361" s="6">
        <f t="shared" si="47"/>
        <v>4.9249999999999997E-3</v>
      </c>
      <c r="H361" s="6">
        <f t="shared" si="48"/>
        <v>1.8657046695824067E-271</v>
      </c>
      <c r="I361" s="7">
        <f t="shared" si="49"/>
        <v>-1.1097455206944391</v>
      </c>
      <c r="J361" s="8">
        <f t="shared" si="50"/>
        <v>4925</v>
      </c>
      <c r="K361" s="7">
        <f t="shared" si="51"/>
        <v>-4926.1097455206946</v>
      </c>
      <c r="L361" s="4">
        <f>IF(A361&gt;'Yield Curve'!A975,L360,(1+VLOOKUP(A361,'Yield Curve'!A354:B976,2,FALSE))^(1/12)-1)</f>
        <v>7.9741404289037643E-3</v>
      </c>
      <c r="M361" s="5">
        <f t="shared" si="52"/>
        <v>-298.44840431286588</v>
      </c>
    </row>
    <row r="362" spans="1:13" x14ac:dyDescent="0.25">
      <c r="A362" s="4">
        <v>354</v>
      </c>
      <c r="B362" s="4">
        <f t="shared" si="45"/>
        <v>74</v>
      </c>
      <c r="C362" s="4">
        <f t="shared" si="46"/>
        <v>369</v>
      </c>
      <c r="D362" s="4">
        <f>IF(B362&gt;'Mortality Table'!$A$118,D361,VLOOKUP(B362,'Mortality Table'!$A$2:$B$118,2,FALSE))</f>
        <v>5.91E-2</v>
      </c>
      <c r="E362" s="4">
        <f>IF(INT((C362-1)/12)+1&gt;'Lapse Table'!$A$11,E361,VLOOKUP(INT((C362-1)/12)+1,'Lapse Table'!$A$2:$B$11,2,FALSE))/12</f>
        <v>1.6020958228849218E-272</v>
      </c>
      <c r="F362" s="5">
        <f t="shared" si="53"/>
        <v>-3.8217365620833173E-2</v>
      </c>
      <c r="G362" s="6">
        <f t="shared" si="47"/>
        <v>4.9249999999999997E-3</v>
      </c>
      <c r="H362" s="6">
        <f t="shared" si="48"/>
        <v>1.5547538913186726E-272</v>
      </c>
      <c r="I362" s="7">
        <f t="shared" si="49"/>
        <v>-1.2739121873611057</v>
      </c>
      <c r="J362" s="8">
        <f t="shared" si="50"/>
        <v>4925</v>
      </c>
      <c r="K362" s="7">
        <f t="shared" si="51"/>
        <v>-4926.273912187361</v>
      </c>
      <c r="L362" s="4">
        <f>IF(A362&gt;'Yield Curve'!A976,L361,(1+VLOOKUP(A362,'Yield Curve'!A355:B977,2,FALSE))^(1/12)-1)</f>
        <v>7.9741404289037643E-3</v>
      </c>
      <c r="M362" s="5">
        <f t="shared" si="52"/>
        <v>-296.09722946352673</v>
      </c>
    </row>
    <row r="363" spans="1:13" x14ac:dyDescent="0.25">
      <c r="A363" s="4">
        <v>355</v>
      </c>
      <c r="B363" s="4">
        <f t="shared" si="45"/>
        <v>74</v>
      </c>
      <c r="C363" s="4">
        <f t="shared" si="46"/>
        <v>370</v>
      </c>
      <c r="D363" s="4">
        <f>IF(B363&gt;'Mortality Table'!$A$118,D362,VLOOKUP(B363,'Mortality Table'!$A$2:$B$118,2,FALSE))</f>
        <v>5.91E-2</v>
      </c>
      <c r="E363" s="4">
        <f>IF(INT((C363-1)/12)+1&gt;'Lapse Table'!$A$11,E362,VLOOKUP(INT((C363-1)/12)+1,'Lapse Table'!$A$2:$B$11,2,FALSE))/12</f>
        <v>1.3350798524041016E-273</v>
      </c>
      <c r="F363" s="5">
        <f t="shared" si="53"/>
        <v>-4.3142365620833172E-2</v>
      </c>
      <c r="G363" s="6">
        <f t="shared" si="47"/>
        <v>4.9249999999999997E-3</v>
      </c>
      <c r="H363" s="6">
        <f t="shared" si="48"/>
        <v>1.2956282427655605E-273</v>
      </c>
      <c r="I363" s="7">
        <f t="shared" si="49"/>
        <v>-1.4380788540277722</v>
      </c>
      <c r="J363" s="8">
        <f t="shared" si="50"/>
        <v>4925</v>
      </c>
      <c r="K363" s="7">
        <f t="shared" si="51"/>
        <v>-4926.4380788540275</v>
      </c>
      <c r="L363" s="4">
        <f>IF(A363&gt;'Yield Curve'!A977,L362,(1+VLOOKUP(A363,'Yield Curve'!A356:B978,2,FALSE))^(1/12)-1)</f>
        <v>7.9741404289037643E-3</v>
      </c>
      <c r="M363" s="5">
        <f t="shared" si="52"/>
        <v>-293.76457683018066</v>
      </c>
    </row>
    <row r="364" spans="1:13" x14ac:dyDescent="0.25">
      <c r="A364" s="4">
        <v>356</v>
      </c>
      <c r="B364" s="4">
        <f t="shared" si="45"/>
        <v>74</v>
      </c>
      <c r="C364" s="4">
        <f t="shared" si="46"/>
        <v>371</v>
      </c>
      <c r="D364" s="4">
        <f>IF(B364&gt;'Mortality Table'!$A$118,D363,VLOOKUP(B364,'Mortality Table'!$A$2:$B$118,2,FALSE))</f>
        <v>5.91E-2</v>
      </c>
      <c r="E364" s="4">
        <f>IF(INT((C364-1)/12)+1&gt;'Lapse Table'!$A$11,E363,VLOOKUP(INT((C364-1)/12)+1,'Lapse Table'!$A$2:$B$11,2,FALSE))/12</f>
        <v>1.1125665436700847E-274</v>
      </c>
      <c r="F364" s="5">
        <f t="shared" si="53"/>
        <v>-4.806736562083317E-2</v>
      </c>
      <c r="G364" s="6">
        <f t="shared" si="47"/>
        <v>4.9249999999999997E-3</v>
      </c>
      <c r="H364" s="6">
        <f t="shared" si="48"/>
        <v>1.0796902023046337E-274</v>
      </c>
      <c r="I364" s="7">
        <f t="shared" si="49"/>
        <v>-1.6022455206944388</v>
      </c>
      <c r="J364" s="8">
        <f t="shared" si="50"/>
        <v>4925</v>
      </c>
      <c r="K364" s="7">
        <f t="shared" si="51"/>
        <v>-4926.6022455206949</v>
      </c>
      <c r="L364" s="4">
        <f>IF(A364&gt;'Yield Curve'!A978,L363,(1+VLOOKUP(A364,'Yield Curve'!A357:B979,2,FALSE))^(1/12)-1)</f>
        <v>7.9741404289037643E-3</v>
      </c>
      <c r="M364" s="5">
        <f t="shared" si="52"/>
        <v>-291.45030050007597</v>
      </c>
    </row>
    <row r="365" spans="1:13" x14ac:dyDescent="0.25">
      <c r="A365" s="4">
        <v>357</v>
      </c>
      <c r="B365" s="4">
        <f t="shared" si="45"/>
        <v>74</v>
      </c>
      <c r="C365" s="4">
        <f t="shared" si="46"/>
        <v>372</v>
      </c>
      <c r="D365" s="4">
        <f>IF(B365&gt;'Mortality Table'!$A$118,D364,VLOOKUP(B365,'Mortality Table'!$A$2:$B$118,2,FALSE))</f>
        <v>5.91E-2</v>
      </c>
      <c r="E365" s="4">
        <f>IF(INT((C365-1)/12)+1&gt;'Lapse Table'!$A$11,E364,VLOOKUP(INT((C365-1)/12)+1,'Lapse Table'!$A$2:$B$11,2,FALSE))/12</f>
        <v>9.2713878639173722E-276</v>
      </c>
      <c r="F365" s="5">
        <f t="shared" si="53"/>
        <v>-5.2992365620833169E-2</v>
      </c>
      <c r="G365" s="6">
        <f t="shared" si="47"/>
        <v>4.9249999999999997E-3</v>
      </c>
      <c r="H365" s="6">
        <f t="shared" si="48"/>
        <v>8.9974183525386135E-276</v>
      </c>
      <c r="I365" s="7">
        <f t="shared" si="49"/>
        <v>-1.7664121873611058</v>
      </c>
      <c r="J365" s="8">
        <f t="shared" si="50"/>
        <v>4925</v>
      </c>
      <c r="K365" s="7">
        <f t="shared" si="51"/>
        <v>-4926.7664121873613</v>
      </c>
      <c r="L365" s="4">
        <f>IF(A365&gt;'Yield Curve'!A979,L364,(1+VLOOKUP(A365,'Yield Curve'!A358:B980,2,FALSE))^(1/12)-1)</f>
        <v>7.9741404289037643E-3</v>
      </c>
      <c r="M365" s="5">
        <f t="shared" si="52"/>
        <v>-289.15425570989981</v>
      </c>
    </row>
    <row r="366" spans="1:13" x14ac:dyDescent="0.25">
      <c r="A366" s="4">
        <v>358</v>
      </c>
      <c r="B366" s="4">
        <f t="shared" si="45"/>
        <v>74</v>
      </c>
      <c r="C366" s="4">
        <f t="shared" si="46"/>
        <v>373</v>
      </c>
      <c r="D366" s="4">
        <f>IF(B366&gt;'Mortality Table'!$A$118,D365,VLOOKUP(B366,'Mortality Table'!$A$2:$B$118,2,FALSE))</f>
        <v>5.91E-2</v>
      </c>
      <c r="E366" s="4">
        <f>IF(INT((C366-1)/12)+1&gt;'Lapse Table'!$A$11,E365,VLOOKUP(INT((C366-1)/12)+1,'Lapse Table'!$A$2:$B$11,2,FALSE))/12</f>
        <v>7.7261565532644771E-277</v>
      </c>
      <c r="F366" s="5">
        <f t="shared" si="53"/>
        <v>-5.7917365620833168E-2</v>
      </c>
      <c r="G366" s="6">
        <f t="shared" si="47"/>
        <v>4.9249999999999997E-3</v>
      </c>
      <c r="H366" s="6">
        <f t="shared" si="48"/>
        <v>7.4978486271155123E-277</v>
      </c>
      <c r="I366" s="7">
        <f t="shared" si="49"/>
        <v>-1.9305788540277724</v>
      </c>
      <c r="J366" s="8">
        <f t="shared" si="50"/>
        <v>4925</v>
      </c>
      <c r="K366" s="7">
        <f t="shared" si="51"/>
        <v>-4926.9305788540278</v>
      </c>
      <c r="L366" s="4">
        <f>IF(A366&gt;'Yield Curve'!A980,L365,(1+VLOOKUP(A366,'Yield Curve'!A359:B981,2,FALSE))^(1/12)-1)</f>
        <v>7.9741404289037643E-3</v>
      </c>
      <c r="M366" s="5">
        <f t="shared" si="52"/>
        <v>-286.87629883672304</v>
      </c>
    </row>
    <row r="367" spans="1:13" x14ac:dyDescent="0.25">
      <c r="A367" s="4">
        <v>359</v>
      </c>
      <c r="B367" s="4">
        <f t="shared" si="45"/>
        <v>74</v>
      </c>
      <c r="C367" s="4">
        <f t="shared" si="46"/>
        <v>374</v>
      </c>
      <c r="D367" s="4">
        <f>IF(B367&gt;'Mortality Table'!$A$118,D366,VLOOKUP(B367,'Mortality Table'!$A$2:$B$118,2,FALSE))</f>
        <v>5.91E-2</v>
      </c>
      <c r="E367" s="4">
        <f>IF(INT((C367-1)/12)+1&gt;'Lapse Table'!$A$11,E366,VLOOKUP(INT((C367-1)/12)+1,'Lapse Table'!$A$2:$B$11,2,FALSE))/12</f>
        <v>6.4384637943870643E-278</v>
      </c>
      <c r="F367" s="5">
        <f t="shared" si="53"/>
        <v>-6.2842365620833174E-2</v>
      </c>
      <c r="G367" s="6">
        <f t="shared" si="47"/>
        <v>4.9249999999999997E-3</v>
      </c>
      <c r="H367" s="6">
        <f t="shared" si="48"/>
        <v>6.2482071892629273E-278</v>
      </c>
      <c r="I367" s="7">
        <f t="shared" si="49"/>
        <v>-2.0947455206944392</v>
      </c>
      <c r="J367" s="8">
        <f t="shared" si="50"/>
        <v>4925</v>
      </c>
      <c r="K367" s="7">
        <f t="shared" si="51"/>
        <v>-4927.0947455206942</v>
      </c>
      <c r="L367" s="4">
        <f>IF(A367&gt;'Yield Curve'!A981,L366,(1+VLOOKUP(A367,'Yield Curve'!A360:B982,2,FALSE))^(1/12)-1)</f>
        <v>7.9741404289037643E-3</v>
      </c>
      <c r="M367" s="5">
        <f t="shared" si="52"/>
        <v>-284.6162873890172</v>
      </c>
    </row>
    <row r="368" spans="1:13" x14ac:dyDescent="0.25">
      <c r="A368" s="4">
        <v>360</v>
      </c>
      <c r="B368" s="4">
        <f t="shared" si="45"/>
        <v>75</v>
      </c>
      <c r="C368" s="4">
        <f t="shared" si="46"/>
        <v>375</v>
      </c>
      <c r="D368" s="4">
        <f>IF(B368&gt;'Mortality Table'!$A$118,D367,VLOOKUP(B368,'Mortality Table'!$A$2:$B$118,2,FALSE))</f>
        <v>6.4630000000000007E-2</v>
      </c>
      <c r="E368" s="4">
        <f>IF(INT((C368-1)/12)+1&gt;'Lapse Table'!$A$11,E367,VLOOKUP(INT((C368-1)/12)+1,'Lapse Table'!$A$2:$B$11,2,FALSE))/12</f>
        <v>5.3653864953225533E-279</v>
      </c>
      <c r="F368" s="5">
        <f t="shared" si="53"/>
        <v>-6.8228198954166513E-2</v>
      </c>
      <c r="G368" s="6">
        <f t="shared" si="47"/>
        <v>5.3858333333333336E-3</v>
      </c>
      <c r="H368" s="6">
        <f t="shared" si="48"/>
        <v>5.1920040307262048E-279</v>
      </c>
      <c r="I368" s="7">
        <f t="shared" si="49"/>
        <v>-2.2742732984722172</v>
      </c>
      <c r="J368" s="8">
        <f t="shared" si="50"/>
        <v>5385.8333333333339</v>
      </c>
      <c r="K368" s="7">
        <f t="shared" si="51"/>
        <v>-5388.1076066318064</v>
      </c>
      <c r="L368" s="4">
        <f>IF(A368&gt;'Yield Curve'!A982,L367,(1+VLOOKUP(A368,'Yield Curve'!A361:B983,2,FALSE))^(1/12)-1)</f>
        <v>7.9741404289037643E-3</v>
      </c>
      <c r="M368" s="5">
        <f t="shared" si="52"/>
        <v>-308.7846519670851</v>
      </c>
    </row>
    <row r="369" spans="1:13" x14ac:dyDescent="0.25">
      <c r="A369" s="4">
        <v>361</v>
      </c>
      <c r="B369" s="4">
        <f t="shared" si="45"/>
        <v>75</v>
      </c>
      <c r="C369" s="4">
        <f t="shared" si="46"/>
        <v>376</v>
      </c>
      <c r="D369" s="4">
        <f>IF(B369&gt;'Mortality Table'!$A$118,D368,VLOOKUP(B369,'Mortality Table'!$A$2:$B$118,2,FALSE))</f>
        <v>6.4630000000000007E-2</v>
      </c>
      <c r="E369" s="4">
        <f>IF(INT((C369-1)/12)+1&gt;'Lapse Table'!$A$11,E368,VLOOKUP(INT((C369-1)/12)+1,'Lapse Table'!$A$2:$B$11,2,FALSE))/12</f>
        <v>4.4711554127687944E-280</v>
      </c>
      <c r="F369" s="5">
        <f t="shared" si="53"/>
        <v>-7.3614032287499853E-2</v>
      </c>
      <c r="G369" s="6">
        <f t="shared" si="47"/>
        <v>5.3858333333333336E-3</v>
      </c>
      <c r="H369" s="6">
        <f t="shared" si="48"/>
        <v>4.3266700256051707E-280</v>
      </c>
      <c r="I369" s="7">
        <f t="shared" si="49"/>
        <v>-2.4538010762499951</v>
      </c>
      <c r="J369" s="8">
        <f t="shared" si="50"/>
        <v>5385.8333333333339</v>
      </c>
      <c r="K369" s="7">
        <f t="shared" si="51"/>
        <v>-5388.2871344095838</v>
      </c>
      <c r="L369" s="4">
        <f>IF(A369&gt;'Yield Curve'!A983,L368,(1+VLOOKUP(A369,'Yield Curve'!A362:B984,2,FALSE))^(1/12)-1)</f>
        <v>7.9741404289037643E-3</v>
      </c>
      <c r="M369" s="5">
        <f t="shared" si="52"/>
        <v>-306.35204620716888</v>
      </c>
    </row>
    <row r="370" spans="1:13" x14ac:dyDescent="0.25">
      <c r="A370" s="4">
        <v>362</v>
      </c>
      <c r="B370" s="4">
        <f t="shared" si="45"/>
        <v>75</v>
      </c>
      <c r="C370" s="4">
        <f t="shared" si="46"/>
        <v>377</v>
      </c>
      <c r="D370" s="4">
        <f>IF(B370&gt;'Mortality Table'!$A$118,D369,VLOOKUP(B370,'Mortality Table'!$A$2:$B$118,2,FALSE))</f>
        <v>6.4630000000000007E-2</v>
      </c>
      <c r="E370" s="4">
        <f>IF(INT((C370-1)/12)+1&gt;'Lapse Table'!$A$11,E369,VLOOKUP(INT((C370-1)/12)+1,'Lapse Table'!$A$2:$B$11,2,FALSE))/12</f>
        <v>3.7259628439739954E-281</v>
      </c>
      <c r="F370" s="5">
        <f t="shared" si="53"/>
        <v>-7.8999865620833193E-2</v>
      </c>
      <c r="G370" s="6">
        <f t="shared" si="47"/>
        <v>5.3858333333333336E-3</v>
      </c>
      <c r="H370" s="6">
        <f t="shared" si="48"/>
        <v>3.6055583546709758E-281</v>
      </c>
      <c r="I370" s="7">
        <f t="shared" si="49"/>
        <v>-2.6333288540277731</v>
      </c>
      <c r="J370" s="8">
        <f t="shared" si="50"/>
        <v>5385.8333333333339</v>
      </c>
      <c r="K370" s="7">
        <f t="shared" si="51"/>
        <v>-5388.4666621873621</v>
      </c>
      <c r="L370" s="4">
        <f>IF(A370&gt;'Yield Curve'!A984,L369,(1+VLOOKUP(A370,'Yield Curve'!A363:B985,2,FALSE))^(1/12)-1)</f>
        <v>7.9741404289037643E-3</v>
      </c>
      <c r="M370" s="5">
        <f t="shared" si="52"/>
        <v>-303.93860418016789</v>
      </c>
    </row>
    <row r="371" spans="1:13" x14ac:dyDescent="0.25">
      <c r="A371" s="4">
        <v>363</v>
      </c>
      <c r="B371" s="4">
        <f t="shared" si="45"/>
        <v>75</v>
      </c>
      <c r="C371" s="4">
        <f t="shared" si="46"/>
        <v>378</v>
      </c>
      <c r="D371" s="4">
        <f>IF(B371&gt;'Mortality Table'!$A$118,D370,VLOOKUP(B371,'Mortality Table'!$A$2:$B$118,2,FALSE))</f>
        <v>6.4630000000000007E-2</v>
      </c>
      <c r="E371" s="4">
        <f>IF(INT((C371-1)/12)+1&gt;'Lapse Table'!$A$11,E370,VLOOKUP(INT((C371-1)/12)+1,'Lapse Table'!$A$2:$B$11,2,FALSE))/12</f>
        <v>3.1049690366449963E-282</v>
      </c>
      <c r="F371" s="5">
        <f t="shared" si="53"/>
        <v>-8.4385698954166533E-2</v>
      </c>
      <c r="G371" s="6">
        <f t="shared" si="47"/>
        <v>5.3858333333333336E-3</v>
      </c>
      <c r="H371" s="6">
        <f t="shared" si="48"/>
        <v>3.0046319622258134E-282</v>
      </c>
      <c r="I371" s="7">
        <f t="shared" si="49"/>
        <v>-2.8128566318055515</v>
      </c>
      <c r="J371" s="8">
        <f t="shared" si="50"/>
        <v>5385.8333333333339</v>
      </c>
      <c r="K371" s="7">
        <f t="shared" si="51"/>
        <v>-5388.6461899651395</v>
      </c>
      <c r="L371" s="4">
        <f>IF(A371&gt;'Yield Curve'!A985,L370,(1+VLOOKUP(A371,'Yield Curve'!A364:B986,2,FALSE))^(1/12)-1)</f>
        <v>7.9741404289037643E-3</v>
      </c>
      <c r="M371" s="5">
        <f t="shared" si="52"/>
        <v>-301.54417491951574</v>
      </c>
    </row>
    <row r="372" spans="1:13" x14ac:dyDescent="0.25">
      <c r="A372" s="4">
        <v>364</v>
      </c>
      <c r="B372" s="4">
        <f t="shared" si="45"/>
        <v>75</v>
      </c>
      <c r="C372" s="4">
        <f t="shared" si="46"/>
        <v>379</v>
      </c>
      <c r="D372" s="4">
        <f>IF(B372&gt;'Mortality Table'!$A$118,D371,VLOOKUP(B372,'Mortality Table'!$A$2:$B$118,2,FALSE))</f>
        <v>6.4630000000000007E-2</v>
      </c>
      <c r="E372" s="4">
        <f>IF(INT((C372-1)/12)+1&gt;'Lapse Table'!$A$11,E371,VLOOKUP(INT((C372-1)/12)+1,'Lapse Table'!$A$2:$B$11,2,FALSE))/12</f>
        <v>2.5874741972041635E-283</v>
      </c>
      <c r="F372" s="5">
        <f t="shared" si="53"/>
        <v>-8.9771532287499872E-2</v>
      </c>
      <c r="G372" s="6">
        <f t="shared" si="47"/>
        <v>5.3858333333333336E-3</v>
      </c>
      <c r="H372" s="6">
        <f t="shared" si="48"/>
        <v>2.5038599685215109E-283</v>
      </c>
      <c r="I372" s="7">
        <f t="shared" si="49"/>
        <v>-2.992384409583329</v>
      </c>
      <c r="J372" s="8">
        <f t="shared" si="50"/>
        <v>5385.8333333333339</v>
      </c>
      <c r="K372" s="7">
        <f t="shared" si="51"/>
        <v>-5388.8257177429168</v>
      </c>
      <c r="L372" s="4">
        <f>IF(A372&gt;'Yield Curve'!A986,L371,(1+VLOOKUP(A372,'Yield Curve'!A365:B987,2,FALSE))^(1/12)-1)</f>
        <v>7.9741404289037643E-3</v>
      </c>
      <c r="M372" s="5">
        <f t="shared" si="52"/>
        <v>-299.16860864789737</v>
      </c>
    </row>
    <row r="373" spans="1:13" x14ac:dyDescent="0.25">
      <c r="A373" s="4">
        <v>365</v>
      </c>
      <c r="B373" s="4">
        <f t="shared" si="45"/>
        <v>75</v>
      </c>
      <c r="C373" s="4">
        <f t="shared" si="46"/>
        <v>380</v>
      </c>
      <c r="D373" s="4">
        <f>IF(B373&gt;'Mortality Table'!$A$118,D372,VLOOKUP(B373,'Mortality Table'!$A$2:$B$118,2,FALSE))</f>
        <v>6.4630000000000007E-2</v>
      </c>
      <c r="E373" s="4">
        <f>IF(INT((C373-1)/12)+1&gt;'Lapse Table'!$A$11,E372,VLOOKUP(INT((C373-1)/12)+1,'Lapse Table'!$A$2:$B$11,2,FALSE))/12</f>
        <v>2.1562284976701362E-284</v>
      </c>
      <c r="F373" s="5">
        <f t="shared" si="53"/>
        <v>-9.5157365620833212E-2</v>
      </c>
      <c r="G373" s="6">
        <f t="shared" si="47"/>
        <v>5.3858333333333336E-3</v>
      </c>
      <c r="H373" s="6">
        <f t="shared" si="48"/>
        <v>2.0865499737679258E-284</v>
      </c>
      <c r="I373" s="7">
        <f t="shared" si="49"/>
        <v>-3.1719121873611069</v>
      </c>
      <c r="J373" s="8">
        <f t="shared" si="50"/>
        <v>5385.8333333333339</v>
      </c>
      <c r="K373" s="7">
        <f t="shared" si="51"/>
        <v>-5389.0052455206951</v>
      </c>
      <c r="L373" s="4">
        <f>IF(A373&gt;'Yield Curve'!A987,L372,(1+VLOOKUP(A373,'Yield Curve'!A366:B988,2,FALSE))^(1/12)-1)</f>
        <v>7.9741404289037643E-3</v>
      </c>
      <c r="M373" s="5">
        <f t="shared" si="52"/>
        <v>-296.81175676788121</v>
      </c>
    </row>
    <row r="374" spans="1:13" x14ac:dyDescent="0.25">
      <c r="A374" s="4">
        <v>366</v>
      </c>
      <c r="B374" s="4">
        <f t="shared" si="45"/>
        <v>75</v>
      </c>
      <c r="C374" s="4">
        <f t="shared" si="46"/>
        <v>381</v>
      </c>
      <c r="D374" s="4">
        <f>IF(B374&gt;'Mortality Table'!$A$118,D373,VLOOKUP(B374,'Mortality Table'!$A$2:$B$118,2,FALSE))</f>
        <v>6.4630000000000007E-2</v>
      </c>
      <c r="E374" s="4">
        <f>IF(INT((C374-1)/12)+1&gt;'Lapse Table'!$A$11,E373,VLOOKUP(INT((C374-1)/12)+1,'Lapse Table'!$A$2:$B$11,2,FALSE))/12</f>
        <v>1.79685708139178E-285</v>
      </c>
      <c r="F374" s="5">
        <f t="shared" si="53"/>
        <v>-0.10054319895416655</v>
      </c>
      <c r="G374" s="6">
        <f t="shared" si="47"/>
        <v>5.3858333333333336E-3</v>
      </c>
      <c r="H374" s="6">
        <f t="shared" si="48"/>
        <v>1.7387916448066048E-285</v>
      </c>
      <c r="I374" s="7">
        <f t="shared" si="49"/>
        <v>-3.3514399651388853</v>
      </c>
      <c r="J374" s="8">
        <f t="shared" si="50"/>
        <v>5385.8333333333339</v>
      </c>
      <c r="K374" s="7">
        <f t="shared" si="51"/>
        <v>-5389.1847732984725</v>
      </c>
      <c r="L374" s="4">
        <f>IF(A374&gt;'Yield Curve'!A988,L373,(1+VLOOKUP(A374,'Yield Curve'!A367:B989,2,FALSE))^(1/12)-1)</f>
        <v>7.9741404289037643E-3</v>
      </c>
      <c r="M374" s="5">
        <f t="shared" si="52"/>
        <v>-294.47347185262385</v>
      </c>
    </row>
    <row r="375" spans="1:13" x14ac:dyDescent="0.25">
      <c r="A375" s="4">
        <v>367</v>
      </c>
      <c r="B375" s="4">
        <f t="shared" si="45"/>
        <v>75</v>
      </c>
      <c r="C375" s="4">
        <f t="shared" si="46"/>
        <v>382</v>
      </c>
      <c r="D375" s="4">
        <f>IF(B375&gt;'Mortality Table'!$A$118,D374,VLOOKUP(B375,'Mortality Table'!$A$2:$B$118,2,FALSE))</f>
        <v>6.4630000000000007E-2</v>
      </c>
      <c r="E375" s="4">
        <f>IF(INT((C375-1)/12)+1&gt;'Lapse Table'!$A$11,E374,VLOOKUP(INT((C375-1)/12)+1,'Lapse Table'!$A$2:$B$11,2,FALSE))/12</f>
        <v>1.4973809011598167E-286</v>
      </c>
      <c r="F375" s="5">
        <f t="shared" si="53"/>
        <v>-0.10592903228749989</v>
      </c>
      <c r="G375" s="6">
        <f t="shared" si="47"/>
        <v>5.3858333333333336E-3</v>
      </c>
      <c r="H375" s="6">
        <f t="shared" si="48"/>
        <v>1.4489930373388372E-286</v>
      </c>
      <c r="I375" s="7">
        <f t="shared" si="49"/>
        <v>-3.5309677429166633</v>
      </c>
      <c r="J375" s="8">
        <f t="shared" si="50"/>
        <v>5385.8333333333339</v>
      </c>
      <c r="K375" s="7">
        <f t="shared" si="51"/>
        <v>-5389.3643010762507</v>
      </c>
      <c r="L375" s="4">
        <f>IF(A375&gt;'Yield Curve'!A989,L374,(1+VLOOKUP(A375,'Yield Curve'!A368:B990,2,FALSE))^(1/12)-1)</f>
        <v>7.9741404289037643E-3</v>
      </c>
      <c r="M375" s="5">
        <f t="shared" si="52"/>
        <v>-292.15360763664972</v>
      </c>
    </row>
    <row r="376" spans="1:13" x14ac:dyDescent="0.25">
      <c r="A376" s="4">
        <v>368</v>
      </c>
      <c r="B376" s="4">
        <f t="shared" si="45"/>
        <v>75</v>
      </c>
      <c r="C376" s="4">
        <f t="shared" si="46"/>
        <v>383</v>
      </c>
      <c r="D376" s="4">
        <f>IF(B376&gt;'Mortality Table'!$A$118,D375,VLOOKUP(B376,'Mortality Table'!$A$2:$B$118,2,FALSE))</f>
        <v>6.4630000000000007E-2</v>
      </c>
      <c r="E376" s="4">
        <f>IF(INT((C376-1)/12)+1&gt;'Lapse Table'!$A$11,E375,VLOOKUP(INT((C376-1)/12)+1,'Lapse Table'!$A$2:$B$11,2,FALSE))/12</f>
        <v>1.2478174176331806E-287</v>
      </c>
      <c r="F376" s="5">
        <f t="shared" si="53"/>
        <v>-0.11131486562083323</v>
      </c>
      <c r="G376" s="6">
        <f t="shared" si="47"/>
        <v>5.3858333333333336E-3</v>
      </c>
      <c r="H376" s="6">
        <f t="shared" si="48"/>
        <v>1.2074941977823644E-287</v>
      </c>
      <c r="I376" s="7">
        <f t="shared" si="49"/>
        <v>-3.7104955206944408</v>
      </c>
      <c r="J376" s="8">
        <f t="shared" si="50"/>
        <v>5385.8333333333339</v>
      </c>
      <c r="K376" s="7">
        <f t="shared" si="51"/>
        <v>-5389.5438288540281</v>
      </c>
      <c r="L376" s="4">
        <f>IF(A376&gt;'Yield Curve'!A990,L375,(1+VLOOKUP(A376,'Yield Curve'!A369:B991,2,FALSE))^(1/12)-1)</f>
        <v>7.9741404289037643E-3</v>
      </c>
      <c r="M376" s="5">
        <f t="shared" si="52"/>
        <v>-289.85201900670171</v>
      </c>
    </row>
    <row r="377" spans="1:13" x14ac:dyDescent="0.25">
      <c r="A377" s="4">
        <v>369</v>
      </c>
      <c r="B377" s="4">
        <f t="shared" si="45"/>
        <v>75</v>
      </c>
      <c r="C377" s="4">
        <f t="shared" si="46"/>
        <v>384</v>
      </c>
      <c r="D377" s="4">
        <f>IF(B377&gt;'Mortality Table'!$A$118,D376,VLOOKUP(B377,'Mortality Table'!$A$2:$B$118,2,FALSE))</f>
        <v>6.4630000000000007E-2</v>
      </c>
      <c r="E377" s="4">
        <f>IF(INT((C377-1)/12)+1&gt;'Lapse Table'!$A$11,E376,VLOOKUP(INT((C377-1)/12)+1,'Lapse Table'!$A$2:$B$11,2,FALSE))/12</f>
        <v>1.0398478480276505E-288</v>
      </c>
      <c r="F377" s="5">
        <f t="shared" si="53"/>
        <v>-0.11670069895416657</v>
      </c>
      <c r="G377" s="6">
        <f t="shared" si="47"/>
        <v>5.3858333333333336E-3</v>
      </c>
      <c r="H377" s="6">
        <f t="shared" si="48"/>
        <v>1.0062451648186369E-288</v>
      </c>
      <c r="I377" s="7">
        <f t="shared" si="49"/>
        <v>-3.8900232984722187</v>
      </c>
      <c r="J377" s="8">
        <f t="shared" si="50"/>
        <v>5385.8333333333339</v>
      </c>
      <c r="K377" s="7">
        <f t="shared" si="51"/>
        <v>-5389.7233566318064</v>
      </c>
      <c r="L377" s="4">
        <f>IF(A377&gt;'Yield Curve'!A991,L376,(1+VLOOKUP(A377,'Yield Curve'!A370:B992,2,FALSE))^(1/12)-1)</f>
        <v>7.9741404289037643E-3</v>
      </c>
      <c r="M377" s="5">
        <f t="shared" si="52"/>
        <v>-287.56856199266554</v>
      </c>
    </row>
    <row r="378" spans="1:13" x14ac:dyDescent="0.25">
      <c r="A378" s="4">
        <v>370</v>
      </c>
      <c r="B378" s="4">
        <f t="shared" si="45"/>
        <v>75</v>
      </c>
      <c r="C378" s="4">
        <f t="shared" si="46"/>
        <v>385</v>
      </c>
      <c r="D378" s="4">
        <f>IF(B378&gt;'Mortality Table'!$A$118,D377,VLOOKUP(B378,'Mortality Table'!$A$2:$B$118,2,FALSE))</f>
        <v>6.4630000000000007E-2</v>
      </c>
      <c r="E378" s="4">
        <f>IF(INT((C378-1)/12)+1&gt;'Lapse Table'!$A$11,E377,VLOOKUP(INT((C378-1)/12)+1,'Lapse Table'!$A$2:$B$11,2,FALSE))/12</f>
        <v>8.6653987335637535E-290</v>
      </c>
      <c r="F378" s="5">
        <f t="shared" si="53"/>
        <v>-0.12208653228749991</v>
      </c>
      <c r="G378" s="6">
        <f t="shared" si="47"/>
        <v>5.3858333333333336E-3</v>
      </c>
      <c r="H378" s="6">
        <f t="shared" si="48"/>
        <v>8.385376373488641E-290</v>
      </c>
      <c r="I378" s="7">
        <f t="shared" si="49"/>
        <v>-4.0695510762499971</v>
      </c>
      <c r="J378" s="8">
        <f t="shared" si="50"/>
        <v>5385.8333333333339</v>
      </c>
      <c r="K378" s="7">
        <f t="shared" si="51"/>
        <v>-5389.9028844095837</v>
      </c>
      <c r="L378" s="4">
        <f>IF(A378&gt;'Yield Curve'!A992,L377,(1+VLOOKUP(A378,'Yield Curve'!A371:B993,2,FALSE))^(1/12)-1)</f>
        <v>7.9741404289037643E-3</v>
      </c>
      <c r="M378" s="5">
        <f t="shared" si="52"/>
        <v>-285.30309375856376</v>
      </c>
    </row>
    <row r="379" spans="1:13" x14ac:dyDescent="0.25">
      <c r="A379" s="4">
        <v>371</v>
      </c>
      <c r="B379" s="4">
        <f t="shared" si="45"/>
        <v>75</v>
      </c>
      <c r="C379" s="4">
        <f t="shared" si="46"/>
        <v>386</v>
      </c>
      <c r="D379" s="4">
        <f>IF(B379&gt;'Mortality Table'!$A$118,D378,VLOOKUP(B379,'Mortality Table'!$A$2:$B$118,2,FALSE))</f>
        <v>6.4630000000000007E-2</v>
      </c>
      <c r="E379" s="4">
        <f>IF(INT((C379-1)/12)+1&gt;'Lapse Table'!$A$11,E378,VLOOKUP(INT((C379-1)/12)+1,'Lapse Table'!$A$2:$B$11,2,FALSE))/12</f>
        <v>7.2211656113031284E-291</v>
      </c>
      <c r="F379" s="5">
        <f t="shared" si="53"/>
        <v>-0.12747236562083325</v>
      </c>
      <c r="G379" s="6">
        <f t="shared" si="47"/>
        <v>5.3858333333333336E-3</v>
      </c>
      <c r="H379" s="6">
        <f t="shared" si="48"/>
        <v>6.9878136445738675E-291</v>
      </c>
      <c r="I379" s="7">
        <f t="shared" si="49"/>
        <v>-4.2490788540277746</v>
      </c>
      <c r="J379" s="8">
        <f t="shared" si="50"/>
        <v>5385.8333333333339</v>
      </c>
      <c r="K379" s="7">
        <f t="shared" si="51"/>
        <v>-5390.082412187362</v>
      </c>
      <c r="L379" s="4">
        <f>IF(A379&gt;'Yield Curve'!A993,L378,(1+VLOOKUP(A379,'Yield Curve'!A372:B994,2,FALSE))^(1/12)-1)</f>
        <v>7.9741404289037643E-3</v>
      </c>
      <c r="M379" s="5">
        <f t="shared" si="52"/>
        <v>-283.05547259362226</v>
      </c>
    </row>
    <row r="380" spans="1:13" x14ac:dyDescent="0.25">
      <c r="A380" s="4">
        <v>372</v>
      </c>
      <c r="B380" s="4">
        <f t="shared" si="45"/>
        <v>76</v>
      </c>
      <c r="C380" s="4">
        <f t="shared" si="46"/>
        <v>387</v>
      </c>
      <c r="D380" s="4">
        <f>IF(B380&gt;'Mortality Table'!$A$118,D379,VLOOKUP(B380,'Mortality Table'!$A$2:$B$118,2,FALSE))</f>
        <v>7.0660000000000001E-2</v>
      </c>
      <c r="E380" s="4">
        <f>IF(INT((C380-1)/12)+1&gt;'Lapse Table'!$A$11,E379,VLOOKUP(INT((C380-1)/12)+1,'Lapse Table'!$A$2:$B$11,2,FALSE))/12</f>
        <v>6.0176380094192733E-292</v>
      </c>
      <c r="F380" s="5">
        <f t="shared" si="53"/>
        <v>-0.13336069895416658</v>
      </c>
      <c r="G380" s="6">
        <f t="shared" si="47"/>
        <v>5.8883333333333331E-3</v>
      </c>
      <c r="H380" s="6">
        <f t="shared" si="48"/>
        <v>5.8050348585464903E-292</v>
      </c>
      <c r="I380" s="7">
        <f t="shared" si="49"/>
        <v>-4.4453566318055531</v>
      </c>
      <c r="J380" s="8">
        <f t="shared" si="50"/>
        <v>5888.333333333333</v>
      </c>
      <c r="K380" s="7">
        <f t="shared" si="51"/>
        <v>-5892.7786899651383</v>
      </c>
      <c r="L380" s="4">
        <f>IF(A380&gt;'Yield Curve'!A994,L379,(1+VLOOKUP(A380,'Yield Curve'!A373:B995,2,FALSE))^(1/12)-1)</f>
        <v>7.9741404289037643E-3</v>
      </c>
      <c r="M380" s="5">
        <f t="shared" si="52"/>
        <v>-307.00601967804653</v>
      </c>
    </row>
    <row r="381" spans="1:13" x14ac:dyDescent="0.25">
      <c r="A381" s="4">
        <v>373</v>
      </c>
      <c r="B381" s="4">
        <f t="shared" si="45"/>
        <v>76</v>
      </c>
      <c r="C381" s="4">
        <f t="shared" si="46"/>
        <v>388</v>
      </c>
      <c r="D381" s="4">
        <f>IF(B381&gt;'Mortality Table'!$A$118,D380,VLOOKUP(B381,'Mortality Table'!$A$2:$B$118,2,FALSE))</f>
        <v>7.0660000000000001E-2</v>
      </c>
      <c r="E381" s="4">
        <f>IF(INT((C381-1)/12)+1&gt;'Lapse Table'!$A$11,E380,VLOOKUP(INT((C381-1)/12)+1,'Lapse Table'!$A$2:$B$11,2,FALSE))/12</f>
        <v>5.0146983411827282E-293</v>
      </c>
      <c r="F381" s="5">
        <f t="shared" si="53"/>
        <v>-0.13924903228749991</v>
      </c>
      <c r="G381" s="6">
        <f t="shared" si="47"/>
        <v>5.8883333333333331E-3</v>
      </c>
      <c r="H381" s="6">
        <f t="shared" si="48"/>
        <v>4.8375290487887427E-293</v>
      </c>
      <c r="I381" s="7">
        <f t="shared" si="49"/>
        <v>-4.6416344095833297</v>
      </c>
      <c r="J381" s="8">
        <f t="shared" si="50"/>
        <v>5888.333333333333</v>
      </c>
      <c r="K381" s="7">
        <f t="shared" si="51"/>
        <v>-5892.9749677429163</v>
      </c>
      <c r="L381" s="4">
        <f>IF(A381&gt;'Yield Curve'!A995,L380,(1+VLOOKUP(A381,'Yield Curve'!A374:B996,2,FALSE))^(1/12)-1)</f>
        <v>7.9741404289037643E-3</v>
      </c>
      <c r="M381" s="5">
        <f t="shared" si="52"/>
        <v>-304.58742261134722</v>
      </c>
    </row>
    <row r="382" spans="1:13" x14ac:dyDescent="0.25">
      <c r="A382" s="4">
        <v>374</v>
      </c>
      <c r="B382" s="4">
        <f t="shared" si="45"/>
        <v>76</v>
      </c>
      <c r="C382" s="4">
        <f t="shared" si="46"/>
        <v>389</v>
      </c>
      <c r="D382" s="4">
        <f>IF(B382&gt;'Mortality Table'!$A$118,D381,VLOOKUP(B382,'Mortality Table'!$A$2:$B$118,2,FALSE))</f>
        <v>7.0660000000000001E-2</v>
      </c>
      <c r="E382" s="4">
        <f>IF(INT((C382-1)/12)+1&gt;'Lapse Table'!$A$11,E381,VLOOKUP(INT((C382-1)/12)+1,'Lapse Table'!$A$2:$B$11,2,FALSE))/12</f>
        <v>4.1789152843189399E-294</v>
      </c>
      <c r="F382" s="5">
        <f t="shared" si="53"/>
        <v>-0.14513736562083324</v>
      </c>
      <c r="G382" s="6">
        <f t="shared" si="47"/>
        <v>5.8883333333333331E-3</v>
      </c>
      <c r="H382" s="6">
        <f t="shared" si="48"/>
        <v>4.0312742073239518E-294</v>
      </c>
      <c r="I382" s="7">
        <f t="shared" si="49"/>
        <v>-4.8379121873611082</v>
      </c>
      <c r="J382" s="8">
        <f t="shared" si="50"/>
        <v>5888.333333333333</v>
      </c>
      <c r="K382" s="7">
        <f t="shared" si="51"/>
        <v>-5893.1712455206944</v>
      </c>
      <c r="L382" s="4">
        <f>IF(A382&gt;'Yield Curve'!A996,L381,(1+VLOOKUP(A382,'Yield Curve'!A375:B997,2,FALSE))^(1/12)-1)</f>
        <v>7.9741404289037643E-3</v>
      </c>
      <c r="M382" s="5">
        <f t="shared" si="52"/>
        <v>-302.18787894580879</v>
      </c>
    </row>
    <row r="383" spans="1:13" x14ac:dyDescent="0.25">
      <c r="A383" s="4">
        <v>375</v>
      </c>
      <c r="B383" s="4">
        <f t="shared" si="45"/>
        <v>76</v>
      </c>
      <c r="C383" s="4">
        <f t="shared" si="46"/>
        <v>390</v>
      </c>
      <c r="D383" s="4">
        <f>IF(B383&gt;'Mortality Table'!$A$118,D382,VLOOKUP(B383,'Mortality Table'!$A$2:$B$118,2,FALSE))</f>
        <v>7.0660000000000001E-2</v>
      </c>
      <c r="E383" s="4">
        <f>IF(INT((C383-1)/12)+1&gt;'Lapse Table'!$A$11,E382,VLOOKUP(INT((C383-1)/12)+1,'Lapse Table'!$A$2:$B$11,2,FALSE))/12</f>
        <v>3.4824294035991164E-295</v>
      </c>
      <c r="F383" s="5">
        <f t="shared" si="53"/>
        <v>-0.15102569895416657</v>
      </c>
      <c r="G383" s="6">
        <f t="shared" si="47"/>
        <v>5.8883333333333331E-3</v>
      </c>
      <c r="H383" s="6">
        <f t="shared" si="48"/>
        <v>3.3593951727699597E-295</v>
      </c>
      <c r="I383" s="7">
        <f t="shared" si="49"/>
        <v>-5.0341899651388857</v>
      </c>
      <c r="J383" s="8">
        <f t="shared" si="50"/>
        <v>5888.333333333333</v>
      </c>
      <c r="K383" s="7">
        <f t="shared" si="51"/>
        <v>-5893.3675232984715</v>
      </c>
      <c r="L383" s="4">
        <f>IF(A383&gt;'Yield Curve'!A997,L382,(1+VLOOKUP(A383,'Yield Curve'!A376:B998,2,FALSE))^(1/12)-1)</f>
        <v>7.9741404289037643E-3</v>
      </c>
      <c r="M383" s="5">
        <f t="shared" si="52"/>
        <v>-299.80723858381475</v>
      </c>
    </row>
    <row r="384" spans="1:13" x14ac:dyDescent="0.25">
      <c r="A384" s="4">
        <v>376</v>
      </c>
      <c r="B384" s="4">
        <f t="shared" si="45"/>
        <v>76</v>
      </c>
      <c r="C384" s="4">
        <f t="shared" si="46"/>
        <v>391</v>
      </c>
      <c r="D384" s="4">
        <f>IF(B384&gt;'Mortality Table'!$A$118,D383,VLOOKUP(B384,'Mortality Table'!$A$2:$B$118,2,FALSE))</f>
        <v>7.0660000000000001E-2</v>
      </c>
      <c r="E384" s="4">
        <f>IF(INT((C384-1)/12)+1&gt;'Lapse Table'!$A$11,E383,VLOOKUP(INT((C384-1)/12)+1,'Lapse Table'!$A$2:$B$11,2,FALSE))/12</f>
        <v>2.9020245029992639E-296</v>
      </c>
      <c r="F384" s="5">
        <f t="shared" si="53"/>
        <v>-0.15691403228749989</v>
      </c>
      <c r="G384" s="6">
        <f t="shared" si="47"/>
        <v>5.8883333333333331E-3</v>
      </c>
      <c r="H384" s="6">
        <f t="shared" si="48"/>
        <v>2.7994959773083001E-296</v>
      </c>
      <c r="I384" s="7">
        <f t="shared" si="49"/>
        <v>-5.2304677429166633</v>
      </c>
      <c r="J384" s="8">
        <f t="shared" si="50"/>
        <v>5888.333333333333</v>
      </c>
      <c r="K384" s="7">
        <f t="shared" si="51"/>
        <v>-5893.5638010762495</v>
      </c>
      <c r="L384" s="4">
        <f>IF(A384&gt;'Yield Curve'!A998,L383,(1+VLOOKUP(A384,'Yield Curve'!A377:B999,2,FALSE))^(1/12)-1)</f>
        <v>7.9741404289037643E-3</v>
      </c>
      <c r="M384" s="5">
        <f t="shared" si="52"/>
        <v>-297.44535261015659</v>
      </c>
    </row>
    <row r="385" spans="1:13" x14ac:dyDescent="0.25">
      <c r="A385" s="4">
        <v>377</v>
      </c>
      <c r="B385" s="4">
        <f t="shared" si="45"/>
        <v>76</v>
      </c>
      <c r="C385" s="4">
        <f t="shared" si="46"/>
        <v>392</v>
      </c>
      <c r="D385" s="4">
        <f>IF(B385&gt;'Mortality Table'!$A$118,D384,VLOOKUP(B385,'Mortality Table'!$A$2:$B$118,2,FALSE))</f>
        <v>7.0660000000000001E-2</v>
      </c>
      <c r="E385" s="4">
        <f>IF(INT((C385-1)/12)+1&gt;'Lapse Table'!$A$11,E384,VLOOKUP(INT((C385-1)/12)+1,'Lapse Table'!$A$2:$B$11,2,FALSE))/12</f>
        <v>2.4183537524993866E-297</v>
      </c>
      <c r="F385" s="5">
        <f t="shared" si="53"/>
        <v>-0.16280236562083322</v>
      </c>
      <c r="G385" s="6">
        <f t="shared" si="47"/>
        <v>5.8883333333333331E-3</v>
      </c>
      <c r="H385" s="6">
        <f t="shared" si="48"/>
        <v>2.3329133144235833E-297</v>
      </c>
      <c r="I385" s="7">
        <f t="shared" si="49"/>
        <v>-5.4267455206944399</v>
      </c>
      <c r="J385" s="8">
        <f t="shared" si="50"/>
        <v>5888.333333333333</v>
      </c>
      <c r="K385" s="7">
        <f t="shared" si="51"/>
        <v>-5893.7600788540276</v>
      </c>
      <c r="L385" s="4">
        <f>IF(A385&gt;'Yield Curve'!A999,L384,(1+VLOOKUP(A385,'Yield Curve'!A378:B1000,2,FALSE))^(1/12)-1)</f>
        <v>7.9741404289037643E-3</v>
      </c>
      <c r="M385" s="5">
        <f t="shared" si="52"/>
        <v>-295.10207328271963</v>
      </c>
    </row>
    <row r="386" spans="1:13" x14ac:dyDescent="0.25">
      <c r="A386" s="4">
        <v>378</v>
      </c>
      <c r="B386" s="4">
        <f t="shared" si="45"/>
        <v>76</v>
      </c>
      <c r="C386" s="4">
        <f t="shared" si="46"/>
        <v>393</v>
      </c>
      <c r="D386" s="4">
        <f>IF(B386&gt;'Mortality Table'!$A$118,D385,VLOOKUP(B386,'Mortality Table'!$A$2:$B$118,2,FALSE))</f>
        <v>7.0660000000000001E-2</v>
      </c>
      <c r="E386" s="4">
        <f>IF(INT((C386-1)/12)+1&gt;'Lapse Table'!$A$11,E385,VLOOKUP(INT((C386-1)/12)+1,'Lapse Table'!$A$2:$B$11,2,FALSE))/12</f>
        <v>2.0152947937494888E-298</v>
      </c>
      <c r="F386" s="5">
        <f t="shared" si="53"/>
        <v>-0.16869069895416655</v>
      </c>
      <c r="G386" s="6">
        <f t="shared" si="47"/>
        <v>5.8883333333333331E-3</v>
      </c>
      <c r="H386" s="6">
        <f t="shared" si="48"/>
        <v>1.9440944286863194E-298</v>
      </c>
      <c r="I386" s="7">
        <f t="shared" si="49"/>
        <v>-5.6230232984722184</v>
      </c>
      <c r="J386" s="8">
        <f t="shared" si="50"/>
        <v>5888.333333333333</v>
      </c>
      <c r="K386" s="7">
        <f t="shared" si="51"/>
        <v>-5893.9563566318056</v>
      </c>
      <c r="L386" s="4">
        <f>IF(A386&gt;'Yield Curve'!A1000,L385,(1+VLOOKUP(A386,'Yield Curve'!A379:B1001,2,FALSE))^(1/12)-1)</f>
        <v>7.9741404289037643E-3</v>
      </c>
      <c r="M386" s="5">
        <f t="shared" si="52"/>
        <v>-292.77725402324108</v>
      </c>
    </row>
    <row r="387" spans="1:13" x14ac:dyDescent="0.25">
      <c r="A387" s="4">
        <v>379</v>
      </c>
      <c r="B387" s="4">
        <f t="shared" si="45"/>
        <v>76</v>
      </c>
      <c r="C387" s="4">
        <f t="shared" si="46"/>
        <v>394</v>
      </c>
      <c r="D387" s="4">
        <f>IF(B387&gt;'Mortality Table'!$A$118,D386,VLOOKUP(B387,'Mortality Table'!$A$2:$B$118,2,FALSE))</f>
        <v>7.0660000000000001E-2</v>
      </c>
      <c r="E387" s="4">
        <f>IF(INT((C387-1)/12)+1&gt;'Lapse Table'!$A$11,E386,VLOOKUP(INT((C387-1)/12)+1,'Lapse Table'!$A$2:$B$11,2,FALSE))/12</f>
        <v>1.6794123281245741E-299</v>
      </c>
      <c r="F387" s="5">
        <f t="shared" si="53"/>
        <v>-0.17457903228749988</v>
      </c>
      <c r="G387" s="6">
        <f t="shared" si="47"/>
        <v>5.8883333333333331E-3</v>
      </c>
      <c r="H387" s="6">
        <f t="shared" si="48"/>
        <v>1.6200786905719328E-299</v>
      </c>
      <c r="I387" s="7">
        <f t="shared" si="49"/>
        <v>-5.8193010762499959</v>
      </c>
      <c r="J387" s="8">
        <f t="shared" si="50"/>
        <v>5888.333333333333</v>
      </c>
      <c r="K387" s="7">
        <f t="shared" si="51"/>
        <v>-5894.1526344095828</v>
      </c>
      <c r="L387" s="4">
        <f>IF(A387&gt;'Yield Curve'!A1001,L386,(1+VLOOKUP(A387,'Yield Curve'!A380:B1002,2,FALSE))^(1/12)-1)</f>
        <v>7.9741404289037643E-3</v>
      </c>
      <c r="M387" s="5">
        <f t="shared" si="52"/>
        <v>-290.47074940814286</v>
      </c>
    </row>
    <row r="388" spans="1:13" x14ac:dyDescent="0.25">
      <c r="A388" s="4">
        <v>380</v>
      </c>
      <c r="B388" s="4">
        <f t="shared" si="45"/>
        <v>76</v>
      </c>
      <c r="C388" s="4">
        <f t="shared" si="46"/>
        <v>395</v>
      </c>
      <c r="D388" s="4">
        <f>IF(B388&gt;'Mortality Table'!$A$118,D387,VLOOKUP(B388,'Mortality Table'!$A$2:$B$118,2,FALSE))</f>
        <v>7.0660000000000001E-2</v>
      </c>
      <c r="E388" s="4">
        <f>IF(INT((C388-1)/12)+1&gt;'Lapse Table'!$A$11,E387,VLOOKUP(INT((C388-1)/12)+1,'Lapse Table'!$A$2:$B$11,2,FALSE))/12</f>
        <v>1.3995102734371451E-300</v>
      </c>
      <c r="F388" s="5">
        <f t="shared" si="53"/>
        <v>-0.18046736562083321</v>
      </c>
      <c r="G388" s="6">
        <f t="shared" si="47"/>
        <v>5.8883333333333331E-3</v>
      </c>
      <c r="H388" s="6">
        <f t="shared" si="48"/>
        <v>1.3500655754766109E-300</v>
      </c>
      <c r="I388" s="7">
        <f t="shared" si="49"/>
        <v>-6.0155788540277735</v>
      </c>
      <c r="J388" s="8">
        <f t="shared" si="50"/>
        <v>5888.333333333333</v>
      </c>
      <c r="K388" s="7">
        <f t="shared" si="51"/>
        <v>-5894.3489121873608</v>
      </c>
      <c r="L388" s="4">
        <f>IF(A388&gt;'Yield Curve'!A1002,L387,(1+VLOOKUP(A388,'Yield Curve'!A381:B1003,2,FALSE))^(1/12)-1)</f>
        <v>7.9741404289037643E-3</v>
      </c>
      <c r="M388" s="5">
        <f t="shared" si="52"/>
        <v>-288.18241515943521</v>
      </c>
    </row>
    <row r="389" spans="1:13" x14ac:dyDescent="0.25">
      <c r="A389" s="4">
        <v>381</v>
      </c>
      <c r="B389" s="4">
        <f t="shared" si="45"/>
        <v>76</v>
      </c>
      <c r="C389" s="4">
        <f t="shared" si="46"/>
        <v>396</v>
      </c>
      <c r="D389" s="4">
        <f>IF(B389&gt;'Mortality Table'!$A$118,D388,VLOOKUP(B389,'Mortality Table'!$A$2:$B$118,2,FALSE))</f>
        <v>7.0660000000000001E-2</v>
      </c>
      <c r="E389" s="4">
        <f>IF(INT((C389-1)/12)+1&gt;'Lapse Table'!$A$11,E388,VLOOKUP(INT((C389-1)/12)+1,'Lapse Table'!$A$2:$B$11,2,FALSE))/12</f>
        <v>1.1662585611976209E-301</v>
      </c>
      <c r="F389" s="5">
        <f t="shared" si="53"/>
        <v>-0.18635569895416654</v>
      </c>
      <c r="G389" s="6">
        <f t="shared" si="47"/>
        <v>5.8883333333333331E-3</v>
      </c>
      <c r="H389" s="6">
        <f t="shared" si="48"/>
        <v>1.1250546462305091E-301</v>
      </c>
      <c r="I389" s="7">
        <f t="shared" si="49"/>
        <v>-6.2118566318055519</v>
      </c>
      <c r="J389" s="8">
        <f t="shared" si="50"/>
        <v>5888.333333333333</v>
      </c>
      <c r="K389" s="7">
        <f t="shared" si="51"/>
        <v>-5894.5451899651389</v>
      </c>
      <c r="L389" s="4">
        <f>IF(A389&gt;'Yield Curve'!A1003,L388,(1+VLOOKUP(A389,'Yield Curve'!A382:B1004,2,FALSE))^(1/12)-1)</f>
        <v>7.9741404289037643E-3</v>
      </c>
      <c r="M389" s="5">
        <f t="shared" si="52"/>
        <v>-285.91210813569245</v>
      </c>
    </row>
    <row r="390" spans="1:13" x14ac:dyDescent="0.25">
      <c r="A390" s="4">
        <v>382</v>
      </c>
      <c r="B390" s="4">
        <f t="shared" si="45"/>
        <v>76</v>
      </c>
      <c r="C390" s="4">
        <f t="shared" si="46"/>
        <v>397</v>
      </c>
      <c r="D390" s="4">
        <f>IF(B390&gt;'Mortality Table'!$A$118,D389,VLOOKUP(B390,'Mortality Table'!$A$2:$B$118,2,FALSE))</f>
        <v>7.0660000000000001E-2</v>
      </c>
      <c r="E390" s="4">
        <f>IF(INT((C390-1)/12)+1&gt;'Lapse Table'!$A$11,E389,VLOOKUP(INT((C390-1)/12)+1,'Lapse Table'!$A$2:$B$11,2,FALSE))/12</f>
        <v>9.7188213433135079E-303</v>
      </c>
      <c r="F390" s="5">
        <f t="shared" si="53"/>
        <v>-0.19224403228749987</v>
      </c>
      <c r="G390" s="6">
        <f t="shared" si="47"/>
        <v>5.8883333333333331E-3</v>
      </c>
      <c r="H390" s="6">
        <f t="shared" si="48"/>
        <v>9.3754553852542421E-303</v>
      </c>
      <c r="I390" s="7">
        <f t="shared" si="49"/>
        <v>-6.4081344095833286</v>
      </c>
      <c r="J390" s="8">
        <f t="shared" si="50"/>
        <v>5888.333333333333</v>
      </c>
      <c r="K390" s="7">
        <f t="shared" si="51"/>
        <v>-5894.741467742916</v>
      </c>
      <c r="L390" s="4">
        <f>IF(A390&gt;'Yield Curve'!A1004,L389,(1+VLOOKUP(A390,'Yield Curve'!A383:B1005,2,FALSE))^(1/12)-1)</f>
        <v>7.9741404289037643E-3</v>
      </c>
      <c r="M390" s="5">
        <f t="shared" si="52"/>
        <v>-283.65968632309949</v>
      </c>
    </row>
    <row r="391" spans="1:13" x14ac:dyDescent="0.25">
      <c r="A391" s="4">
        <v>383</v>
      </c>
      <c r="B391" s="4">
        <f t="shared" si="45"/>
        <v>76</v>
      </c>
      <c r="C391" s="4">
        <f t="shared" si="46"/>
        <v>398</v>
      </c>
      <c r="D391" s="4">
        <f>IF(B391&gt;'Mortality Table'!$A$118,D390,VLOOKUP(B391,'Mortality Table'!$A$2:$B$118,2,FALSE))</f>
        <v>7.0660000000000001E-2</v>
      </c>
      <c r="E391" s="4">
        <f>IF(INT((C391-1)/12)+1&gt;'Lapse Table'!$A$11,E390,VLOOKUP(INT((C391-1)/12)+1,'Lapse Table'!$A$2:$B$11,2,FALSE))/12</f>
        <v>8.0990177860945899E-304</v>
      </c>
      <c r="F391" s="5">
        <f t="shared" si="53"/>
        <v>-0.1981323656208332</v>
      </c>
      <c r="G391" s="6">
        <f t="shared" si="47"/>
        <v>5.8883333333333331E-3</v>
      </c>
      <c r="H391" s="6">
        <f t="shared" si="48"/>
        <v>7.8128794877118679E-304</v>
      </c>
      <c r="I391" s="7">
        <f t="shared" si="49"/>
        <v>-6.6044121873611061</v>
      </c>
      <c r="J391" s="8">
        <f t="shared" si="50"/>
        <v>5888.333333333333</v>
      </c>
      <c r="K391" s="7">
        <f t="shared" si="51"/>
        <v>-5894.9377455206941</v>
      </c>
      <c r="L391" s="4">
        <f>IF(A391&gt;'Yield Curve'!A1005,L390,(1+VLOOKUP(A391,'Yield Curve'!A384:B1006,2,FALSE))^(1/12)-1)</f>
        <v>7.9741404289037643E-3</v>
      </c>
      <c r="M391" s="5">
        <f t="shared" si="52"/>
        <v>-281.42500882656958</v>
      </c>
    </row>
    <row r="392" spans="1:13" x14ac:dyDescent="0.25">
      <c r="A392" s="4">
        <v>384</v>
      </c>
      <c r="B392" s="4">
        <f t="shared" si="45"/>
        <v>77</v>
      </c>
      <c r="C392" s="4">
        <f t="shared" si="46"/>
        <v>399</v>
      </c>
      <c r="D392" s="4">
        <f>IF(B392&gt;'Mortality Table'!$A$118,D391,VLOOKUP(B392,'Mortality Table'!$A$2:$B$118,2,FALSE))</f>
        <v>7.7229999999999993E-2</v>
      </c>
      <c r="E392" s="4">
        <f>IF(INT((C392-1)/12)+1&gt;'Lapse Table'!$A$11,E391,VLOOKUP(INT((C392-1)/12)+1,'Lapse Table'!$A$2:$B$11,2,FALSE))/12</f>
        <v>6.7491814884121582E-305</v>
      </c>
      <c r="F392" s="5">
        <f t="shared" si="53"/>
        <v>-0.20456819895416653</v>
      </c>
      <c r="G392" s="6">
        <f t="shared" si="47"/>
        <v>6.4358333333333325E-3</v>
      </c>
      <c r="H392" s="6">
        <f t="shared" si="48"/>
        <v>6.4885618452371233E-305</v>
      </c>
      <c r="I392" s="7">
        <f t="shared" si="49"/>
        <v>-6.8189399651388847</v>
      </c>
      <c r="J392" s="8">
        <f t="shared" si="50"/>
        <v>6435.8333333333321</v>
      </c>
      <c r="K392" s="7">
        <f t="shared" si="51"/>
        <v>-6442.6522732984713</v>
      </c>
      <c r="L392" s="4">
        <f>IF(A392&gt;'Yield Curve'!A1006,L391,(1+VLOOKUP(A392,'Yield Curve'!A385:B1007,2,FALSE))^(1/12)-1)</f>
        <v>7.9741404289037643E-3</v>
      </c>
      <c r="M392" s="5">
        <f t="shared" si="52"/>
        <v>-305.13973653323416</v>
      </c>
    </row>
    <row r="393" spans="1:13" x14ac:dyDescent="0.25">
      <c r="A393" s="4">
        <v>385</v>
      </c>
      <c r="B393" s="4">
        <f t="shared" si="45"/>
        <v>77</v>
      </c>
      <c r="C393" s="4">
        <f t="shared" si="46"/>
        <v>400</v>
      </c>
      <c r="D393" s="4">
        <f>IF(B393&gt;'Mortality Table'!$A$118,D392,VLOOKUP(B393,'Mortality Table'!$A$2:$B$118,2,FALSE))</f>
        <v>7.7229999999999993E-2</v>
      </c>
      <c r="E393" s="4">
        <f>IF(INT((C393-1)/12)+1&gt;'Lapse Table'!$A$11,E392,VLOOKUP(INT((C393-1)/12)+1,'Lapse Table'!$A$2:$B$11,2,FALSE))/12</f>
        <v>5.6243179070101321E-306</v>
      </c>
      <c r="F393" s="5">
        <f t="shared" si="53"/>
        <v>-0.21100403228749987</v>
      </c>
      <c r="G393" s="6">
        <f t="shared" si="47"/>
        <v>6.4358333333333325E-3</v>
      </c>
      <c r="H393" s="6">
        <f t="shared" si="48"/>
        <v>5.4071348710309363E-306</v>
      </c>
      <c r="I393" s="7">
        <f t="shared" si="49"/>
        <v>-7.0334677429166623</v>
      </c>
      <c r="J393" s="8">
        <f t="shared" si="50"/>
        <v>6435.8333333333321</v>
      </c>
      <c r="K393" s="7">
        <f t="shared" si="51"/>
        <v>-6442.8668010762485</v>
      </c>
      <c r="L393" s="4">
        <f>IF(A393&gt;'Yield Curve'!A1007,L392,(1+VLOOKUP(A393,'Yield Curve'!A386:B1008,2,FALSE))^(1/12)-1)</f>
        <v>7.9741404289037643E-3</v>
      </c>
      <c r="M393" s="5">
        <f t="shared" si="52"/>
        <v>-302.73583899935443</v>
      </c>
    </row>
    <row r="394" spans="1:13" x14ac:dyDescent="0.25">
      <c r="A394" s="4">
        <v>386</v>
      </c>
      <c r="B394" s="4">
        <f t="shared" ref="B394:B457" si="54">INT($B$3+A394/12)</f>
        <v>77</v>
      </c>
      <c r="C394" s="4">
        <f t="shared" ref="C394:C457" si="55">$B$4+A394</f>
        <v>401</v>
      </c>
      <c r="D394" s="4">
        <f>IF(B394&gt;'Mortality Table'!$A$118,D393,VLOOKUP(B394,'Mortality Table'!$A$2:$B$118,2,FALSE))</f>
        <v>7.7229999999999993E-2</v>
      </c>
      <c r="E394" s="4">
        <f>IF(INT((C394-1)/12)+1&gt;'Lapse Table'!$A$11,E393,VLOOKUP(INT((C394-1)/12)+1,'Lapse Table'!$A$2:$B$11,2,FALSE))/12</f>
        <v>4.6869315891751098E-307</v>
      </c>
      <c r="F394" s="5">
        <f t="shared" si="53"/>
        <v>-0.2174398656208332</v>
      </c>
      <c r="G394" s="6">
        <f t="shared" ref="G394:G457" si="56">D394/12*(1-0.5*E394)</f>
        <v>6.4358333333333325E-3</v>
      </c>
      <c r="H394" s="6">
        <f t="shared" ref="H394:H457" si="57">E394*(1-0.5*D394)</f>
        <v>4.5059457258591128E-307</v>
      </c>
      <c r="I394" s="7">
        <f t="shared" ref="I394:I457" si="58">F394*$B$5/12</f>
        <v>-7.2479955206944409</v>
      </c>
      <c r="J394" s="8">
        <f t="shared" ref="J394:J457" si="59">$B$6*G394</f>
        <v>6435.8333333333321</v>
      </c>
      <c r="K394" s="7">
        <f t="shared" ref="K394:K457" si="60">I394-J394</f>
        <v>-6443.0813288540267</v>
      </c>
      <c r="L394" s="4">
        <f>IF(A394&gt;'Yield Curve'!A1008,L393,(1+VLOOKUP(A394,'Yield Curve'!A387:B1009,2,FALSE))^(1/12)-1)</f>
        <v>7.9741404289037643E-3</v>
      </c>
      <c r="M394" s="5">
        <f t="shared" ref="M394:M457" si="61">K394*(1+L394)^-A394</f>
        <v>-300.35087908995143</v>
      </c>
    </row>
    <row r="395" spans="1:13" x14ac:dyDescent="0.25">
      <c r="A395" s="4">
        <v>387</v>
      </c>
      <c r="B395" s="4">
        <f t="shared" si="54"/>
        <v>77</v>
      </c>
      <c r="C395" s="4">
        <f t="shared" si="55"/>
        <v>402</v>
      </c>
      <c r="D395" s="4">
        <f>IF(B395&gt;'Mortality Table'!$A$118,D394,VLOOKUP(B395,'Mortality Table'!$A$2:$B$118,2,FALSE))</f>
        <v>7.7229999999999993E-2</v>
      </c>
      <c r="E395" s="4">
        <f>IF(INT((C395-1)/12)+1&gt;'Lapse Table'!$A$11,E394,VLOOKUP(INT((C395-1)/12)+1,'Lapse Table'!$A$2:$B$11,2,FALSE))/12</f>
        <v>3.9057763243125913E-308</v>
      </c>
      <c r="F395" s="5">
        <f t="shared" ref="F395:F458" si="62">F394-G395-H395</f>
        <v>-0.22387569895416654</v>
      </c>
      <c r="G395" s="6">
        <f t="shared" si="56"/>
        <v>6.4358333333333325E-3</v>
      </c>
      <c r="H395" s="6">
        <f t="shared" si="57"/>
        <v>3.754954771549261E-308</v>
      </c>
      <c r="I395" s="7">
        <f t="shared" si="58"/>
        <v>-7.4625232984722176</v>
      </c>
      <c r="J395" s="8">
        <f t="shared" si="59"/>
        <v>6435.8333333333321</v>
      </c>
      <c r="K395" s="7">
        <f t="shared" si="60"/>
        <v>-6443.2958566318048</v>
      </c>
      <c r="L395" s="4">
        <f>IF(A395&gt;'Yield Curve'!A1009,L394,(1+VLOOKUP(A395,'Yield Curve'!A388:B1010,2,FALSE))^(1/12)-1)</f>
        <v>7.9741404289037643E-3</v>
      </c>
      <c r="M395" s="5">
        <f t="shared" si="61"/>
        <v>-297.98470761927308</v>
      </c>
    </row>
    <row r="396" spans="1:13" x14ac:dyDescent="0.25">
      <c r="A396" s="4">
        <v>388</v>
      </c>
      <c r="B396" s="4">
        <f t="shared" si="54"/>
        <v>77</v>
      </c>
      <c r="C396" s="4">
        <f t="shared" si="55"/>
        <v>403</v>
      </c>
      <c r="D396" s="4">
        <f>IF(B396&gt;'Mortality Table'!$A$118,D395,VLOOKUP(B396,'Mortality Table'!$A$2:$B$118,2,FALSE))</f>
        <v>7.7229999999999993E-2</v>
      </c>
      <c r="E396" s="4">
        <f>IF(INT((C396-1)/12)+1&gt;'Lapse Table'!$A$11,E395,VLOOKUP(INT((C396-1)/12)+1,'Lapse Table'!$A$2:$B$11,2,FALSE))/12</f>
        <v>0</v>
      </c>
      <c r="F396" s="5">
        <f t="shared" si="62"/>
        <v>-0.23031153228749987</v>
      </c>
      <c r="G396" s="6">
        <f t="shared" si="56"/>
        <v>6.4358333333333325E-3</v>
      </c>
      <c r="H396" s="6">
        <f t="shared" si="57"/>
        <v>0</v>
      </c>
      <c r="I396" s="7">
        <f t="shared" si="58"/>
        <v>-7.6770510762499953</v>
      </c>
      <c r="J396" s="8">
        <f t="shared" si="59"/>
        <v>6435.8333333333321</v>
      </c>
      <c r="K396" s="7">
        <f t="shared" si="60"/>
        <v>-6443.510384409582</v>
      </c>
      <c r="L396" s="4">
        <f>IF(A396&gt;'Yield Curve'!A1010,L395,(1+VLOOKUP(A396,'Yield Curve'!A389:B1011,2,FALSE))^(1/12)-1)</f>
        <v>7.9741404289037643E-3</v>
      </c>
      <c r="M396" s="5">
        <f t="shared" si="61"/>
        <v>-295.63717657679331</v>
      </c>
    </row>
    <row r="397" spans="1:13" x14ac:dyDescent="0.25">
      <c r="A397" s="4">
        <v>389</v>
      </c>
      <c r="B397" s="4">
        <f t="shared" si="54"/>
        <v>77</v>
      </c>
      <c r="C397" s="4">
        <f t="shared" si="55"/>
        <v>404</v>
      </c>
      <c r="D397" s="4">
        <f>IF(B397&gt;'Mortality Table'!$A$118,D396,VLOOKUP(B397,'Mortality Table'!$A$2:$B$118,2,FALSE))</f>
        <v>7.7229999999999993E-2</v>
      </c>
      <c r="E397" s="4">
        <f>IF(INT((C397-1)/12)+1&gt;'Lapse Table'!$A$11,E396,VLOOKUP(INT((C397-1)/12)+1,'Lapse Table'!$A$2:$B$11,2,FALSE))/12</f>
        <v>0</v>
      </c>
      <c r="F397" s="5">
        <f t="shared" si="62"/>
        <v>-0.23674736562083321</v>
      </c>
      <c r="G397" s="6">
        <f t="shared" si="56"/>
        <v>6.4358333333333325E-3</v>
      </c>
      <c r="H397" s="6">
        <f t="shared" si="57"/>
        <v>0</v>
      </c>
      <c r="I397" s="7">
        <f t="shared" si="58"/>
        <v>-7.8915788540277738</v>
      </c>
      <c r="J397" s="8">
        <f t="shared" si="59"/>
        <v>6435.8333333333321</v>
      </c>
      <c r="K397" s="7">
        <f t="shared" si="60"/>
        <v>-6443.7249121873601</v>
      </c>
      <c r="L397" s="4">
        <f>IF(A397&gt;'Yield Curve'!A1011,L396,(1+VLOOKUP(A397,'Yield Curve'!A390:B1012,2,FALSE))^(1/12)-1)</f>
        <v>7.9741404289037643E-3</v>
      </c>
      <c r="M397" s="5">
        <f t="shared" si="61"/>
        <v>-293.3081391179544</v>
      </c>
    </row>
    <row r="398" spans="1:13" x14ac:dyDescent="0.25">
      <c r="A398" s="4">
        <v>390</v>
      </c>
      <c r="B398" s="4">
        <f t="shared" si="54"/>
        <v>77</v>
      </c>
      <c r="C398" s="4">
        <f t="shared" si="55"/>
        <v>405</v>
      </c>
      <c r="D398" s="4">
        <f>IF(B398&gt;'Mortality Table'!$A$118,D397,VLOOKUP(B398,'Mortality Table'!$A$2:$B$118,2,FALSE))</f>
        <v>7.7229999999999993E-2</v>
      </c>
      <c r="E398" s="4">
        <f>IF(INT((C398-1)/12)+1&gt;'Lapse Table'!$A$11,E397,VLOOKUP(INT((C398-1)/12)+1,'Lapse Table'!$A$2:$B$11,2,FALSE))/12</f>
        <v>0</v>
      </c>
      <c r="F398" s="5">
        <f t="shared" si="62"/>
        <v>-0.24318319895416654</v>
      </c>
      <c r="G398" s="6">
        <f t="shared" si="56"/>
        <v>6.4358333333333325E-3</v>
      </c>
      <c r="H398" s="6">
        <f t="shared" si="57"/>
        <v>0</v>
      </c>
      <c r="I398" s="7">
        <f t="shared" si="58"/>
        <v>-8.1061066318055506</v>
      </c>
      <c r="J398" s="8">
        <f t="shared" si="59"/>
        <v>6435.8333333333321</v>
      </c>
      <c r="K398" s="7">
        <f t="shared" si="60"/>
        <v>-6443.9394399651374</v>
      </c>
      <c r="L398" s="4">
        <f>IF(A398&gt;'Yield Curve'!A1012,L397,(1+VLOOKUP(A398,'Yield Curve'!A391:B1013,2,FALSE))^(1/12)-1)</f>
        <v>7.9741404289037643E-3</v>
      </c>
      <c r="M398" s="5">
        <f t="shared" si="61"/>
        <v>-290.99744955498227</v>
      </c>
    </row>
    <row r="399" spans="1:13" x14ac:dyDescent="0.25">
      <c r="A399" s="4">
        <v>391</v>
      </c>
      <c r="B399" s="4">
        <f t="shared" si="54"/>
        <v>77</v>
      </c>
      <c r="C399" s="4">
        <f t="shared" si="55"/>
        <v>406</v>
      </c>
      <c r="D399" s="4">
        <f>IF(B399&gt;'Mortality Table'!$A$118,D398,VLOOKUP(B399,'Mortality Table'!$A$2:$B$118,2,FALSE))</f>
        <v>7.7229999999999993E-2</v>
      </c>
      <c r="E399" s="4">
        <f>IF(INT((C399-1)/12)+1&gt;'Lapse Table'!$A$11,E398,VLOOKUP(INT((C399-1)/12)+1,'Lapse Table'!$A$2:$B$11,2,FALSE))/12</f>
        <v>0</v>
      </c>
      <c r="F399" s="5">
        <f t="shared" si="62"/>
        <v>-0.24961903228749988</v>
      </c>
      <c r="G399" s="6">
        <f t="shared" si="56"/>
        <v>6.4358333333333325E-3</v>
      </c>
      <c r="H399" s="6">
        <f t="shared" si="57"/>
        <v>0</v>
      </c>
      <c r="I399" s="7">
        <f t="shared" si="58"/>
        <v>-8.3206344095833291</v>
      </c>
      <c r="J399" s="8">
        <f t="shared" si="59"/>
        <v>6435.8333333333321</v>
      </c>
      <c r="K399" s="7">
        <f t="shared" si="60"/>
        <v>-6444.1539677429155</v>
      </c>
      <c r="L399" s="4">
        <f>IF(A399&gt;'Yield Curve'!A1013,L398,(1+VLOOKUP(A399,'Yield Curve'!A392:B1014,2,FALSE))^(1/12)-1)</f>
        <v>7.9741404289037643E-3</v>
      </c>
      <c r="M399" s="5">
        <f t="shared" si="61"/>
        <v>-288.70496334777346</v>
      </c>
    </row>
    <row r="400" spans="1:13" x14ac:dyDescent="0.25">
      <c r="A400" s="4">
        <v>392</v>
      </c>
      <c r="B400" s="4">
        <f t="shared" si="54"/>
        <v>77</v>
      </c>
      <c r="C400" s="4">
        <f t="shared" si="55"/>
        <v>407</v>
      </c>
      <c r="D400" s="4">
        <f>IF(B400&gt;'Mortality Table'!$A$118,D399,VLOOKUP(B400,'Mortality Table'!$A$2:$B$118,2,FALSE))</f>
        <v>7.7229999999999993E-2</v>
      </c>
      <c r="E400" s="4">
        <f>IF(INT((C400-1)/12)+1&gt;'Lapse Table'!$A$11,E399,VLOOKUP(INT((C400-1)/12)+1,'Lapse Table'!$A$2:$B$11,2,FALSE))/12</f>
        <v>0</v>
      </c>
      <c r="F400" s="5">
        <f t="shared" si="62"/>
        <v>-0.25605486562083318</v>
      </c>
      <c r="G400" s="6">
        <f t="shared" si="56"/>
        <v>6.4358333333333325E-3</v>
      </c>
      <c r="H400" s="6">
        <f t="shared" si="57"/>
        <v>0</v>
      </c>
      <c r="I400" s="7">
        <f t="shared" si="58"/>
        <v>-8.5351621873611059</v>
      </c>
      <c r="J400" s="8">
        <f t="shared" si="59"/>
        <v>6435.8333333333321</v>
      </c>
      <c r="K400" s="7">
        <f t="shared" si="60"/>
        <v>-6444.3684955206936</v>
      </c>
      <c r="L400" s="4">
        <f>IF(A400&gt;'Yield Curve'!A1014,L399,(1+VLOOKUP(A400,'Yield Curve'!A393:B1015,2,FALSE))^(1/12)-1)</f>
        <v>7.9741404289037643E-3</v>
      </c>
      <c r="M400" s="5">
        <f t="shared" si="61"/>
        <v>-286.4305370948548</v>
      </c>
    </row>
    <row r="401" spans="1:13" x14ac:dyDescent="0.25">
      <c r="A401" s="4">
        <v>393</v>
      </c>
      <c r="B401" s="4">
        <f t="shared" si="54"/>
        <v>77</v>
      </c>
      <c r="C401" s="4">
        <f t="shared" si="55"/>
        <v>408</v>
      </c>
      <c r="D401" s="4">
        <f>IF(B401&gt;'Mortality Table'!$A$118,D400,VLOOKUP(B401,'Mortality Table'!$A$2:$B$118,2,FALSE))</f>
        <v>7.7229999999999993E-2</v>
      </c>
      <c r="E401" s="4">
        <f>IF(INT((C401-1)/12)+1&gt;'Lapse Table'!$A$11,E400,VLOOKUP(INT((C401-1)/12)+1,'Lapse Table'!$A$2:$B$11,2,FALSE))/12</f>
        <v>0</v>
      </c>
      <c r="F401" s="5">
        <f t="shared" si="62"/>
        <v>-0.26249069895416649</v>
      </c>
      <c r="G401" s="6">
        <f t="shared" si="56"/>
        <v>6.4358333333333325E-3</v>
      </c>
      <c r="H401" s="6">
        <f t="shared" si="57"/>
        <v>0</v>
      </c>
      <c r="I401" s="7">
        <f t="shared" si="58"/>
        <v>-8.7496899651388826</v>
      </c>
      <c r="J401" s="8">
        <f t="shared" si="59"/>
        <v>6435.8333333333321</v>
      </c>
      <c r="K401" s="7">
        <f t="shared" si="60"/>
        <v>-6444.5830232984708</v>
      </c>
      <c r="L401" s="4">
        <f>IF(A401&gt;'Yield Curve'!A1015,L400,(1+VLOOKUP(A401,'Yield Curve'!A394:B1016,2,FALSE))^(1/12)-1)</f>
        <v>7.9741404289037643E-3</v>
      </c>
      <c r="M401" s="5">
        <f t="shared" si="61"/>
        <v>-284.17402852441381</v>
      </c>
    </row>
    <row r="402" spans="1:13" x14ac:dyDescent="0.25">
      <c r="A402" s="4">
        <v>394</v>
      </c>
      <c r="B402" s="4">
        <f t="shared" si="54"/>
        <v>77</v>
      </c>
      <c r="C402" s="4">
        <f t="shared" si="55"/>
        <v>409</v>
      </c>
      <c r="D402" s="4">
        <f>IF(B402&gt;'Mortality Table'!$A$118,D401,VLOOKUP(B402,'Mortality Table'!$A$2:$B$118,2,FALSE))</f>
        <v>7.7229999999999993E-2</v>
      </c>
      <c r="E402" s="4">
        <f>IF(INT((C402-1)/12)+1&gt;'Lapse Table'!$A$11,E401,VLOOKUP(INT((C402-1)/12)+1,'Lapse Table'!$A$2:$B$11,2,FALSE))/12</f>
        <v>0</v>
      </c>
      <c r="F402" s="5">
        <f t="shared" si="62"/>
        <v>-0.2689265322874998</v>
      </c>
      <c r="G402" s="6">
        <f t="shared" si="56"/>
        <v>6.4358333333333325E-3</v>
      </c>
      <c r="H402" s="6">
        <f t="shared" si="57"/>
        <v>0</v>
      </c>
      <c r="I402" s="7">
        <f t="shared" si="58"/>
        <v>-8.9642177429166594</v>
      </c>
      <c r="J402" s="8">
        <f t="shared" si="59"/>
        <v>6435.8333333333321</v>
      </c>
      <c r="K402" s="7">
        <f t="shared" si="60"/>
        <v>-6444.797551076249</v>
      </c>
      <c r="L402" s="4">
        <f>IF(A402&gt;'Yield Curve'!A1016,L401,(1+VLOOKUP(A402,'Yield Curve'!A395:B1017,2,FALSE))^(1/12)-1)</f>
        <v>7.9741404289037643E-3</v>
      </c>
      <c r="M402" s="5">
        <f t="shared" si="61"/>
        <v>-281.93529648539976</v>
      </c>
    </row>
    <row r="403" spans="1:13" x14ac:dyDescent="0.25">
      <c r="A403" s="4">
        <v>395</v>
      </c>
      <c r="B403" s="4">
        <f t="shared" si="54"/>
        <v>77</v>
      </c>
      <c r="C403" s="4">
        <f t="shared" si="55"/>
        <v>410</v>
      </c>
      <c r="D403" s="4">
        <f>IF(B403&gt;'Mortality Table'!$A$118,D402,VLOOKUP(B403,'Mortality Table'!$A$2:$B$118,2,FALSE))</f>
        <v>7.7229999999999993E-2</v>
      </c>
      <c r="E403" s="4">
        <f>IF(INT((C403-1)/12)+1&gt;'Lapse Table'!$A$11,E402,VLOOKUP(INT((C403-1)/12)+1,'Lapse Table'!$A$2:$B$11,2,FALSE))/12</f>
        <v>0</v>
      </c>
      <c r="F403" s="5">
        <f t="shared" si="62"/>
        <v>-0.2753623656208331</v>
      </c>
      <c r="G403" s="6">
        <f t="shared" si="56"/>
        <v>6.4358333333333325E-3</v>
      </c>
      <c r="H403" s="6">
        <f t="shared" si="57"/>
        <v>0</v>
      </c>
      <c r="I403" s="7">
        <f t="shared" si="58"/>
        <v>-9.1787455206944362</v>
      </c>
      <c r="J403" s="8">
        <f t="shared" si="59"/>
        <v>6435.8333333333321</v>
      </c>
      <c r="K403" s="7">
        <f t="shared" si="60"/>
        <v>-6445.0120788540262</v>
      </c>
      <c r="L403" s="4">
        <f>IF(A403&gt;'Yield Curve'!A1017,L402,(1+VLOOKUP(A403,'Yield Curve'!A396:B1018,2,FALSE))^(1/12)-1)</f>
        <v>7.9741404289037643E-3</v>
      </c>
      <c r="M403" s="5">
        <f t="shared" si="61"/>
        <v>-279.71420093869511</v>
      </c>
    </row>
    <row r="404" spans="1:13" x14ac:dyDescent="0.25">
      <c r="A404" s="4">
        <v>396</v>
      </c>
      <c r="B404" s="4">
        <f t="shared" si="54"/>
        <v>78</v>
      </c>
      <c r="C404" s="4">
        <f t="shared" si="55"/>
        <v>411</v>
      </c>
      <c r="D404" s="4">
        <f>IF(B404&gt;'Mortality Table'!$A$118,D403,VLOOKUP(B404,'Mortality Table'!$A$2:$B$118,2,FALSE))</f>
        <v>8.4370000000000001E-2</v>
      </c>
      <c r="E404" s="4">
        <f>IF(INT((C404-1)/12)+1&gt;'Lapse Table'!$A$11,E403,VLOOKUP(INT((C404-1)/12)+1,'Lapse Table'!$A$2:$B$11,2,FALSE))/12</f>
        <v>0</v>
      </c>
      <c r="F404" s="5">
        <f t="shared" si="62"/>
        <v>-0.28239319895416642</v>
      </c>
      <c r="G404" s="6">
        <f t="shared" si="56"/>
        <v>7.0308333333333334E-3</v>
      </c>
      <c r="H404" s="6">
        <f t="shared" si="57"/>
        <v>0</v>
      </c>
      <c r="I404" s="7">
        <f t="shared" si="58"/>
        <v>-9.4131066318055474</v>
      </c>
      <c r="J404" s="8">
        <f t="shared" si="59"/>
        <v>7030.833333333333</v>
      </c>
      <c r="K404" s="7">
        <f t="shared" si="60"/>
        <v>-7040.246439965139</v>
      </c>
      <c r="L404" s="4">
        <f>IF(A404&gt;'Yield Curve'!A1018,L403,(1+VLOOKUP(A404,'Yield Curve'!A397:B1019,2,FALSE))^(1/12)-1)</f>
        <v>7.9741404289037643E-3</v>
      </c>
      <c r="M404" s="5">
        <f t="shared" si="61"/>
        <v>-303.13023167400206</v>
      </c>
    </row>
    <row r="405" spans="1:13" x14ac:dyDescent="0.25">
      <c r="A405" s="4">
        <v>397</v>
      </c>
      <c r="B405" s="4">
        <f t="shared" si="54"/>
        <v>78</v>
      </c>
      <c r="C405" s="4">
        <f t="shared" si="55"/>
        <v>412</v>
      </c>
      <c r="D405" s="4">
        <f>IF(B405&gt;'Mortality Table'!$A$118,D404,VLOOKUP(B405,'Mortality Table'!$A$2:$B$118,2,FALSE))</f>
        <v>8.4370000000000001E-2</v>
      </c>
      <c r="E405" s="4">
        <f>IF(INT((C405-1)/12)+1&gt;'Lapse Table'!$A$11,E404,VLOOKUP(INT((C405-1)/12)+1,'Lapse Table'!$A$2:$B$11,2,FALSE))/12</f>
        <v>0</v>
      </c>
      <c r="F405" s="5">
        <f t="shared" si="62"/>
        <v>-0.28942403228749974</v>
      </c>
      <c r="G405" s="6">
        <f t="shared" si="56"/>
        <v>7.0308333333333334E-3</v>
      </c>
      <c r="H405" s="6">
        <f t="shared" si="57"/>
        <v>0</v>
      </c>
      <c r="I405" s="7">
        <f t="shared" si="58"/>
        <v>-9.6474677429166587</v>
      </c>
      <c r="J405" s="8">
        <f t="shared" si="59"/>
        <v>7030.833333333333</v>
      </c>
      <c r="K405" s="7">
        <f t="shared" si="60"/>
        <v>-7040.4808010762499</v>
      </c>
      <c r="L405" s="4">
        <f>IF(A405&gt;'Yield Curve'!A1019,L404,(1+VLOOKUP(A405,'Yield Curve'!A398:B1020,2,FALSE))^(1/12)-1)</f>
        <v>7.9741404289037643E-3</v>
      </c>
      <c r="M405" s="5">
        <f t="shared" si="61"/>
        <v>-300.74216227029189</v>
      </c>
    </row>
    <row r="406" spans="1:13" x14ac:dyDescent="0.25">
      <c r="A406" s="4">
        <v>398</v>
      </c>
      <c r="B406" s="4">
        <f t="shared" si="54"/>
        <v>78</v>
      </c>
      <c r="C406" s="4">
        <f t="shared" si="55"/>
        <v>413</v>
      </c>
      <c r="D406" s="4">
        <f>IF(B406&gt;'Mortality Table'!$A$118,D405,VLOOKUP(B406,'Mortality Table'!$A$2:$B$118,2,FALSE))</f>
        <v>8.4370000000000001E-2</v>
      </c>
      <c r="E406" s="4">
        <f>IF(INT((C406-1)/12)+1&gt;'Lapse Table'!$A$11,E405,VLOOKUP(INT((C406-1)/12)+1,'Lapse Table'!$A$2:$B$11,2,FALSE))/12</f>
        <v>0</v>
      </c>
      <c r="F406" s="5">
        <f t="shared" si="62"/>
        <v>-0.29645486562083306</v>
      </c>
      <c r="G406" s="6">
        <f t="shared" si="56"/>
        <v>7.0308333333333334E-3</v>
      </c>
      <c r="H406" s="6">
        <f t="shared" si="57"/>
        <v>0</v>
      </c>
      <c r="I406" s="7">
        <f t="shared" si="58"/>
        <v>-9.8818288540277681</v>
      </c>
      <c r="J406" s="8">
        <f t="shared" si="59"/>
        <v>7030.833333333333</v>
      </c>
      <c r="K406" s="7">
        <f t="shared" si="60"/>
        <v>-7040.7151621873609</v>
      </c>
      <c r="L406" s="4">
        <f>IF(A406&gt;'Yield Curve'!A1020,L405,(1+VLOOKUP(A406,'Yield Curve'!A399:B1021,2,FALSE))^(1/12)-1)</f>
        <v>7.9741404289037643E-3</v>
      </c>
      <c r="M406" s="5">
        <f t="shared" si="61"/>
        <v>-298.3729058210842</v>
      </c>
    </row>
    <row r="407" spans="1:13" x14ac:dyDescent="0.25">
      <c r="A407" s="4">
        <v>399</v>
      </c>
      <c r="B407" s="4">
        <f t="shared" si="54"/>
        <v>78</v>
      </c>
      <c r="C407" s="4">
        <f t="shared" si="55"/>
        <v>414</v>
      </c>
      <c r="D407" s="4">
        <f>IF(B407&gt;'Mortality Table'!$A$118,D406,VLOOKUP(B407,'Mortality Table'!$A$2:$B$118,2,FALSE))</f>
        <v>8.4370000000000001E-2</v>
      </c>
      <c r="E407" s="4">
        <f>IF(INT((C407-1)/12)+1&gt;'Lapse Table'!$A$11,E406,VLOOKUP(INT((C407-1)/12)+1,'Lapse Table'!$A$2:$B$11,2,FALSE))/12</f>
        <v>0</v>
      </c>
      <c r="F407" s="5">
        <f t="shared" si="62"/>
        <v>-0.30348569895416638</v>
      </c>
      <c r="G407" s="6">
        <f t="shared" si="56"/>
        <v>7.0308333333333334E-3</v>
      </c>
      <c r="H407" s="6">
        <f t="shared" si="57"/>
        <v>0</v>
      </c>
      <c r="I407" s="7">
        <f t="shared" si="58"/>
        <v>-10.116189965138879</v>
      </c>
      <c r="J407" s="8">
        <f t="shared" si="59"/>
        <v>7030.833333333333</v>
      </c>
      <c r="K407" s="7">
        <f t="shared" si="60"/>
        <v>-7040.9495232984718</v>
      </c>
      <c r="L407" s="4">
        <f>IF(A407&gt;'Yield Curve'!A1021,L406,(1+VLOOKUP(A407,'Yield Curve'!A400:B1022,2,FALSE))^(1/12)-1)</f>
        <v>7.9741404289037643E-3</v>
      </c>
      <c r="M407" s="5">
        <f t="shared" si="61"/>
        <v>-296.02231412256856</v>
      </c>
    </row>
    <row r="408" spans="1:13" x14ac:dyDescent="0.25">
      <c r="A408" s="4">
        <v>400</v>
      </c>
      <c r="B408" s="4">
        <f t="shared" si="54"/>
        <v>78</v>
      </c>
      <c r="C408" s="4">
        <f t="shared" si="55"/>
        <v>415</v>
      </c>
      <c r="D408" s="4">
        <f>IF(B408&gt;'Mortality Table'!$A$118,D407,VLOOKUP(B408,'Mortality Table'!$A$2:$B$118,2,FALSE))</f>
        <v>8.4370000000000001E-2</v>
      </c>
      <c r="E408" s="4">
        <f>IF(INT((C408-1)/12)+1&gt;'Lapse Table'!$A$11,E407,VLOOKUP(INT((C408-1)/12)+1,'Lapse Table'!$A$2:$B$11,2,FALSE))/12</f>
        <v>0</v>
      </c>
      <c r="F408" s="5">
        <f t="shared" si="62"/>
        <v>-0.3105165322874997</v>
      </c>
      <c r="G408" s="6">
        <f t="shared" si="56"/>
        <v>7.0308333333333334E-3</v>
      </c>
      <c r="H408" s="6">
        <f t="shared" si="57"/>
        <v>0</v>
      </c>
      <c r="I408" s="7">
        <f t="shared" si="58"/>
        <v>-10.350551076249991</v>
      </c>
      <c r="J408" s="8">
        <f t="shared" si="59"/>
        <v>7030.833333333333</v>
      </c>
      <c r="K408" s="7">
        <f t="shared" si="60"/>
        <v>-7041.1838844095828</v>
      </c>
      <c r="L408" s="4">
        <f>IF(A408&gt;'Yield Curve'!A1022,L407,(1+VLOOKUP(A408,'Yield Curve'!A401:B1023,2,FALSE))^(1/12)-1)</f>
        <v>7.9741404289037643E-3</v>
      </c>
      <c r="M408" s="5">
        <f t="shared" si="61"/>
        <v>-293.6902401384267</v>
      </c>
    </row>
    <row r="409" spans="1:13" x14ac:dyDescent="0.25">
      <c r="A409" s="4">
        <v>401</v>
      </c>
      <c r="B409" s="4">
        <f t="shared" si="54"/>
        <v>78</v>
      </c>
      <c r="C409" s="4">
        <f t="shared" si="55"/>
        <v>416</v>
      </c>
      <c r="D409" s="4">
        <f>IF(B409&gt;'Mortality Table'!$A$118,D408,VLOOKUP(B409,'Mortality Table'!$A$2:$B$118,2,FALSE))</f>
        <v>8.4370000000000001E-2</v>
      </c>
      <c r="E409" s="4">
        <f>IF(INT((C409-1)/12)+1&gt;'Lapse Table'!$A$11,E408,VLOOKUP(INT((C409-1)/12)+1,'Lapse Table'!$A$2:$B$11,2,FALSE))/12</f>
        <v>0</v>
      </c>
      <c r="F409" s="5">
        <f t="shared" si="62"/>
        <v>-0.31754736562083302</v>
      </c>
      <c r="G409" s="6">
        <f t="shared" si="56"/>
        <v>7.0308333333333334E-3</v>
      </c>
      <c r="H409" s="6">
        <f t="shared" si="57"/>
        <v>0</v>
      </c>
      <c r="I409" s="7">
        <f t="shared" si="58"/>
        <v>-10.5849121873611</v>
      </c>
      <c r="J409" s="8">
        <f t="shared" si="59"/>
        <v>7030.833333333333</v>
      </c>
      <c r="K409" s="7">
        <f t="shared" si="60"/>
        <v>-7041.4182455206937</v>
      </c>
      <c r="L409" s="4">
        <f>IF(A409&gt;'Yield Curve'!A1023,L408,(1+VLOOKUP(A409,'Yield Curve'!A402:B1024,2,FALSE))^(1/12)-1)</f>
        <v>7.9741404289037643E-3</v>
      </c>
      <c r="M409" s="5">
        <f t="shared" si="61"/>
        <v>-291.37653799063611</v>
      </c>
    </row>
    <row r="410" spans="1:13" x14ac:dyDescent="0.25">
      <c r="A410" s="4">
        <v>402</v>
      </c>
      <c r="B410" s="4">
        <f t="shared" si="54"/>
        <v>78</v>
      </c>
      <c r="C410" s="4">
        <f t="shared" si="55"/>
        <v>417</v>
      </c>
      <c r="D410" s="4">
        <f>IF(B410&gt;'Mortality Table'!$A$118,D409,VLOOKUP(B410,'Mortality Table'!$A$2:$B$118,2,FALSE))</f>
        <v>8.4370000000000001E-2</v>
      </c>
      <c r="E410" s="4">
        <f>IF(INT((C410-1)/12)+1&gt;'Lapse Table'!$A$11,E409,VLOOKUP(INT((C410-1)/12)+1,'Lapse Table'!$A$2:$B$11,2,FALSE))/12</f>
        <v>0</v>
      </c>
      <c r="F410" s="5">
        <f t="shared" si="62"/>
        <v>-0.32457819895416634</v>
      </c>
      <c r="G410" s="6">
        <f t="shared" si="56"/>
        <v>7.0308333333333334E-3</v>
      </c>
      <c r="H410" s="6">
        <f t="shared" si="57"/>
        <v>0</v>
      </c>
      <c r="I410" s="7">
        <f t="shared" si="58"/>
        <v>-10.819273298472211</v>
      </c>
      <c r="J410" s="8">
        <f t="shared" si="59"/>
        <v>7030.833333333333</v>
      </c>
      <c r="K410" s="7">
        <f t="shared" si="60"/>
        <v>-7041.6526066318056</v>
      </c>
      <c r="L410" s="4">
        <f>IF(A410&gt;'Yield Curve'!A1024,L409,(1+VLOOKUP(A410,'Yield Curve'!A403:B1025,2,FALSE))^(1/12)-1)</f>
        <v>7.9741404289037643E-3</v>
      </c>
      <c r="M410" s="5">
        <f t="shared" si="61"/>
        <v>-289.08106295034463</v>
      </c>
    </row>
    <row r="411" spans="1:13" x14ac:dyDescent="0.25">
      <c r="A411" s="4">
        <v>403</v>
      </c>
      <c r="B411" s="4">
        <f t="shared" si="54"/>
        <v>78</v>
      </c>
      <c r="C411" s="4">
        <f t="shared" si="55"/>
        <v>418</v>
      </c>
      <c r="D411" s="4">
        <f>IF(B411&gt;'Mortality Table'!$A$118,D410,VLOOKUP(B411,'Mortality Table'!$A$2:$B$118,2,FALSE))</f>
        <v>8.4370000000000001E-2</v>
      </c>
      <c r="E411" s="4">
        <f>IF(INT((C411-1)/12)+1&gt;'Lapse Table'!$A$11,E410,VLOOKUP(INT((C411-1)/12)+1,'Lapse Table'!$A$2:$B$11,2,FALSE))/12</f>
        <v>0</v>
      </c>
      <c r="F411" s="5">
        <f t="shared" si="62"/>
        <v>-0.33160903228749966</v>
      </c>
      <c r="G411" s="6">
        <f t="shared" si="56"/>
        <v>7.0308333333333334E-3</v>
      </c>
      <c r="H411" s="6">
        <f t="shared" si="57"/>
        <v>0</v>
      </c>
      <c r="I411" s="7">
        <f t="shared" si="58"/>
        <v>-11.053634409583323</v>
      </c>
      <c r="J411" s="8">
        <f t="shared" si="59"/>
        <v>7030.833333333333</v>
      </c>
      <c r="K411" s="7">
        <f t="shared" si="60"/>
        <v>-7041.8869677429166</v>
      </c>
      <c r="L411" s="4">
        <f>IF(A411&gt;'Yield Curve'!A1025,L410,(1+VLOOKUP(A411,'Yield Curve'!A404:B1026,2,FALSE))^(1/12)-1)</f>
        <v>7.9741404289037643E-3</v>
      </c>
      <c r="M411" s="5">
        <f t="shared" si="61"/>
        <v>-286.80367142881846</v>
      </c>
    </row>
    <row r="412" spans="1:13" x14ac:dyDescent="0.25">
      <c r="A412" s="4">
        <v>404</v>
      </c>
      <c r="B412" s="4">
        <f t="shared" si="54"/>
        <v>78</v>
      </c>
      <c r="C412" s="4">
        <f t="shared" si="55"/>
        <v>419</v>
      </c>
      <c r="D412" s="4">
        <f>IF(B412&gt;'Mortality Table'!$A$118,D411,VLOOKUP(B412,'Mortality Table'!$A$2:$B$118,2,FALSE))</f>
        <v>8.4370000000000001E-2</v>
      </c>
      <c r="E412" s="4">
        <f>IF(INT((C412-1)/12)+1&gt;'Lapse Table'!$A$11,E411,VLOOKUP(INT((C412-1)/12)+1,'Lapse Table'!$A$2:$B$11,2,FALSE))/12</f>
        <v>0</v>
      </c>
      <c r="F412" s="5">
        <f t="shared" si="62"/>
        <v>-0.33863986562083298</v>
      </c>
      <c r="G412" s="6">
        <f t="shared" si="56"/>
        <v>7.0308333333333334E-3</v>
      </c>
      <c r="H412" s="6">
        <f t="shared" si="57"/>
        <v>0</v>
      </c>
      <c r="I412" s="7">
        <f t="shared" si="58"/>
        <v>-11.287995520694432</v>
      </c>
      <c r="J412" s="8">
        <f t="shared" si="59"/>
        <v>7030.833333333333</v>
      </c>
      <c r="K412" s="7">
        <f t="shared" si="60"/>
        <v>-7042.1213288540275</v>
      </c>
      <c r="L412" s="4">
        <f>IF(A412&gt;'Yield Curve'!A1026,L411,(1+VLOOKUP(A412,'Yield Curve'!A405:B1027,2,FALSE))^(1/12)-1)</f>
        <v>7.9741404289037643E-3</v>
      </c>
      <c r="M412" s="5">
        <f t="shared" si="61"/>
        <v>-284.54422096846093</v>
      </c>
    </row>
    <row r="413" spans="1:13" x14ac:dyDescent="0.25">
      <c r="A413" s="4">
        <v>405</v>
      </c>
      <c r="B413" s="4">
        <f t="shared" si="54"/>
        <v>78</v>
      </c>
      <c r="C413" s="4">
        <f t="shared" si="55"/>
        <v>420</v>
      </c>
      <c r="D413" s="4">
        <f>IF(B413&gt;'Mortality Table'!$A$118,D412,VLOOKUP(B413,'Mortality Table'!$A$2:$B$118,2,FALSE))</f>
        <v>8.4370000000000001E-2</v>
      </c>
      <c r="E413" s="4">
        <f>IF(INT((C413-1)/12)+1&gt;'Lapse Table'!$A$11,E412,VLOOKUP(INT((C413-1)/12)+1,'Lapse Table'!$A$2:$B$11,2,FALSE))/12</f>
        <v>0</v>
      </c>
      <c r="F413" s="5">
        <f t="shared" si="62"/>
        <v>-0.3456706989541663</v>
      </c>
      <c r="G413" s="6">
        <f t="shared" si="56"/>
        <v>7.0308333333333334E-3</v>
      </c>
      <c r="H413" s="6">
        <f t="shared" si="57"/>
        <v>0</v>
      </c>
      <c r="I413" s="7">
        <f t="shared" si="58"/>
        <v>-11.522356631805543</v>
      </c>
      <c r="J413" s="8">
        <f t="shared" si="59"/>
        <v>7030.833333333333</v>
      </c>
      <c r="K413" s="7">
        <f t="shared" si="60"/>
        <v>-7042.3556899651385</v>
      </c>
      <c r="L413" s="4">
        <f>IF(A413&gt;'Yield Curve'!A1027,L412,(1+VLOOKUP(A413,'Yield Curve'!A406:B1028,2,FALSE))^(1/12)-1)</f>
        <v>7.9741404289037643E-3</v>
      </c>
      <c r="M413" s="5">
        <f t="shared" si="61"/>
        <v>-282.30257023390175</v>
      </c>
    </row>
    <row r="414" spans="1:13" x14ac:dyDescent="0.25">
      <c r="A414" s="4">
        <v>406</v>
      </c>
      <c r="B414" s="4">
        <f t="shared" si="54"/>
        <v>78</v>
      </c>
      <c r="C414" s="4">
        <f t="shared" si="55"/>
        <v>421</v>
      </c>
      <c r="D414" s="4">
        <f>IF(B414&gt;'Mortality Table'!$A$118,D413,VLOOKUP(B414,'Mortality Table'!$A$2:$B$118,2,FALSE))</f>
        <v>8.4370000000000001E-2</v>
      </c>
      <c r="E414" s="4">
        <f>IF(INT((C414-1)/12)+1&gt;'Lapse Table'!$A$11,E413,VLOOKUP(INT((C414-1)/12)+1,'Lapse Table'!$A$2:$B$11,2,FALSE))/12</f>
        <v>0</v>
      </c>
      <c r="F414" s="5">
        <f t="shared" si="62"/>
        <v>-0.35270153228749962</v>
      </c>
      <c r="G414" s="6">
        <f t="shared" si="56"/>
        <v>7.0308333333333334E-3</v>
      </c>
      <c r="H414" s="6">
        <f t="shared" si="57"/>
        <v>0</v>
      </c>
      <c r="I414" s="7">
        <f t="shared" si="58"/>
        <v>-11.756717742916655</v>
      </c>
      <c r="J414" s="8">
        <f t="shared" si="59"/>
        <v>7030.833333333333</v>
      </c>
      <c r="K414" s="7">
        <f t="shared" si="60"/>
        <v>-7042.5900510762494</v>
      </c>
      <c r="L414" s="4">
        <f>IF(A414&gt;'Yield Curve'!A1028,L413,(1+VLOOKUP(A414,'Yield Curve'!A407:B1029,2,FALSE))^(1/12)-1)</f>
        <v>7.9741404289037643E-3</v>
      </c>
      <c r="M414" s="5">
        <f t="shared" si="61"/>
        <v>-280.07857900315707</v>
      </c>
    </row>
    <row r="415" spans="1:13" x14ac:dyDescent="0.25">
      <c r="A415" s="4">
        <v>407</v>
      </c>
      <c r="B415" s="4">
        <f t="shared" si="54"/>
        <v>78</v>
      </c>
      <c r="C415" s="4">
        <f t="shared" si="55"/>
        <v>422</v>
      </c>
      <c r="D415" s="4">
        <f>IF(B415&gt;'Mortality Table'!$A$118,D414,VLOOKUP(B415,'Mortality Table'!$A$2:$B$118,2,FALSE))</f>
        <v>8.4370000000000001E-2</v>
      </c>
      <c r="E415" s="4">
        <f>IF(INT((C415-1)/12)+1&gt;'Lapse Table'!$A$11,E414,VLOOKUP(INT((C415-1)/12)+1,'Lapse Table'!$A$2:$B$11,2,FALSE))/12</f>
        <v>0</v>
      </c>
      <c r="F415" s="5">
        <f t="shared" si="62"/>
        <v>-0.35973236562083294</v>
      </c>
      <c r="G415" s="6">
        <f t="shared" si="56"/>
        <v>7.0308333333333334E-3</v>
      </c>
      <c r="H415" s="6">
        <f t="shared" si="57"/>
        <v>0</v>
      </c>
      <c r="I415" s="7">
        <f t="shared" si="58"/>
        <v>-11.991078854027764</v>
      </c>
      <c r="J415" s="8">
        <f t="shared" si="59"/>
        <v>7030.833333333333</v>
      </c>
      <c r="K415" s="7">
        <f t="shared" si="60"/>
        <v>-7042.8244121873604</v>
      </c>
      <c r="L415" s="4">
        <f>IF(A415&gt;'Yield Curve'!A1029,L414,(1+VLOOKUP(A415,'Yield Curve'!A408:B1030,2,FALSE))^(1/12)-1)</f>
        <v>7.9741404289037643E-3</v>
      </c>
      <c r="M415" s="5">
        <f t="shared" si="61"/>
        <v>-277.87210815885834</v>
      </c>
    </row>
    <row r="416" spans="1:13" x14ac:dyDescent="0.25">
      <c r="A416" s="4">
        <v>408</v>
      </c>
      <c r="B416" s="4">
        <f t="shared" si="54"/>
        <v>79</v>
      </c>
      <c r="C416" s="4">
        <f t="shared" si="55"/>
        <v>423</v>
      </c>
      <c r="D416" s="4">
        <f>IF(B416&gt;'Mortality Table'!$A$118,D415,VLOOKUP(B416,'Mortality Table'!$A$2:$B$118,2,FALSE))</f>
        <v>9.214E-2</v>
      </c>
      <c r="E416" s="4">
        <f>IF(INT((C416-1)/12)+1&gt;'Lapse Table'!$A$11,E415,VLOOKUP(INT((C416-1)/12)+1,'Lapse Table'!$A$2:$B$11,2,FALSE))/12</f>
        <v>0</v>
      </c>
      <c r="F416" s="5">
        <f t="shared" si="62"/>
        <v>-0.36741069895416628</v>
      </c>
      <c r="G416" s="6">
        <f t="shared" si="56"/>
        <v>7.678333333333333E-3</v>
      </c>
      <c r="H416" s="6">
        <f t="shared" si="57"/>
        <v>0</v>
      </c>
      <c r="I416" s="7">
        <f t="shared" si="58"/>
        <v>-12.247023298472209</v>
      </c>
      <c r="J416" s="8">
        <f t="shared" si="59"/>
        <v>7678.333333333333</v>
      </c>
      <c r="K416" s="7">
        <f t="shared" si="60"/>
        <v>-7690.5803566318054</v>
      </c>
      <c r="L416" s="4">
        <f>IF(A416&gt;'Yield Curve'!A1030,L415,(1+VLOOKUP(A416,'Yield Curve'!A409:B1031,2,FALSE))^(1/12)-1)</f>
        <v>7.9741404289037643E-3</v>
      </c>
      <c r="M416" s="5">
        <f t="shared" si="61"/>
        <v>-301.0286416808587</v>
      </c>
    </row>
    <row r="417" spans="1:13" x14ac:dyDescent="0.25">
      <c r="A417" s="4">
        <v>409</v>
      </c>
      <c r="B417" s="4">
        <f t="shared" si="54"/>
        <v>79</v>
      </c>
      <c r="C417" s="4">
        <f t="shared" si="55"/>
        <v>424</v>
      </c>
      <c r="D417" s="4">
        <f>IF(B417&gt;'Mortality Table'!$A$118,D416,VLOOKUP(B417,'Mortality Table'!$A$2:$B$118,2,FALSE))</f>
        <v>9.214E-2</v>
      </c>
      <c r="E417" s="4">
        <f>IF(INT((C417-1)/12)+1&gt;'Lapse Table'!$A$11,E416,VLOOKUP(INT((C417-1)/12)+1,'Lapse Table'!$A$2:$B$11,2,FALSE))/12</f>
        <v>0</v>
      </c>
      <c r="F417" s="5">
        <f t="shared" si="62"/>
        <v>-0.37508903228749962</v>
      </c>
      <c r="G417" s="6">
        <f t="shared" si="56"/>
        <v>7.678333333333333E-3</v>
      </c>
      <c r="H417" s="6">
        <f t="shared" si="57"/>
        <v>0</v>
      </c>
      <c r="I417" s="7">
        <f t="shared" si="58"/>
        <v>-12.502967742916654</v>
      </c>
      <c r="J417" s="8">
        <f t="shared" si="59"/>
        <v>7678.333333333333</v>
      </c>
      <c r="K417" s="7">
        <f t="shared" si="60"/>
        <v>-7690.8363010762496</v>
      </c>
      <c r="L417" s="4">
        <f>IF(A417&gt;'Yield Curve'!A1031,L416,(1+VLOOKUP(A417,'Yield Curve'!A410:B1032,2,FALSE))^(1/12)-1)</f>
        <v>7.9741404289037643E-3</v>
      </c>
      <c r="M417" s="5">
        <f t="shared" si="61"/>
        <v>-298.65712612578591</v>
      </c>
    </row>
    <row r="418" spans="1:13" x14ac:dyDescent="0.25">
      <c r="A418" s="4">
        <v>410</v>
      </c>
      <c r="B418" s="4">
        <f t="shared" si="54"/>
        <v>79</v>
      </c>
      <c r="C418" s="4">
        <f t="shared" si="55"/>
        <v>425</v>
      </c>
      <c r="D418" s="4">
        <f>IF(B418&gt;'Mortality Table'!$A$118,D417,VLOOKUP(B418,'Mortality Table'!$A$2:$B$118,2,FALSE))</f>
        <v>9.214E-2</v>
      </c>
      <c r="E418" s="4">
        <f>IF(INT((C418-1)/12)+1&gt;'Lapse Table'!$A$11,E417,VLOOKUP(INT((C418-1)/12)+1,'Lapse Table'!$A$2:$B$11,2,FALSE))/12</f>
        <v>0</v>
      </c>
      <c r="F418" s="5">
        <f t="shared" si="62"/>
        <v>-0.38276736562083297</v>
      </c>
      <c r="G418" s="6">
        <f t="shared" si="56"/>
        <v>7.678333333333333E-3</v>
      </c>
      <c r="H418" s="6">
        <f t="shared" si="57"/>
        <v>0</v>
      </c>
      <c r="I418" s="7">
        <f t="shared" si="58"/>
        <v>-12.758912187361098</v>
      </c>
      <c r="J418" s="8">
        <f t="shared" si="59"/>
        <v>7678.333333333333</v>
      </c>
      <c r="K418" s="7">
        <f t="shared" si="60"/>
        <v>-7691.0922455206937</v>
      </c>
      <c r="L418" s="4">
        <f>IF(A418&gt;'Yield Curve'!A1032,L417,(1+VLOOKUP(A418,'Yield Curve'!A411:B1033,2,FALSE))^(1/12)-1)</f>
        <v>7.9741404289037643E-3</v>
      </c>
      <c r="M418" s="5">
        <f t="shared" si="61"/>
        <v>-296.30429313597256</v>
      </c>
    </row>
    <row r="419" spans="1:13" x14ac:dyDescent="0.25">
      <c r="A419" s="4">
        <v>411</v>
      </c>
      <c r="B419" s="4">
        <f t="shared" si="54"/>
        <v>79</v>
      </c>
      <c r="C419" s="4">
        <f t="shared" si="55"/>
        <v>426</v>
      </c>
      <c r="D419" s="4">
        <f>IF(B419&gt;'Mortality Table'!$A$118,D418,VLOOKUP(B419,'Mortality Table'!$A$2:$B$118,2,FALSE))</f>
        <v>9.214E-2</v>
      </c>
      <c r="E419" s="4">
        <f>IF(INT((C419-1)/12)+1&gt;'Lapse Table'!$A$11,E418,VLOOKUP(INT((C419-1)/12)+1,'Lapse Table'!$A$2:$B$11,2,FALSE))/12</f>
        <v>0</v>
      </c>
      <c r="F419" s="5">
        <f t="shared" si="62"/>
        <v>-0.39044569895416631</v>
      </c>
      <c r="G419" s="6">
        <f t="shared" si="56"/>
        <v>7.678333333333333E-3</v>
      </c>
      <c r="H419" s="6">
        <f t="shared" si="57"/>
        <v>0</v>
      </c>
      <c r="I419" s="7">
        <f t="shared" si="58"/>
        <v>-13.014856631805543</v>
      </c>
      <c r="J419" s="8">
        <f t="shared" si="59"/>
        <v>7678.333333333333</v>
      </c>
      <c r="K419" s="7">
        <f t="shared" si="60"/>
        <v>-7691.3481899651388</v>
      </c>
      <c r="L419" s="4">
        <f>IF(A419&gt;'Yield Curve'!A1033,L418,(1+VLOOKUP(A419,'Yield Curve'!A412:B1034,2,FALSE))^(1/12)-1)</f>
        <v>7.9741404289037643E-3</v>
      </c>
      <c r="M419" s="5">
        <f t="shared" si="61"/>
        <v>-293.96999553462234</v>
      </c>
    </row>
    <row r="420" spans="1:13" x14ac:dyDescent="0.25">
      <c r="A420" s="4">
        <v>412</v>
      </c>
      <c r="B420" s="4">
        <f t="shared" si="54"/>
        <v>79</v>
      </c>
      <c r="C420" s="4">
        <f t="shared" si="55"/>
        <v>427</v>
      </c>
      <c r="D420" s="4">
        <f>IF(B420&gt;'Mortality Table'!$A$118,D419,VLOOKUP(B420,'Mortality Table'!$A$2:$B$118,2,FALSE))</f>
        <v>9.214E-2</v>
      </c>
      <c r="E420" s="4">
        <f>IF(INT((C420-1)/12)+1&gt;'Lapse Table'!$A$11,E419,VLOOKUP(INT((C420-1)/12)+1,'Lapse Table'!$A$2:$B$11,2,FALSE))/12</f>
        <v>0</v>
      </c>
      <c r="F420" s="5">
        <f t="shared" si="62"/>
        <v>-0.39812403228749965</v>
      </c>
      <c r="G420" s="6">
        <f t="shared" si="56"/>
        <v>7.678333333333333E-3</v>
      </c>
      <c r="H420" s="6">
        <f t="shared" si="57"/>
        <v>0</v>
      </c>
      <c r="I420" s="7">
        <f t="shared" si="58"/>
        <v>-13.270801076249988</v>
      </c>
      <c r="J420" s="8">
        <f t="shared" si="59"/>
        <v>7678.333333333333</v>
      </c>
      <c r="K420" s="7">
        <f t="shared" si="60"/>
        <v>-7691.6041344095829</v>
      </c>
      <c r="L420" s="4">
        <f>IF(A420&gt;'Yield Curve'!A1034,L419,(1+VLOOKUP(A420,'Yield Curve'!A413:B1035,2,FALSE))^(1/12)-1)</f>
        <v>7.9741404289037643E-3</v>
      </c>
      <c r="M420" s="5">
        <f t="shared" si="61"/>
        <v>-291.65408730434143</v>
      </c>
    </row>
    <row r="421" spans="1:13" x14ac:dyDescent="0.25">
      <c r="A421" s="4">
        <v>413</v>
      </c>
      <c r="B421" s="4">
        <f t="shared" si="54"/>
        <v>79</v>
      </c>
      <c r="C421" s="4">
        <f t="shared" si="55"/>
        <v>428</v>
      </c>
      <c r="D421" s="4">
        <f>IF(B421&gt;'Mortality Table'!$A$118,D420,VLOOKUP(B421,'Mortality Table'!$A$2:$B$118,2,FALSE))</f>
        <v>9.214E-2</v>
      </c>
      <c r="E421" s="4">
        <f>IF(INT((C421-1)/12)+1&gt;'Lapse Table'!$A$11,E420,VLOOKUP(INT((C421-1)/12)+1,'Lapse Table'!$A$2:$B$11,2,FALSE))/12</f>
        <v>0</v>
      </c>
      <c r="F421" s="5">
        <f t="shared" si="62"/>
        <v>-0.40580236562083299</v>
      </c>
      <c r="G421" s="6">
        <f t="shared" si="56"/>
        <v>7.678333333333333E-3</v>
      </c>
      <c r="H421" s="6">
        <f t="shared" si="57"/>
        <v>0</v>
      </c>
      <c r="I421" s="7">
        <f t="shared" si="58"/>
        <v>-13.526745520694433</v>
      </c>
      <c r="J421" s="8">
        <f t="shared" si="59"/>
        <v>7678.333333333333</v>
      </c>
      <c r="K421" s="7">
        <f t="shared" si="60"/>
        <v>-7691.8600788540271</v>
      </c>
      <c r="L421" s="4">
        <f>IF(A421&gt;'Yield Curve'!A1035,L420,(1+VLOOKUP(A421,'Yield Curve'!A414:B1036,2,FALSE))^(1/12)-1)</f>
        <v>7.9741404289037643E-3</v>
      </c>
      <c r="M421" s="5">
        <f t="shared" si="61"/>
        <v>-289.35642357800634</v>
      </c>
    </row>
    <row r="422" spans="1:13" x14ac:dyDescent="0.25">
      <c r="A422" s="4">
        <v>414</v>
      </c>
      <c r="B422" s="4">
        <f t="shared" si="54"/>
        <v>79</v>
      </c>
      <c r="C422" s="4">
        <f t="shared" si="55"/>
        <v>429</v>
      </c>
      <c r="D422" s="4">
        <f>IF(B422&gt;'Mortality Table'!$A$118,D421,VLOOKUP(B422,'Mortality Table'!$A$2:$B$118,2,FALSE))</f>
        <v>9.214E-2</v>
      </c>
      <c r="E422" s="4">
        <f>IF(INT((C422-1)/12)+1&gt;'Lapse Table'!$A$11,E421,VLOOKUP(INT((C422-1)/12)+1,'Lapse Table'!$A$2:$B$11,2,FALSE))/12</f>
        <v>0</v>
      </c>
      <c r="F422" s="5">
        <f t="shared" si="62"/>
        <v>-0.41348069895416634</v>
      </c>
      <c r="G422" s="6">
        <f t="shared" si="56"/>
        <v>7.678333333333333E-3</v>
      </c>
      <c r="H422" s="6">
        <f t="shared" si="57"/>
        <v>0</v>
      </c>
      <c r="I422" s="7">
        <f t="shared" si="58"/>
        <v>-13.782689965138879</v>
      </c>
      <c r="J422" s="8">
        <f t="shared" si="59"/>
        <v>7678.333333333333</v>
      </c>
      <c r="K422" s="7">
        <f t="shared" si="60"/>
        <v>-7692.1160232984721</v>
      </c>
      <c r="L422" s="4">
        <f>IF(A422&gt;'Yield Curve'!A1036,L421,(1+VLOOKUP(A422,'Yield Curve'!A415:B1037,2,FALSE))^(1/12)-1)</f>
        <v>7.9741404289037643E-3</v>
      </c>
      <c r="M422" s="5">
        <f t="shared" si="61"/>
        <v>-287.0768606297022</v>
      </c>
    </row>
    <row r="423" spans="1:13" x14ac:dyDescent="0.25">
      <c r="A423" s="4">
        <v>415</v>
      </c>
      <c r="B423" s="4">
        <f t="shared" si="54"/>
        <v>79</v>
      </c>
      <c r="C423" s="4">
        <f t="shared" si="55"/>
        <v>430</v>
      </c>
      <c r="D423" s="4">
        <f>IF(B423&gt;'Mortality Table'!$A$118,D422,VLOOKUP(B423,'Mortality Table'!$A$2:$B$118,2,FALSE))</f>
        <v>9.214E-2</v>
      </c>
      <c r="E423" s="4">
        <f>IF(INT((C423-1)/12)+1&gt;'Lapse Table'!$A$11,E422,VLOOKUP(INT((C423-1)/12)+1,'Lapse Table'!$A$2:$B$11,2,FALSE))/12</f>
        <v>0</v>
      </c>
      <c r="F423" s="5">
        <f t="shared" si="62"/>
        <v>-0.42115903228749968</v>
      </c>
      <c r="G423" s="6">
        <f t="shared" si="56"/>
        <v>7.678333333333333E-3</v>
      </c>
      <c r="H423" s="6">
        <f t="shared" si="57"/>
        <v>0</v>
      </c>
      <c r="I423" s="7">
        <f t="shared" si="58"/>
        <v>-14.038634409583324</v>
      </c>
      <c r="J423" s="8">
        <f t="shared" si="59"/>
        <v>7678.333333333333</v>
      </c>
      <c r="K423" s="7">
        <f t="shared" si="60"/>
        <v>-7692.3719677429162</v>
      </c>
      <c r="L423" s="4">
        <f>IF(A423&gt;'Yield Curve'!A1037,L422,(1+VLOOKUP(A423,'Yield Curve'!A416:B1038,2,FALSE))^(1/12)-1)</f>
        <v>7.9741404289037643E-3</v>
      </c>
      <c r="M423" s="5">
        <f t="shared" si="61"/>
        <v>-284.81525586573252</v>
      </c>
    </row>
    <row r="424" spans="1:13" x14ac:dyDescent="0.25">
      <c r="A424" s="4">
        <v>416</v>
      </c>
      <c r="B424" s="4">
        <f t="shared" si="54"/>
        <v>79</v>
      </c>
      <c r="C424" s="4">
        <f t="shared" si="55"/>
        <v>431</v>
      </c>
      <c r="D424" s="4">
        <f>IF(B424&gt;'Mortality Table'!$A$118,D423,VLOOKUP(B424,'Mortality Table'!$A$2:$B$118,2,FALSE))</f>
        <v>9.214E-2</v>
      </c>
      <c r="E424" s="4">
        <f>IF(INT((C424-1)/12)+1&gt;'Lapse Table'!$A$11,E423,VLOOKUP(INT((C424-1)/12)+1,'Lapse Table'!$A$2:$B$11,2,FALSE))/12</f>
        <v>0</v>
      </c>
      <c r="F424" s="5">
        <f t="shared" si="62"/>
        <v>-0.42883736562083302</v>
      </c>
      <c r="G424" s="6">
        <f t="shared" si="56"/>
        <v>7.678333333333333E-3</v>
      </c>
      <c r="H424" s="6">
        <f t="shared" si="57"/>
        <v>0</v>
      </c>
      <c r="I424" s="7">
        <f t="shared" si="58"/>
        <v>-14.294578854027767</v>
      </c>
      <c r="J424" s="8">
        <f t="shared" si="59"/>
        <v>7678.333333333333</v>
      </c>
      <c r="K424" s="7">
        <f t="shared" si="60"/>
        <v>-7692.6279121873604</v>
      </c>
      <c r="L424" s="4">
        <f>IF(A424&gt;'Yield Curve'!A1038,L423,(1+VLOOKUP(A424,'Yield Curve'!A417:B1039,2,FALSE))^(1/12)-1)</f>
        <v>7.9741404289037643E-3</v>
      </c>
      <c r="M424" s="5">
        <f t="shared" si="61"/>
        <v>-282.57146781570083</v>
      </c>
    </row>
    <row r="425" spans="1:13" x14ac:dyDescent="0.25">
      <c r="A425" s="4">
        <v>417</v>
      </c>
      <c r="B425" s="4">
        <f t="shared" si="54"/>
        <v>79</v>
      </c>
      <c r="C425" s="4">
        <f t="shared" si="55"/>
        <v>432</v>
      </c>
      <c r="D425" s="4">
        <f>IF(B425&gt;'Mortality Table'!$A$118,D424,VLOOKUP(B425,'Mortality Table'!$A$2:$B$118,2,FALSE))</f>
        <v>9.214E-2</v>
      </c>
      <c r="E425" s="4">
        <f>IF(INT((C425-1)/12)+1&gt;'Lapse Table'!$A$11,E424,VLOOKUP(INT((C425-1)/12)+1,'Lapse Table'!$A$2:$B$11,2,FALSE))/12</f>
        <v>0</v>
      </c>
      <c r="F425" s="5">
        <f t="shared" si="62"/>
        <v>-0.43651569895416636</v>
      </c>
      <c r="G425" s="6">
        <f t="shared" si="56"/>
        <v>7.678333333333333E-3</v>
      </c>
      <c r="H425" s="6">
        <f t="shared" si="57"/>
        <v>0</v>
      </c>
      <c r="I425" s="7">
        <f t="shared" si="58"/>
        <v>-14.550523298472212</v>
      </c>
      <c r="J425" s="8">
        <f t="shared" si="59"/>
        <v>7678.333333333333</v>
      </c>
      <c r="K425" s="7">
        <f t="shared" si="60"/>
        <v>-7692.8838566318054</v>
      </c>
      <c r="L425" s="4">
        <f>IF(A425&gt;'Yield Curve'!A1039,L424,(1+VLOOKUP(A425,'Yield Curve'!A418:B1040,2,FALSE))^(1/12)-1)</f>
        <v>7.9741404289037643E-3</v>
      </c>
      <c r="M425" s="5">
        <f t="shared" si="61"/>
        <v>-280.34535612366165</v>
      </c>
    </row>
    <row r="426" spans="1:13" x14ac:dyDescent="0.25">
      <c r="A426" s="4">
        <v>418</v>
      </c>
      <c r="B426" s="4">
        <f t="shared" si="54"/>
        <v>79</v>
      </c>
      <c r="C426" s="4">
        <f t="shared" si="55"/>
        <v>433</v>
      </c>
      <c r="D426" s="4">
        <f>IF(B426&gt;'Mortality Table'!$A$118,D425,VLOOKUP(B426,'Mortality Table'!$A$2:$B$118,2,FALSE))</f>
        <v>9.214E-2</v>
      </c>
      <c r="E426" s="4">
        <f>IF(INT((C426-1)/12)+1&gt;'Lapse Table'!$A$11,E425,VLOOKUP(INT((C426-1)/12)+1,'Lapse Table'!$A$2:$B$11,2,FALSE))/12</f>
        <v>0</v>
      </c>
      <c r="F426" s="5">
        <f t="shared" si="62"/>
        <v>-0.44419403228749971</v>
      </c>
      <c r="G426" s="6">
        <f t="shared" si="56"/>
        <v>7.678333333333333E-3</v>
      </c>
      <c r="H426" s="6">
        <f t="shared" si="57"/>
        <v>0</v>
      </c>
      <c r="I426" s="7">
        <f t="shared" si="58"/>
        <v>-14.806467742916658</v>
      </c>
      <c r="J426" s="8">
        <f t="shared" si="59"/>
        <v>7678.333333333333</v>
      </c>
      <c r="K426" s="7">
        <f t="shared" si="60"/>
        <v>-7693.1398010762496</v>
      </c>
      <c r="L426" s="4">
        <f>IF(A426&gt;'Yield Curve'!A1040,L425,(1+VLOOKUP(A426,'Yield Curve'!A419:B1041,2,FALSE))^(1/12)-1)</f>
        <v>7.9741404289037643E-3</v>
      </c>
      <c r="M426" s="5">
        <f t="shared" si="61"/>
        <v>-278.13678153934114</v>
      </c>
    </row>
    <row r="427" spans="1:13" x14ac:dyDescent="0.25">
      <c r="A427" s="4">
        <v>419</v>
      </c>
      <c r="B427" s="4">
        <f t="shared" si="54"/>
        <v>79</v>
      </c>
      <c r="C427" s="4">
        <f t="shared" si="55"/>
        <v>434</v>
      </c>
      <c r="D427" s="4">
        <f>IF(B427&gt;'Mortality Table'!$A$118,D426,VLOOKUP(B427,'Mortality Table'!$A$2:$B$118,2,FALSE))</f>
        <v>9.214E-2</v>
      </c>
      <c r="E427" s="4">
        <f>IF(INT((C427-1)/12)+1&gt;'Lapse Table'!$A$11,E426,VLOOKUP(INT((C427-1)/12)+1,'Lapse Table'!$A$2:$B$11,2,FALSE))/12</f>
        <v>0</v>
      </c>
      <c r="F427" s="5">
        <f t="shared" si="62"/>
        <v>-0.45187236562083305</v>
      </c>
      <c r="G427" s="6">
        <f t="shared" si="56"/>
        <v>7.678333333333333E-3</v>
      </c>
      <c r="H427" s="6">
        <f t="shared" si="57"/>
        <v>0</v>
      </c>
      <c r="I427" s="7">
        <f t="shared" si="58"/>
        <v>-15.062412187361103</v>
      </c>
      <c r="J427" s="8">
        <f t="shared" si="59"/>
        <v>7678.333333333333</v>
      </c>
      <c r="K427" s="7">
        <f t="shared" si="60"/>
        <v>-7693.3957455206937</v>
      </c>
      <c r="L427" s="4">
        <f>IF(A427&gt;'Yield Curve'!A1041,L426,(1+VLOOKUP(A427,'Yield Curve'!A420:B1042,2,FALSE))^(1/12)-1)</f>
        <v>7.9741404289037643E-3</v>
      </c>
      <c r="M427" s="5">
        <f t="shared" si="61"/>
        <v>-275.9456059094278</v>
      </c>
    </row>
    <row r="428" spans="1:13" x14ac:dyDescent="0.25">
      <c r="A428" s="4">
        <v>420</v>
      </c>
      <c r="B428" s="4">
        <f t="shared" si="54"/>
        <v>80</v>
      </c>
      <c r="C428" s="4">
        <f t="shared" si="55"/>
        <v>435</v>
      </c>
      <c r="D428" s="4">
        <f>IF(B428&gt;'Mortality Table'!$A$118,D427,VLOOKUP(B428,'Mortality Table'!$A$2:$B$118,2,FALSE))</f>
        <v>0.10059</v>
      </c>
      <c r="E428" s="4">
        <f>IF(INT((C428-1)/12)+1&gt;'Lapse Table'!$A$11,E427,VLOOKUP(INT((C428-1)/12)+1,'Lapse Table'!$A$2:$B$11,2,FALSE))/12</f>
        <v>0</v>
      </c>
      <c r="F428" s="5">
        <f t="shared" si="62"/>
        <v>-0.46025486562083306</v>
      </c>
      <c r="G428" s="6">
        <f t="shared" si="56"/>
        <v>8.3824999999999993E-3</v>
      </c>
      <c r="H428" s="6">
        <f t="shared" si="57"/>
        <v>0</v>
      </c>
      <c r="I428" s="7">
        <f t="shared" si="58"/>
        <v>-15.341828854027769</v>
      </c>
      <c r="J428" s="8">
        <f t="shared" si="59"/>
        <v>8382.5</v>
      </c>
      <c r="K428" s="7">
        <f t="shared" si="60"/>
        <v>-8397.841828854027</v>
      </c>
      <c r="L428" s="4">
        <f>IF(A428&gt;'Yield Curve'!A1042,L427,(1+VLOOKUP(A428,'Yield Curve'!A421:B1043,2,FALSE))^(1/12)-1)</f>
        <v>7.9741404289037643E-3</v>
      </c>
      <c r="M428" s="5">
        <f t="shared" si="61"/>
        <v>-298.82966641849742</v>
      </c>
    </row>
    <row r="429" spans="1:13" x14ac:dyDescent="0.25">
      <c r="A429" s="4">
        <v>421</v>
      </c>
      <c r="B429" s="4">
        <f t="shared" si="54"/>
        <v>80</v>
      </c>
      <c r="C429" s="4">
        <f t="shared" si="55"/>
        <v>436</v>
      </c>
      <c r="D429" s="4">
        <f>IF(B429&gt;'Mortality Table'!$A$118,D428,VLOOKUP(B429,'Mortality Table'!$A$2:$B$118,2,FALSE))</f>
        <v>0.10059</v>
      </c>
      <c r="E429" s="4">
        <f>IF(INT((C429-1)/12)+1&gt;'Lapse Table'!$A$11,E428,VLOOKUP(INT((C429-1)/12)+1,'Lapse Table'!$A$2:$B$11,2,FALSE))/12</f>
        <v>0</v>
      </c>
      <c r="F429" s="5">
        <f t="shared" si="62"/>
        <v>-0.46863736562083308</v>
      </c>
      <c r="G429" s="6">
        <f t="shared" si="56"/>
        <v>8.3824999999999993E-3</v>
      </c>
      <c r="H429" s="6">
        <f t="shared" si="57"/>
        <v>0</v>
      </c>
      <c r="I429" s="7">
        <f t="shared" si="58"/>
        <v>-15.621245520694437</v>
      </c>
      <c r="J429" s="8">
        <f t="shared" si="59"/>
        <v>8382.5</v>
      </c>
      <c r="K429" s="7">
        <f t="shared" si="60"/>
        <v>-8398.1212455206951</v>
      </c>
      <c r="L429" s="4">
        <f>IF(A429&gt;'Yield Curve'!A1043,L428,(1+VLOOKUP(A429,'Yield Curve'!A422:B1044,2,FALSE))^(1/12)-1)</f>
        <v>7.9741404289037643E-3</v>
      </c>
      <c r="M429" s="5">
        <f t="shared" si="61"/>
        <v>-296.47547216113264</v>
      </c>
    </row>
    <row r="430" spans="1:13" x14ac:dyDescent="0.25">
      <c r="A430" s="4">
        <v>422</v>
      </c>
      <c r="B430" s="4">
        <f t="shared" si="54"/>
        <v>80</v>
      </c>
      <c r="C430" s="4">
        <f t="shared" si="55"/>
        <v>437</v>
      </c>
      <c r="D430" s="4">
        <f>IF(B430&gt;'Mortality Table'!$A$118,D429,VLOOKUP(B430,'Mortality Table'!$A$2:$B$118,2,FALSE))</f>
        <v>0.10059</v>
      </c>
      <c r="E430" s="4">
        <f>IF(INT((C430-1)/12)+1&gt;'Lapse Table'!$A$11,E429,VLOOKUP(INT((C430-1)/12)+1,'Lapse Table'!$A$2:$B$11,2,FALSE))/12</f>
        <v>0</v>
      </c>
      <c r="F430" s="5">
        <f t="shared" si="62"/>
        <v>-0.47701986562083309</v>
      </c>
      <c r="G430" s="6">
        <f t="shared" si="56"/>
        <v>8.3824999999999993E-3</v>
      </c>
      <c r="H430" s="6">
        <f t="shared" si="57"/>
        <v>0</v>
      </c>
      <c r="I430" s="7">
        <f t="shared" si="58"/>
        <v>-15.900662187361101</v>
      </c>
      <c r="J430" s="8">
        <f t="shared" si="59"/>
        <v>8382.5</v>
      </c>
      <c r="K430" s="7">
        <f t="shared" si="60"/>
        <v>-8398.4006621873614</v>
      </c>
      <c r="L430" s="4">
        <f>IF(A430&gt;'Yield Curve'!A1044,L429,(1+VLOOKUP(A430,'Yield Curve'!A423:B1045,2,FALSE))^(1/12)-1)</f>
        <v>7.9741404289037643E-3</v>
      </c>
      <c r="M430" s="5">
        <f t="shared" si="61"/>
        <v>-294.13982403195735</v>
      </c>
    </row>
    <row r="431" spans="1:13" x14ac:dyDescent="0.25">
      <c r="A431" s="4">
        <v>423</v>
      </c>
      <c r="B431" s="4">
        <f t="shared" si="54"/>
        <v>80</v>
      </c>
      <c r="C431" s="4">
        <f t="shared" si="55"/>
        <v>438</v>
      </c>
      <c r="D431" s="4">
        <f>IF(B431&gt;'Mortality Table'!$A$118,D430,VLOOKUP(B431,'Mortality Table'!$A$2:$B$118,2,FALSE))</f>
        <v>0.10059</v>
      </c>
      <c r="E431" s="4">
        <f>IF(INT((C431-1)/12)+1&gt;'Lapse Table'!$A$11,E430,VLOOKUP(INT((C431-1)/12)+1,'Lapse Table'!$A$2:$B$11,2,FALSE))/12</f>
        <v>0</v>
      </c>
      <c r="F431" s="5">
        <f t="shared" si="62"/>
        <v>-0.48540236562083311</v>
      </c>
      <c r="G431" s="6">
        <f t="shared" si="56"/>
        <v>8.3824999999999993E-3</v>
      </c>
      <c r="H431" s="6">
        <f t="shared" si="57"/>
        <v>0</v>
      </c>
      <c r="I431" s="7">
        <f t="shared" si="58"/>
        <v>-16.180078854027769</v>
      </c>
      <c r="J431" s="8">
        <f t="shared" si="59"/>
        <v>8382.5</v>
      </c>
      <c r="K431" s="7">
        <f t="shared" si="60"/>
        <v>-8398.6800788540277</v>
      </c>
      <c r="L431" s="4">
        <f>IF(A431&gt;'Yield Curve'!A1045,L430,(1+VLOOKUP(A431,'Yield Curve'!A424:B1046,2,FALSE))^(1/12)-1)</f>
        <v>7.9741404289037643E-3</v>
      </c>
      <c r="M431" s="5">
        <f t="shared" si="61"/>
        <v>-291.82257592884793</v>
      </c>
    </row>
    <row r="432" spans="1:13" x14ac:dyDescent="0.25">
      <c r="A432" s="4">
        <v>424</v>
      </c>
      <c r="B432" s="4">
        <f t="shared" si="54"/>
        <v>80</v>
      </c>
      <c r="C432" s="4">
        <f t="shared" si="55"/>
        <v>439</v>
      </c>
      <c r="D432" s="4">
        <f>IF(B432&gt;'Mortality Table'!$A$118,D431,VLOOKUP(B432,'Mortality Table'!$A$2:$B$118,2,FALSE))</f>
        <v>0.10059</v>
      </c>
      <c r="E432" s="4">
        <f>IF(INT((C432-1)/12)+1&gt;'Lapse Table'!$A$11,E431,VLOOKUP(INT((C432-1)/12)+1,'Lapse Table'!$A$2:$B$11,2,FALSE))/12</f>
        <v>0</v>
      </c>
      <c r="F432" s="5">
        <f t="shared" si="62"/>
        <v>-0.49378486562083312</v>
      </c>
      <c r="G432" s="6">
        <f t="shared" si="56"/>
        <v>8.3824999999999993E-3</v>
      </c>
      <c r="H432" s="6">
        <f t="shared" si="57"/>
        <v>0</v>
      </c>
      <c r="I432" s="7">
        <f t="shared" si="58"/>
        <v>-16.459495520694436</v>
      </c>
      <c r="J432" s="8">
        <f t="shared" si="59"/>
        <v>8382.5</v>
      </c>
      <c r="K432" s="7">
        <f t="shared" si="60"/>
        <v>-8398.959495520694</v>
      </c>
      <c r="L432" s="4">
        <f>IF(A432&gt;'Yield Curve'!A1046,L431,(1+VLOOKUP(A432,'Yield Curve'!A425:B1047,2,FALSE))^(1/12)-1)</f>
        <v>7.9741404289037643E-3</v>
      </c>
      <c r="M432" s="5">
        <f t="shared" si="61"/>
        <v>-289.52358290061835</v>
      </c>
    </row>
    <row r="433" spans="1:13" x14ac:dyDescent="0.25">
      <c r="A433" s="4">
        <v>425</v>
      </c>
      <c r="B433" s="4">
        <f t="shared" si="54"/>
        <v>80</v>
      </c>
      <c r="C433" s="4">
        <f t="shared" si="55"/>
        <v>440</v>
      </c>
      <c r="D433" s="4">
        <f>IF(B433&gt;'Mortality Table'!$A$118,D432,VLOOKUP(B433,'Mortality Table'!$A$2:$B$118,2,FALSE))</f>
        <v>0.10059</v>
      </c>
      <c r="E433" s="4">
        <f>IF(INT((C433-1)/12)+1&gt;'Lapse Table'!$A$11,E432,VLOOKUP(INT((C433-1)/12)+1,'Lapse Table'!$A$2:$B$11,2,FALSE))/12</f>
        <v>0</v>
      </c>
      <c r="F433" s="5">
        <f t="shared" si="62"/>
        <v>-0.50216736562083308</v>
      </c>
      <c r="G433" s="6">
        <f t="shared" si="56"/>
        <v>8.3824999999999993E-3</v>
      </c>
      <c r="H433" s="6">
        <f t="shared" si="57"/>
        <v>0</v>
      </c>
      <c r="I433" s="7">
        <f t="shared" si="58"/>
        <v>-16.738912187361102</v>
      </c>
      <c r="J433" s="8">
        <f t="shared" si="59"/>
        <v>8382.5</v>
      </c>
      <c r="K433" s="7">
        <f t="shared" si="60"/>
        <v>-8399.2389121873603</v>
      </c>
      <c r="L433" s="4">
        <f>IF(A433&gt;'Yield Curve'!A1047,L432,(1+VLOOKUP(A433,'Yield Curve'!A426:B1048,2,FALSE))^(1/12)-1)</f>
        <v>7.9741404289037643E-3</v>
      </c>
      <c r="M433" s="5">
        <f t="shared" si="61"/>
        <v>-287.24270113795507</v>
      </c>
    </row>
    <row r="434" spans="1:13" x14ac:dyDescent="0.25">
      <c r="A434" s="4">
        <v>426</v>
      </c>
      <c r="B434" s="4">
        <f t="shared" si="54"/>
        <v>80</v>
      </c>
      <c r="C434" s="4">
        <f t="shared" si="55"/>
        <v>441</v>
      </c>
      <c r="D434" s="4">
        <f>IF(B434&gt;'Mortality Table'!$A$118,D433,VLOOKUP(B434,'Mortality Table'!$A$2:$B$118,2,FALSE))</f>
        <v>0.10059</v>
      </c>
      <c r="E434" s="4">
        <f>IF(INT((C434-1)/12)+1&gt;'Lapse Table'!$A$11,E433,VLOOKUP(INT((C434-1)/12)+1,'Lapse Table'!$A$2:$B$11,2,FALSE))/12</f>
        <v>0</v>
      </c>
      <c r="F434" s="5">
        <f t="shared" si="62"/>
        <v>-0.51054986562083304</v>
      </c>
      <c r="G434" s="6">
        <f t="shared" si="56"/>
        <v>8.3824999999999993E-3</v>
      </c>
      <c r="H434" s="6">
        <f t="shared" si="57"/>
        <v>0</v>
      </c>
      <c r="I434" s="7">
        <f t="shared" si="58"/>
        <v>-17.018328854027768</v>
      </c>
      <c r="J434" s="8">
        <f t="shared" si="59"/>
        <v>8382.5</v>
      </c>
      <c r="K434" s="7">
        <f t="shared" si="60"/>
        <v>-8399.5183288540284</v>
      </c>
      <c r="L434" s="4">
        <f>IF(A434&gt;'Yield Curve'!A1048,L433,(1+VLOOKUP(A434,'Yield Curve'!A427:B1049,2,FALSE))^(1/12)-1)</f>
        <v>7.9741404289037643E-3</v>
      </c>
      <c r="M434" s="5">
        <f t="shared" si="61"/>
        <v>-284.97978796442101</v>
      </c>
    </row>
    <row r="435" spans="1:13" x14ac:dyDescent="0.25">
      <c r="A435" s="4">
        <v>427</v>
      </c>
      <c r="B435" s="4">
        <f t="shared" si="54"/>
        <v>80</v>
      </c>
      <c r="C435" s="4">
        <f t="shared" si="55"/>
        <v>442</v>
      </c>
      <c r="D435" s="4">
        <f>IF(B435&gt;'Mortality Table'!$A$118,D434,VLOOKUP(B435,'Mortality Table'!$A$2:$B$118,2,FALSE))</f>
        <v>0.10059</v>
      </c>
      <c r="E435" s="4">
        <f>IF(INT((C435-1)/12)+1&gt;'Lapse Table'!$A$11,E434,VLOOKUP(INT((C435-1)/12)+1,'Lapse Table'!$A$2:$B$11,2,FALSE))/12</f>
        <v>0</v>
      </c>
      <c r="F435" s="5">
        <f t="shared" si="62"/>
        <v>-0.518932365620833</v>
      </c>
      <c r="G435" s="6">
        <f t="shared" si="56"/>
        <v>8.3824999999999993E-3</v>
      </c>
      <c r="H435" s="6">
        <f t="shared" si="57"/>
        <v>0</v>
      </c>
      <c r="I435" s="7">
        <f t="shared" si="58"/>
        <v>-17.297745520694434</v>
      </c>
      <c r="J435" s="8">
        <f t="shared" si="59"/>
        <v>8382.5</v>
      </c>
      <c r="K435" s="7">
        <f t="shared" si="60"/>
        <v>-8399.7977455206947</v>
      </c>
      <c r="L435" s="4">
        <f>IF(A435&gt;'Yield Curve'!A1049,L434,(1+VLOOKUP(A435,'Yield Curve'!A428:B1050,2,FALSE))^(1/12)-1)</f>
        <v>7.9741404289037643E-3</v>
      </c>
      <c r="M435" s="5">
        <f t="shared" si="61"/>
        <v>-282.7347018275313</v>
      </c>
    </row>
    <row r="436" spans="1:13" x14ac:dyDescent="0.25">
      <c r="A436" s="4">
        <v>428</v>
      </c>
      <c r="B436" s="4">
        <f t="shared" si="54"/>
        <v>80</v>
      </c>
      <c r="C436" s="4">
        <f t="shared" si="55"/>
        <v>443</v>
      </c>
      <c r="D436" s="4">
        <f>IF(B436&gt;'Mortality Table'!$A$118,D435,VLOOKUP(B436,'Mortality Table'!$A$2:$B$118,2,FALSE))</f>
        <v>0.10059</v>
      </c>
      <c r="E436" s="4">
        <f>IF(INT((C436-1)/12)+1&gt;'Lapse Table'!$A$11,E435,VLOOKUP(INT((C436-1)/12)+1,'Lapse Table'!$A$2:$B$11,2,FALSE))/12</f>
        <v>0</v>
      </c>
      <c r="F436" s="5">
        <f t="shared" si="62"/>
        <v>-0.52731486562083296</v>
      </c>
      <c r="G436" s="6">
        <f t="shared" si="56"/>
        <v>8.3824999999999993E-3</v>
      </c>
      <c r="H436" s="6">
        <f t="shared" si="57"/>
        <v>0</v>
      </c>
      <c r="I436" s="7">
        <f t="shared" si="58"/>
        <v>-17.5771621873611</v>
      </c>
      <c r="J436" s="8">
        <f t="shared" si="59"/>
        <v>8382.5</v>
      </c>
      <c r="K436" s="7">
        <f t="shared" si="60"/>
        <v>-8400.077162187361</v>
      </c>
      <c r="L436" s="4">
        <f>IF(A436&gt;'Yield Curve'!A1050,L435,(1+VLOOKUP(A436,'Yield Curve'!A429:B1051,2,FALSE))^(1/12)-1)</f>
        <v>7.9741404289037643E-3</v>
      </c>
      <c r="M436" s="5">
        <f t="shared" si="61"/>
        <v>-280.5073022899</v>
      </c>
    </row>
    <row r="437" spans="1:13" x14ac:dyDescent="0.25">
      <c r="A437" s="4">
        <v>429</v>
      </c>
      <c r="B437" s="4">
        <f t="shared" si="54"/>
        <v>80</v>
      </c>
      <c r="C437" s="4">
        <f t="shared" si="55"/>
        <v>444</v>
      </c>
      <c r="D437" s="4">
        <f>IF(B437&gt;'Mortality Table'!$A$118,D436,VLOOKUP(B437,'Mortality Table'!$A$2:$B$118,2,FALSE))</f>
        <v>0.10059</v>
      </c>
      <c r="E437" s="4">
        <f>IF(INT((C437-1)/12)+1&gt;'Lapse Table'!$A$11,E436,VLOOKUP(INT((C437-1)/12)+1,'Lapse Table'!$A$2:$B$11,2,FALSE))/12</f>
        <v>0</v>
      </c>
      <c r="F437" s="5">
        <f t="shared" si="62"/>
        <v>-0.53569736562083292</v>
      </c>
      <c r="G437" s="6">
        <f t="shared" si="56"/>
        <v>8.3824999999999993E-3</v>
      </c>
      <c r="H437" s="6">
        <f t="shared" si="57"/>
        <v>0</v>
      </c>
      <c r="I437" s="7">
        <f t="shared" si="58"/>
        <v>-17.856578854027763</v>
      </c>
      <c r="J437" s="8">
        <f t="shared" si="59"/>
        <v>8382.5</v>
      </c>
      <c r="K437" s="7">
        <f t="shared" si="60"/>
        <v>-8400.3565788540272</v>
      </c>
      <c r="L437" s="4">
        <f>IF(A437&gt;'Yield Curve'!A1051,L436,(1+VLOOKUP(A437,'Yield Curve'!A430:B1052,2,FALSE))^(1/12)-1)</f>
        <v>7.9741404289037643E-3</v>
      </c>
      <c r="M437" s="5">
        <f t="shared" si="61"/>
        <v>-278.29745002045553</v>
      </c>
    </row>
    <row r="438" spans="1:13" x14ac:dyDescent="0.25">
      <c r="A438" s="4">
        <v>430</v>
      </c>
      <c r="B438" s="4">
        <f t="shared" si="54"/>
        <v>80</v>
      </c>
      <c r="C438" s="4">
        <f t="shared" si="55"/>
        <v>445</v>
      </c>
      <c r="D438" s="4">
        <f>IF(B438&gt;'Mortality Table'!$A$118,D437,VLOOKUP(B438,'Mortality Table'!$A$2:$B$118,2,FALSE))</f>
        <v>0.10059</v>
      </c>
      <c r="E438" s="4">
        <f>IF(INT((C438-1)/12)+1&gt;'Lapse Table'!$A$11,E437,VLOOKUP(INT((C438-1)/12)+1,'Lapse Table'!$A$2:$B$11,2,FALSE))/12</f>
        <v>0</v>
      </c>
      <c r="F438" s="5">
        <f t="shared" si="62"/>
        <v>-0.54407986562083288</v>
      </c>
      <c r="G438" s="6">
        <f t="shared" si="56"/>
        <v>8.3824999999999993E-3</v>
      </c>
      <c r="H438" s="6">
        <f t="shared" si="57"/>
        <v>0</v>
      </c>
      <c r="I438" s="7">
        <f t="shared" si="58"/>
        <v>-18.135995520694429</v>
      </c>
      <c r="J438" s="8">
        <f t="shared" si="59"/>
        <v>8382.5</v>
      </c>
      <c r="K438" s="7">
        <f t="shared" si="60"/>
        <v>-8400.6359955206935</v>
      </c>
      <c r="L438" s="4">
        <f>IF(A438&gt;'Yield Curve'!A1052,L437,(1+VLOOKUP(A438,'Yield Curve'!A431:B1053,2,FALSE))^(1/12)-1)</f>
        <v>7.9741404289037643E-3</v>
      </c>
      <c r="M438" s="5">
        <f t="shared" si="61"/>
        <v>-276.10500678572578</v>
      </c>
    </row>
    <row r="439" spans="1:13" x14ac:dyDescent="0.25">
      <c r="A439" s="4">
        <v>431</v>
      </c>
      <c r="B439" s="4">
        <f t="shared" si="54"/>
        <v>80</v>
      </c>
      <c r="C439" s="4">
        <f t="shared" si="55"/>
        <v>446</v>
      </c>
      <c r="D439" s="4">
        <f>IF(B439&gt;'Mortality Table'!$A$118,D438,VLOOKUP(B439,'Mortality Table'!$A$2:$B$118,2,FALSE))</f>
        <v>0.10059</v>
      </c>
      <c r="E439" s="4">
        <f>IF(INT((C439-1)/12)+1&gt;'Lapse Table'!$A$11,E438,VLOOKUP(INT((C439-1)/12)+1,'Lapse Table'!$A$2:$B$11,2,FALSE))/12</f>
        <v>0</v>
      </c>
      <c r="F439" s="5">
        <f t="shared" si="62"/>
        <v>-0.55246236562083284</v>
      </c>
      <c r="G439" s="6">
        <f t="shared" si="56"/>
        <v>8.3824999999999993E-3</v>
      </c>
      <c r="H439" s="6">
        <f t="shared" si="57"/>
        <v>0</v>
      </c>
      <c r="I439" s="7">
        <f t="shared" si="58"/>
        <v>-18.415412187361095</v>
      </c>
      <c r="J439" s="8">
        <f t="shared" si="59"/>
        <v>8382.5</v>
      </c>
      <c r="K439" s="7">
        <f t="shared" si="60"/>
        <v>-8400.9154121873617</v>
      </c>
      <c r="L439" s="4">
        <f>IF(A439&gt;'Yield Curve'!A1053,L438,(1+VLOOKUP(A439,'Yield Curve'!A432:B1054,2,FALSE))^(1/12)-1)</f>
        <v>7.9741404289037643E-3</v>
      </c>
      <c r="M439" s="5">
        <f t="shared" si="61"/>
        <v>-273.92983544119159</v>
      </c>
    </row>
    <row r="440" spans="1:13" x14ac:dyDescent="0.25">
      <c r="A440" s="4">
        <v>432</v>
      </c>
      <c r="B440" s="4">
        <f t="shared" si="54"/>
        <v>81</v>
      </c>
      <c r="C440" s="4">
        <f t="shared" si="55"/>
        <v>447</v>
      </c>
      <c r="D440" s="4">
        <f>IF(B440&gt;'Mortality Table'!$A$118,D439,VLOOKUP(B440,'Mortality Table'!$A$2:$B$118,2,FALSE))</f>
        <v>0.14982000000000001</v>
      </c>
      <c r="E440" s="4">
        <f>IF(INT((C440-1)/12)+1&gt;'Lapse Table'!$A$11,E439,VLOOKUP(INT((C440-1)/12)+1,'Lapse Table'!$A$2:$B$11,2,FALSE))/12</f>
        <v>0</v>
      </c>
      <c r="F440" s="5">
        <f t="shared" si="62"/>
        <v>-0.56494736562083281</v>
      </c>
      <c r="G440" s="6">
        <f t="shared" si="56"/>
        <v>1.2485000000000001E-2</v>
      </c>
      <c r="H440" s="6">
        <f t="shared" si="57"/>
        <v>0</v>
      </c>
      <c r="I440" s="7">
        <f t="shared" si="58"/>
        <v>-18.831578854027761</v>
      </c>
      <c r="J440" s="8">
        <f t="shared" si="59"/>
        <v>12485.000000000002</v>
      </c>
      <c r="K440" s="7">
        <f t="shared" si="60"/>
        <v>-12503.831578854029</v>
      </c>
      <c r="L440" s="4">
        <f>IF(A440&gt;'Yield Curve'!A1054,L439,(1+VLOOKUP(A440,'Yield Curve'!A433:B1055,2,FALSE))^(1/12)-1)</f>
        <v>7.9741404289037643E-3</v>
      </c>
      <c r="M440" s="5">
        <f t="shared" si="61"/>
        <v>-404.48875229561753</v>
      </c>
    </row>
    <row r="441" spans="1:13" x14ac:dyDescent="0.25">
      <c r="A441" s="4">
        <v>433</v>
      </c>
      <c r="B441" s="4">
        <f t="shared" si="54"/>
        <v>81</v>
      </c>
      <c r="C441" s="4">
        <f t="shared" si="55"/>
        <v>448</v>
      </c>
      <c r="D441" s="4">
        <f>IF(B441&gt;'Mortality Table'!$A$118,D440,VLOOKUP(B441,'Mortality Table'!$A$2:$B$118,2,FALSE))</f>
        <v>0.14982000000000001</v>
      </c>
      <c r="E441" s="4">
        <f>IF(INT((C441-1)/12)+1&gt;'Lapse Table'!$A$11,E440,VLOOKUP(INT((C441-1)/12)+1,'Lapse Table'!$A$2:$B$11,2,FALSE))/12</f>
        <v>0</v>
      </c>
      <c r="F441" s="5">
        <f t="shared" si="62"/>
        <v>-0.57743236562083278</v>
      </c>
      <c r="G441" s="6">
        <f t="shared" si="56"/>
        <v>1.2485000000000001E-2</v>
      </c>
      <c r="H441" s="6">
        <f t="shared" si="57"/>
        <v>0</v>
      </c>
      <c r="I441" s="7">
        <f t="shared" si="58"/>
        <v>-19.247745520694426</v>
      </c>
      <c r="J441" s="8">
        <f t="shared" si="59"/>
        <v>12485.000000000002</v>
      </c>
      <c r="K441" s="7">
        <f t="shared" si="60"/>
        <v>-12504.247745520695</v>
      </c>
      <c r="L441" s="4">
        <f>IF(A441&gt;'Yield Curve'!A1055,L440,(1+VLOOKUP(A441,'Yield Curve'!A434:B1056,2,FALSE))^(1/12)-1)</f>
        <v>7.9741404289037643E-3</v>
      </c>
      <c r="M441" s="5">
        <f t="shared" si="61"/>
        <v>-401.3021750495505</v>
      </c>
    </row>
    <row r="442" spans="1:13" x14ac:dyDescent="0.25">
      <c r="A442" s="4">
        <v>434</v>
      </c>
      <c r="B442" s="4">
        <f t="shared" si="54"/>
        <v>81</v>
      </c>
      <c r="C442" s="4">
        <f t="shared" si="55"/>
        <v>449</v>
      </c>
      <c r="D442" s="4">
        <f>IF(B442&gt;'Mortality Table'!$A$118,D441,VLOOKUP(B442,'Mortality Table'!$A$2:$B$118,2,FALSE))</f>
        <v>0.14982000000000001</v>
      </c>
      <c r="E442" s="4">
        <f>IF(INT((C442-1)/12)+1&gt;'Lapse Table'!$A$11,E441,VLOOKUP(INT((C442-1)/12)+1,'Lapse Table'!$A$2:$B$11,2,FALSE))/12</f>
        <v>0</v>
      </c>
      <c r="F442" s="5">
        <f t="shared" si="62"/>
        <v>-0.58991736562083275</v>
      </c>
      <c r="G442" s="6">
        <f t="shared" si="56"/>
        <v>1.2485000000000001E-2</v>
      </c>
      <c r="H442" s="6">
        <f t="shared" si="57"/>
        <v>0</v>
      </c>
      <c r="I442" s="7">
        <f t="shared" si="58"/>
        <v>-19.663912187361092</v>
      </c>
      <c r="J442" s="8">
        <f t="shared" si="59"/>
        <v>12485.000000000002</v>
      </c>
      <c r="K442" s="7">
        <f t="shared" si="60"/>
        <v>-12504.663912187363</v>
      </c>
      <c r="L442" s="4">
        <f>IF(A442&gt;'Yield Curve'!A1056,L441,(1+VLOOKUP(A442,'Yield Curve'!A435:B1057,2,FALSE))^(1/12)-1)</f>
        <v>7.9741404289037643E-3</v>
      </c>
      <c r="M442" s="5">
        <f t="shared" si="61"/>
        <v>-398.14070133504242</v>
      </c>
    </row>
    <row r="443" spans="1:13" x14ac:dyDescent="0.25">
      <c r="A443" s="4">
        <v>435</v>
      </c>
      <c r="B443" s="4">
        <f t="shared" si="54"/>
        <v>81</v>
      </c>
      <c r="C443" s="4">
        <f t="shared" si="55"/>
        <v>450</v>
      </c>
      <c r="D443" s="4">
        <f>IF(B443&gt;'Mortality Table'!$A$118,D442,VLOOKUP(B443,'Mortality Table'!$A$2:$B$118,2,FALSE))</f>
        <v>0.14982000000000001</v>
      </c>
      <c r="E443" s="4">
        <f>IF(INT((C443-1)/12)+1&gt;'Lapse Table'!$A$11,E442,VLOOKUP(INT((C443-1)/12)+1,'Lapse Table'!$A$2:$B$11,2,FALSE))/12</f>
        <v>0</v>
      </c>
      <c r="F443" s="5">
        <f t="shared" si="62"/>
        <v>-0.60240236562083271</v>
      </c>
      <c r="G443" s="6">
        <f t="shared" si="56"/>
        <v>1.2485000000000001E-2</v>
      </c>
      <c r="H443" s="6">
        <f t="shared" si="57"/>
        <v>0</v>
      </c>
      <c r="I443" s="7">
        <f t="shared" si="58"/>
        <v>-20.080078854027757</v>
      </c>
      <c r="J443" s="8">
        <f t="shared" si="59"/>
        <v>12485.000000000002</v>
      </c>
      <c r="K443" s="7">
        <f t="shared" si="60"/>
        <v>-12505.080078854029</v>
      </c>
      <c r="L443" s="4">
        <f>IF(A443&gt;'Yield Curve'!A1057,L442,(1+VLOOKUP(A443,'Yield Curve'!A436:B1058,2,FALSE))^(1/12)-1)</f>
        <v>7.9741404289037643E-3</v>
      </c>
      <c r="M443" s="5">
        <f t="shared" si="61"/>
        <v>-395.00413339252742</v>
      </c>
    </row>
    <row r="444" spans="1:13" x14ac:dyDescent="0.25">
      <c r="A444" s="4">
        <v>436</v>
      </c>
      <c r="B444" s="4">
        <f t="shared" si="54"/>
        <v>81</v>
      </c>
      <c r="C444" s="4">
        <f t="shared" si="55"/>
        <v>451</v>
      </c>
      <c r="D444" s="4">
        <f>IF(B444&gt;'Mortality Table'!$A$118,D443,VLOOKUP(B444,'Mortality Table'!$A$2:$B$118,2,FALSE))</f>
        <v>0.14982000000000001</v>
      </c>
      <c r="E444" s="4">
        <f>IF(INT((C444-1)/12)+1&gt;'Lapse Table'!$A$11,E443,VLOOKUP(INT((C444-1)/12)+1,'Lapse Table'!$A$2:$B$11,2,FALSE))/12</f>
        <v>0</v>
      </c>
      <c r="F444" s="5">
        <f t="shared" si="62"/>
        <v>-0.61488736562083268</v>
      </c>
      <c r="G444" s="6">
        <f t="shared" si="56"/>
        <v>1.2485000000000001E-2</v>
      </c>
      <c r="H444" s="6">
        <f t="shared" si="57"/>
        <v>0</v>
      </c>
      <c r="I444" s="7">
        <f t="shared" si="58"/>
        <v>-20.496245520694423</v>
      </c>
      <c r="J444" s="8">
        <f t="shared" si="59"/>
        <v>12485.000000000002</v>
      </c>
      <c r="K444" s="7">
        <f t="shared" si="60"/>
        <v>-12505.496245520697</v>
      </c>
      <c r="L444" s="4">
        <f>IF(A444&gt;'Yield Curve'!A1058,L443,(1+VLOOKUP(A444,'Yield Curve'!A437:B1059,2,FALSE))^(1/12)-1)</f>
        <v>7.9741404289037643E-3</v>
      </c>
      <c r="M444" s="5">
        <f t="shared" si="61"/>
        <v>-391.89227502031412</v>
      </c>
    </row>
    <row r="445" spans="1:13" x14ac:dyDescent="0.25">
      <c r="A445" s="4">
        <v>437</v>
      </c>
      <c r="B445" s="4">
        <f t="shared" si="54"/>
        <v>81</v>
      </c>
      <c r="C445" s="4">
        <f t="shared" si="55"/>
        <v>452</v>
      </c>
      <c r="D445" s="4">
        <f>IF(B445&gt;'Mortality Table'!$A$118,D444,VLOOKUP(B445,'Mortality Table'!$A$2:$B$118,2,FALSE))</f>
        <v>0.14982000000000001</v>
      </c>
      <c r="E445" s="4">
        <f>IF(INT((C445-1)/12)+1&gt;'Lapse Table'!$A$11,E444,VLOOKUP(INT((C445-1)/12)+1,'Lapse Table'!$A$2:$B$11,2,FALSE))/12</f>
        <v>0</v>
      </c>
      <c r="F445" s="5">
        <f t="shared" si="62"/>
        <v>-0.62737236562083265</v>
      </c>
      <c r="G445" s="6">
        <f t="shared" si="56"/>
        <v>1.2485000000000001E-2</v>
      </c>
      <c r="H445" s="6">
        <f t="shared" si="57"/>
        <v>0</v>
      </c>
      <c r="I445" s="7">
        <f t="shared" si="58"/>
        <v>-20.912412187361088</v>
      </c>
      <c r="J445" s="8">
        <f t="shared" si="59"/>
        <v>12485.000000000002</v>
      </c>
      <c r="K445" s="7">
        <f t="shared" si="60"/>
        <v>-12505.912412187363</v>
      </c>
      <c r="L445" s="4">
        <f>IF(A445&gt;'Yield Curve'!A1059,L444,(1+VLOOKUP(A445,'Yield Curve'!A438:B1060,2,FALSE))^(1/12)-1)</f>
        <v>7.9741404289037643E-3</v>
      </c>
      <c r="M445" s="5">
        <f t="shared" si="61"/>
        <v>-388.80493156231302</v>
      </c>
    </row>
    <row r="446" spans="1:13" x14ac:dyDescent="0.25">
      <c r="A446" s="4">
        <v>438</v>
      </c>
      <c r="B446" s="4">
        <f t="shared" si="54"/>
        <v>81</v>
      </c>
      <c r="C446" s="4">
        <f t="shared" si="55"/>
        <v>453</v>
      </c>
      <c r="D446" s="4">
        <f>IF(B446&gt;'Mortality Table'!$A$118,D445,VLOOKUP(B446,'Mortality Table'!$A$2:$B$118,2,FALSE))</f>
        <v>0.14982000000000001</v>
      </c>
      <c r="E446" s="4">
        <f>IF(INT((C446-1)/12)+1&gt;'Lapse Table'!$A$11,E445,VLOOKUP(INT((C446-1)/12)+1,'Lapse Table'!$A$2:$B$11,2,FALSE))/12</f>
        <v>0</v>
      </c>
      <c r="F446" s="5">
        <f t="shared" si="62"/>
        <v>-0.63985736562083262</v>
      </c>
      <c r="G446" s="6">
        <f t="shared" si="56"/>
        <v>1.2485000000000001E-2</v>
      </c>
      <c r="H446" s="6">
        <f t="shared" si="57"/>
        <v>0</v>
      </c>
      <c r="I446" s="7">
        <f t="shared" si="58"/>
        <v>-21.328578854027754</v>
      </c>
      <c r="J446" s="8">
        <f t="shared" si="59"/>
        <v>12485.000000000002</v>
      </c>
      <c r="K446" s="7">
        <f t="shared" si="60"/>
        <v>-12506.328578854029</v>
      </c>
      <c r="L446" s="4">
        <f>IF(A446&gt;'Yield Curve'!A1060,L445,(1+VLOOKUP(A446,'Yield Curve'!A439:B1061,2,FALSE))^(1/12)-1)</f>
        <v>7.9741404289037643E-3</v>
      </c>
      <c r="M446" s="5">
        <f t="shared" si="61"/>
        <v>-385.74190989586219</v>
      </c>
    </row>
    <row r="447" spans="1:13" x14ac:dyDescent="0.25">
      <c r="A447" s="4">
        <v>439</v>
      </c>
      <c r="B447" s="4">
        <f t="shared" si="54"/>
        <v>81</v>
      </c>
      <c r="C447" s="4">
        <f t="shared" si="55"/>
        <v>454</v>
      </c>
      <c r="D447" s="4">
        <f>IF(B447&gt;'Mortality Table'!$A$118,D446,VLOOKUP(B447,'Mortality Table'!$A$2:$B$118,2,FALSE))</f>
        <v>0.14982000000000001</v>
      </c>
      <c r="E447" s="4">
        <f>IF(INT((C447-1)/12)+1&gt;'Lapse Table'!$A$11,E446,VLOOKUP(INT((C447-1)/12)+1,'Lapse Table'!$A$2:$B$11,2,FALSE))/12</f>
        <v>0</v>
      </c>
      <c r="F447" s="5">
        <f t="shared" si="62"/>
        <v>-0.65234236562083259</v>
      </c>
      <c r="G447" s="6">
        <f t="shared" si="56"/>
        <v>1.2485000000000001E-2</v>
      </c>
      <c r="H447" s="6">
        <f t="shared" si="57"/>
        <v>0</v>
      </c>
      <c r="I447" s="7">
        <f t="shared" si="58"/>
        <v>-21.744745520694419</v>
      </c>
      <c r="J447" s="8">
        <f t="shared" si="59"/>
        <v>12485.000000000002</v>
      </c>
      <c r="K447" s="7">
        <f t="shared" si="60"/>
        <v>-12506.744745520697</v>
      </c>
      <c r="L447" s="4">
        <f>IF(A447&gt;'Yield Curve'!A1061,L446,(1+VLOOKUP(A447,'Yield Curve'!A440:B1062,2,FALSE))^(1/12)-1)</f>
        <v>7.9741404289037643E-3</v>
      </c>
      <c r="M447" s="5">
        <f t="shared" si="61"/>
        <v>-382.7030184196459</v>
      </c>
    </row>
    <row r="448" spans="1:13" x14ac:dyDescent="0.25">
      <c r="A448" s="4">
        <v>440</v>
      </c>
      <c r="B448" s="4">
        <f t="shared" si="54"/>
        <v>81</v>
      </c>
      <c r="C448" s="4">
        <f t="shared" si="55"/>
        <v>455</v>
      </c>
      <c r="D448" s="4">
        <f>IF(B448&gt;'Mortality Table'!$A$118,D447,VLOOKUP(B448,'Mortality Table'!$A$2:$B$118,2,FALSE))</f>
        <v>0.14982000000000001</v>
      </c>
      <c r="E448" s="4">
        <f>IF(INT((C448-1)/12)+1&gt;'Lapse Table'!$A$11,E447,VLOOKUP(INT((C448-1)/12)+1,'Lapse Table'!$A$2:$B$11,2,FALSE))/12</f>
        <v>0</v>
      </c>
      <c r="F448" s="5">
        <f t="shared" si="62"/>
        <v>-0.66482736562083256</v>
      </c>
      <c r="G448" s="6">
        <f t="shared" si="56"/>
        <v>1.2485000000000001E-2</v>
      </c>
      <c r="H448" s="6">
        <f t="shared" si="57"/>
        <v>0</v>
      </c>
      <c r="I448" s="7">
        <f t="shared" si="58"/>
        <v>-22.160912187361088</v>
      </c>
      <c r="J448" s="8">
        <f t="shared" si="59"/>
        <v>12485.000000000002</v>
      </c>
      <c r="K448" s="7">
        <f t="shared" si="60"/>
        <v>-12507.160912187363</v>
      </c>
      <c r="L448" s="4">
        <f>IF(A448&gt;'Yield Curve'!A1062,L447,(1+VLOOKUP(A448,'Yield Curve'!A441:B1063,2,FALSE))^(1/12)-1)</f>
        <v>7.9741404289037643E-3</v>
      </c>
      <c r="M448" s="5">
        <f t="shared" si="61"/>
        <v>-379.68806704171163</v>
      </c>
    </row>
    <row r="449" spans="1:13" x14ac:dyDescent="0.25">
      <c r="A449" s="4">
        <v>441</v>
      </c>
      <c r="B449" s="4">
        <f t="shared" si="54"/>
        <v>81</v>
      </c>
      <c r="C449" s="4">
        <f t="shared" si="55"/>
        <v>456</v>
      </c>
      <c r="D449" s="4">
        <f>IF(B449&gt;'Mortality Table'!$A$118,D448,VLOOKUP(B449,'Mortality Table'!$A$2:$B$118,2,FALSE))</f>
        <v>0.14982000000000001</v>
      </c>
      <c r="E449" s="4">
        <f>IF(INT((C449-1)/12)+1&gt;'Lapse Table'!$A$11,E448,VLOOKUP(INT((C449-1)/12)+1,'Lapse Table'!$A$2:$B$11,2,FALSE))/12</f>
        <v>0</v>
      </c>
      <c r="F449" s="5">
        <f t="shared" si="62"/>
        <v>-0.67731236562083252</v>
      </c>
      <c r="G449" s="6">
        <f t="shared" si="56"/>
        <v>1.2485000000000001E-2</v>
      </c>
      <c r="H449" s="6">
        <f t="shared" si="57"/>
        <v>0</v>
      </c>
      <c r="I449" s="7">
        <f t="shared" si="58"/>
        <v>-22.57707885402775</v>
      </c>
      <c r="J449" s="8">
        <f t="shared" si="59"/>
        <v>12485.000000000002</v>
      </c>
      <c r="K449" s="7">
        <f t="shared" si="60"/>
        <v>-12507.57707885403</v>
      </c>
      <c r="L449" s="4">
        <f>IF(A449&gt;'Yield Curve'!A1063,L448,(1+VLOOKUP(A449,'Yield Curve'!A442:B1064,2,FALSE))^(1/12)-1)</f>
        <v>7.9741404289037643E-3</v>
      </c>
      <c r="M449" s="5">
        <f t="shared" si="61"/>
        <v>-376.69686716758036</v>
      </c>
    </row>
    <row r="450" spans="1:13" x14ac:dyDescent="0.25">
      <c r="A450" s="4">
        <v>442</v>
      </c>
      <c r="B450" s="4">
        <f t="shared" si="54"/>
        <v>81</v>
      </c>
      <c r="C450" s="4">
        <f t="shared" si="55"/>
        <v>457</v>
      </c>
      <c r="D450" s="4">
        <f>IF(B450&gt;'Mortality Table'!$A$118,D449,VLOOKUP(B450,'Mortality Table'!$A$2:$B$118,2,FALSE))</f>
        <v>0.14982000000000001</v>
      </c>
      <c r="E450" s="4">
        <f>IF(INT((C450-1)/12)+1&gt;'Lapse Table'!$A$11,E449,VLOOKUP(INT((C450-1)/12)+1,'Lapse Table'!$A$2:$B$11,2,FALSE))/12</f>
        <v>0</v>
      </c>
      <c r="F450" s="5">
        <f t="shared" si="62"/>
        <v>-0.68979736562083249</v>
      </c>
      <c r="G450" s="6">
        <f t="shared" si="56"/>
        <v>1.2485000000000001E-2</v>
      </c>
      <c r="H450" s="6">
        <f t="shared" si="57"/>
        <v>0</v>
      </c>
      <c r="I450" s="7">
        <f t="shared" si="58"/>
        <v>-22.993245520694416</v>
      </c>
      <c r="J450" s="8">
        <f t="shared" si="59"/>
        <v>12485.000000000002</v>
      </c>
      <c r="K450" s="7">
        <f t="shared" si="60"/>
        <v>-12507.993245520696</v>
      </c>
      <c r="L450" s="4">
        <f>IF(A450&gt;'Yield Curve'!A1064,L449,(1+VLOOKUP(A450,'Yield Curve'!A443:B1065,2,FALSE))^(1/12)-1)</f>
        <v>7.9741404289037643E-3</v>
      </c>
      <c r="M450" s="5">
        <f t="shared" si="61"/>
        <v>-373.72923168844869</v>
      </c>
    </row>
    <row r="451" spans="1:13" x14ac:dyDescent="0.25">
      <c r="A451" s="4">
        <v>443</v>
      </c>
      <c r="B451" s="4">
        <f t="shared" si="54"/>
        <v>81</v>
      </c>
      <c r="C451" s="4">
        <f t="shared" si="55"/>
        <v>458</v>
      </c>
      <c r="D451" s="4">
        <f>IF(B451&gt;'Mortality Table'!$A$118,D450,VLOOKUP(B451,'Mortality Table'!$A$2:$B$118,2,FALSE))</f>
        <v>0.14982000000000001</v>
      </c>
      <c r="E451" s="4">
        <f>IF(INT((C451-1)/12)+1&gt;'Lapse Table'!$A$11,E450,VLOOKUP(INT((C451-1)/12)+1,'Lapse Table'!$A$2:$B$11,2,FALSE))/12</f>
        <v>0</v>
      </c>
      <c r="F451" s="5">
        <f t="shared" si="62"/>
        <v>-0.70228236562083246</v>
      </c>
      <c r="G451" s="6">
        <f t="shared" si="56"/>
        <v>1.2485000000000001E-2</v>
      </c>
      <c r="H451" s="6">
        <f t="shared" si="57"/>
        <v>0</v>
      </c>
      <c r="I451" s="7">
        <f t="shared" si="58"/>
        <v>-23.409412187361081</v>
      </c>
      <c r="J451" s="8">
        <f t="shared" si="59"/>
        <v>12485.000000000002</v>
      </c>
      <c r="K451" s="7">
        <f t="shared" si="60"/>
        <v>-12508.409412187362</v>
      </c>
      <c r="L451" s="4">
        <f>IF(A451&gt;'Yield Curve'!A1065,L450,(1+VLOOKUP(A451,'Yield Curve'!A444:B1066,2,FALSE))^(1/12)-1)</f>
        <v>7.9741404289037643E-3</v>
      </c>
      <c r="M451" s="5">
        <f t="shared" si="61"/>
        <v>-370.78497496948683</v>
      </c>
    </row>
    <row r="452" spans="1:13" x14ac:dyDescent="0.25">
      <c r="A452" s="4">
        <v>444</v>
      </c>
      <c r="B452" s="4">
        <f t="shared" si="54"/>
        <v>82</v>
      </c>
      <c r="C452" s="4">
        <f t="shared" si="55"/>
        <v>459</v>
      </c>
      <c r="D452" s="4">
        <f>IF(B452&gt;'Mortality Table'!$A$118,D451,VLOOKUP(B452,'Mortality Table'!$A$2:$B$118,2,FALSE))</f>
        <v>0.16214999999999999</v>
      </c>
      <c r="E452" s="4">
        <f>IF(INT((C452-1)/12)+1&gt;'Lapse Table'!$A$11,E451,VLOOKUP(INT((C452-1)/12)+1,'Lapse Table'!$A$2:$B$11,2,FALSE))/12</f>
        <v>0</v>
      </c>
      <c r="F452" s="5">
        <f t="shared" si="62"/>
        <v>-0.7157948656208325</v>
      </c>
      <c r="G452" s="6">
        <f t="shared" si="56"/>
        <v>1.3512499999999998E-2</v>
      </c>
      <c r="H452" s="6">
        <f t="shared" si="57"/>
        <v>0</v>
      </c>
      <c r="I452" s="7">
        <f t="shared" si="58"/>
        <v>-23.85982885402775</v>
      </c>
      <c r="J452" s="8">
        <f t="shared" si="59"/>
        <v>13512.499999999998</v>
      </c>
      <c r="K452" s="7">
        <f t="shared" si="60"/>
        <v>-13536.359828854025</v>
      </c>
      <c r="L452" s="4">
        <f>IF(A452&gt;'Yield Curve'!A1066,L451,(1+VLOOKUP(A452,'Yield Curve'!A445:B1067,2,FALSE))^(1/12)-1)</f>
        <v>7.9741404289037643E-3</v>
      </c>
      <c r="M452" s="5">
        <f t="shared" si="61"/>
        <v>-398.08199905243401</v>
      </c>
    </row>
    <row r="453" spans="1:13" x14ac:dyDescent="0.25">
      <c r="A453" s="4">
        <v>445</v>
      </c>
      <c r="B453" s="4">
        <f t="shared" si="54"/>
        <v>82</v>
      </c>
      <c r="C453" s="4">
        <f t="shared" si="55"/>
        <v>460</v>
      </c>
      <c r="D453" s="4">
        <f>IF(B453&gt;'Mortality Table'!$A$118,D452,VLOOKUP(B453,'Mortality Table'!$A$2:$B$118,2,FALSE))</f>
        <v>0.16214999999999999</v>
      </c>
      <c r="E453" s="4">
        <f>IF(INT((C453-1)/12)+1&gt;'Lapse Table'!$A$11,E452,VLOOKUP(INT((C453-1)/12)+1,'Lapse Table'!$A$2:$B$11,2,FALSE))/12</f>
        <v>0</v>
      </c>
      <c r="F453" s="5">
        <f t="shared" si="62"/>
        <v>-0.72930736562083254</v>
      </c>
      <c r="G453" s="6">
        <f t="shared" si="56"/>
        <v>1.3512499999999998E-2</v>
      </c>
      <c r="H453" s="6">
        <f t="shared" si="57"/>
        <v>0</v>
      </c>
      <c r="I453" s="7">
        <f t="shared" si="58"/>
        <v>-24.310245520694419</v>
      </c>
      <c r="J453" s="8">
        <f t="shared" si="59"/>
        <v>13512.499999999998</v>
      </c>
      <c r="K453" s="7">
        <f t="shared" si="60"/>
        <v>-13536.810245520692</v>
      </c>
      <c r="L453" s="4">
        <f>IF(A453&gt;'Yield Curve'!A1067,L452,(1+VLOOKUP(A453,'Yield Curve'!A446:B1068,2,FALSE))^(1/12)-1)</f>
        <v>7.9741404289037643E-3</v>
      </c>
      <c r="M453" s="5">
        <f t="shared" si="61"/>
        <v>-394.94589106595123</v>
      </c>
    </row>
    <row r="454" spans="1:13" x14ac:dyDescent="0.25">
      <c r="A454" s="4">
        <v>446</v>
      </c>
      <c r="B454" s="4">
        <f t="shared" si="54"/>
        <v>82</v>
      </c>
      <c r="C454" s="4">
        <f t="shared" si="55"/>
        <v>461</v>
      </c>
      <c r="D454" s="4">
        <f>IF(B454&gt;'Mortality Table'!$A$118,D453,VLOOKUP(B454,'Mortality Table'!$A$2:$B$118,2,FALSE))</f>
        <v>0.16214999999999999</v>
      </c>
      <c r="E454" s="4">
        <f>IF(INT((C454-1)/12)+1&gt;'Lapse Table'!$A$11,E453,VLOOKUP(INT((C454-1)/12)+1,'Lapse Table'!$A$2:$B$11,2,FALSE))/12</f>
        <v>0</v>
      </c>
      <c r="F454" s="5">
        <f t="shared" si="62"/>
        <v>-0.74281986562083258</v>
      </c>
      <c r="G454" s="6">
        <f t="shared" si="56"/>
        <v>1.3512499999999998E-2</v>
      </c>
      <c r="H454" s="6">
        <f t="shared" si="57"/>
        <v>0</v>
      </c>
      <c r="I454" s="7">
        <f t="shared" si="58"/>
        <v>-24.760662187361088</v>
      </c>
      <c r="J454" s="8">
        <f t="shared" si="59"/>
        <v>13512.499999999998</v>
      </c>
      <c r="K454" s="7">
        <f t="shared" si="60"/>
        <v>-13537.26066218736</v>
      </c>
      <c r="L454" s="4">
        <f>IF(A454&gt;'Yield Curve'!A1068,L453,(1+VLOOKUP(A454,'Yield Curve'!A447:B1069,2,FALSE))^(1/12)-1)</f>
        <v>7.9741404289037643E-3</v>
      </c>
      <c r="M454" s="5">
        <f t="shared" si="61"/>
        <v>-391.83448904616552</v>
      </c>
    </row>
    <row r="455" spans="1:13" x14ac:dyDescent="0.25">
      <c r="A455" s="4">
        <v>447</v>
      </c>
      <c r="B455" s="4">
        <f t="shared" si="54"/>
        <v>82</v>
      </c>
      <c r="C455" s="4">
        <f t="shared" si="55"/>
        <v>462</v>
      </c>
      <c r="D455" s="4">
        <f>IF(B455&gt;'Mortality Table'!$A$118,D454,VLOOKUP(B455,'Mortality Table'!$A$2:$B$118,2,FALSE))</f>
        <v>0.16214999999999999</v>
      </c>
      <c r="E455" s="4">
        <f>IF(INT((C455-1)/12)+1&gt;'Lapse Table'!$A$11,E454,VLOOKUP(INT((C455-1)/12)+1,'Lapse Table'!$A$2:$B$11,2,FALSE))/12</f>
        <v>0</v>
      </c>
      <c r="F455" s="5">
        <f t="shared" si="62"/>
        <v>-0.75633236562083261</v>
      </c>
      <c r="G455" s="6">
        <f t="shared" si="56"/>
        <v>1.3512499999999998E-2</v>
      </c>
      <c r="H455" s="6">
        <f t="shared" si="57"/>
        <v>0</v>
      </c>
      <c r="I455" s="7">
        <f t="shared" si="58"/>
        <v>-25.21107885402775</v>
      </c>
      <c r="J455" s="8">
        <f t="shared" si="59"/>
        <v>13512.499999999998</v>
      </c>
      <c r="K455" s="7">
        <f t="shared" si="60"/>
        <v>-13537.711078854027</v>
      </c>
      <c r="L455" s="4">
        <f>IF(A455&gt;'Yield Curve'!A1069,L454,(1+VLOOKUP(A455,'Yield Curve'!A448:B1070,2,FALSE))^(1/12)-1)</f>
        <v>7.9741404289037643E-3</v>
      </c>
      <c r="M455" s="5">
        <f t="shared" si="61"/>
        <v>-388.74759836521758</v>
      </c>
    </row>
    <row r="456" spans="1:13" x14ac:dyDescent="0.25">
      <c r="A456" s="4">
        <v>448</v>
      </c>
      <c r="B456" s="4">
        <f t="shared" si="54"/>
        <v>82</v>
      </c>
      <c r="C456" s="4">
        <f t="shared" si="55"/>
        <v>463</v>
      </c>
      <c r="D456" s="4">
        <f>IF(B456&gt;'Mortality Table'!$A$118,D455,VLOOKUP(B456,'Mortality Table'!$A$2:$B$118,2,FALSE))</f>
        <v>0.16214999999999999</v>
      </c>
      <c r="E456" s="4">
        <f>IF(INT((C456-1)/12)+1&gt;'Lapse Table'!$A$11,E455,VLOOKUP(INT((C456-1)/12)+1,'Lapse Table'!$A$2:$B$11,2,FALSE))/12</f>
        <v>0</v>
      </c>
      <c r="F456" s="5">
        <f t="shared" si="62"/>
        <v>-0.76984486562083265</v>
      </c>
      <c r="G456" s="6">
        <f t="shared" si="56"/>
        <v>1.3512499999999998E-2</v>
      </c>
      <c r="H456" s="6">
        <f t="shared" si="57"/>
        <v>0</v>
      </c>
      <c r="I456" s="7">
        <f t="shared" si="58"/>
        <v>-25.66149552069442</v>
      </c>
      <c r="J456" s="8">
        <f t="shared" si="59"/>
        <v>13512.499999999998</v>
      </c>
      <c r="K456" s="7">
        <f t="shared" si="60"/>
        <v>-13538.161495520693</v>
      </c>
      <c r="L456" s="4">
        <f>IF(A456&gt;'Yield Curve'!A1070,L455,(1+VLOOKUP(A456,'Yield Curve'!A449:B1071,2,FALSE))^(1/12)-1)</f>
        <v>7.9741404289037643E-3</v>
      </c>
      <c r="M456" s="5">
        <f t="shared" si="61"/>
        <v>-385.68502592845419</v>
      </c>
    </row>
    <row r="457" spans="1:13" x14ac:dyDescent="0.25">
      <c r="A457" s="4">
        <v>449</v>
      </c>
      <c r="B457" s="4">
        <f t="shared" si="54"/>
        <v>82</v>
      </c>
      <c r="C457" s="4">
        <f t="shared" si="55"/>
        <v>464</v>
      </c>
      <c r="D457" s="4">
        <f>IF(B457&gt;'Mortality Table'!$A$118,D456,VLOOKUP(B457,'Mortality Table'!$A$2:$B$118,2,FALSE))</f>
        <v>0.16214999999999999</v>
      </c>
      <c r="E457" s="4">
        <f>IF(INT((C457-1)/12)+1&gt;'Lapse Table'!$A$11,E456,VLOOKUP(INT((C457-1)/12)+1,'Lapse Table'!$A$2:$B$11,2,FALSE))/12</f>
        <v>0</v>
      </c>
      <c r="F457" s="5">
        <f t="shared" si="62"/>
        <v>-0.78335736562083269</v>
      </c>
      <c r="G457" s="6">
        <f t="shared" si="56"/>
        <v>1.3512499999999998E-2</v>
      </c>
      <c r="H457" s="6">
        <f t="shared" si="57"/>
        <v>0</v>
      </c>
      <c r="I457" s="7">
        <f t="shared" si="58"/>
        <v>-26.111912187361089</v>
      </c>
      <c r="J457" s="8">
        <f t="shared" si="59"/>
        <v>13512.499999999998</v>
      </c>
      <c r="K457" s="7">
        <f t="shared" si="60"/>
        <v>-13538.61191218736</v>
      </c>
      <c r="L457" s="4">
        <f>IF(A457&gt;'Yield Curve'!A1071,L456,(1+VLOOKUP(A457,'Yield Curve'!A450:B1072,2,FALSE))^(1/12)-1)</f>
        <v>7.9741404289037643E-3</v>
      </c>
      <c r="M457" s="5">
        <f t="shared" si="61"/>
        <v>-382.64658016235035</v>
      </c>
    </row>
    <row r="458" spans="1:13" x14ac:dyDescent="0.25">
      <c r="A458" s="4">
        <v>450</v>
      </c>
      <c r="B458" s="4">
        <f t="shared" ref="B458:B521" si="63">INT($B$3+A458/12)</f>
        <v>82</v>
      </c>
      <c r="C458" s="4">
        <f t="shared" ref="C458:C521" si="64">$B$4+A458</f>
        <v>465</v>
      </c>
      <c r="D458" s="4">
        <f>IF(B458&gt;'Mortality Table'!$A$118,D457,VLOOKUP(B458,'Mortality Table'!$A$2:$B$118,2,FALSE))</f>
        <v>0.16214999999999999</v>
      </c>
      <c r="E458" s="4">
        <f>IF(INT((C458-1)/12)+1&gt;'Lapse Table'!$A$11,E457,VLOOKUP(INT((C458-1)/12)+1,'Lapse Table'!$A$2:$B$11,2,FALSE))/12</f>
        <v>0</v>
      </c>
      <c r="F458" s="5">
        <f t="shared" si="62"/>
        <v>-0.79686986562083273</v>
      </c>
      <c r="G458" s="6">
        <f t="shared" ref="G458:G521" si="65">D458/12*(1-0.5*E458)</f>
        <v>1.3512499999999998E-2</v>
      </c>
      <c r="H458" s="6">
        <f t="shared" ref="H458:H521" si="66">E458*(1-0.5*D458)</f>
        <v>0</v>
      </c>
      <c r="I458" s="7">
        <f t="shared" ref="I458:I521" si="67">F458*$B$5/12</f>
        <v>-26.562328854027758</v>
      </c>
      <c r="J458" s="8">
        <f t="shared" ref="J458:J521" si="68">$B$6*G458</f>
        <v>13512.499999999998</v>
      </c>
      <c r="K458" s="7">
        <f t="shared" ref="K458:K521" si="69">I458-J458</f>
        <v>-13539.062328854026</v>
      </c>
      <c r="L458" s="4">
        <f>IF(A458&gt;'Yield Curve'!A1072,L457,(1+VLOOKUP(A458,'Yield Curve'!A451:B1073,2,FALSE))^(1/12)-1)</f>
        <v>7.9741404289037643E-3</v>
      </c>
      <c r="M458" s="5">
        <f t="shared" ref="M458:M521" si="70">K458*(1+L458)^-A458</f>
        <v>-379.63207100252555</v>
      </c>
    </row>
    <row r="459" spans="1:13" x14ac:dyDescent="0.25">
      <c r="A459" s="4">
        <v>451</v>
      </c>
      <c r="B459" s="4">
        <f t="shared" si="63"/>
        <v>82</v>
      </c>
      <c r="C459" s="4">
        <f t="shared" si="64"/>
        <v>466</v>
      </c>
      <c r="D459" s="4">
        <f>IF(B459&gt;'Mortality Table'!$A$118,D458,VLOOKUP(B459,'Mortality Table'!$A$2:$B$118,2,FALSE))</f>
        <v>0.16214999999999999</v>
      </c>
      <c r="E459" s="4">
        <f>IF(INT((C459-1)/12)+1&gt;'Lapse Table'!$A$11,E458,VLOOKUP(INT((C459-1)/12)+1,'Lapse Table'!$A$2:$B$11,2,FALSE))/12</f>
        <v>0</v>
      </c>
      <c r="F459" s="5">
        <f t="shared" ref="F459:F522" si="71">F458-G459-H459</f>
        <v>-0.81038236562083277</v>
      </c>
      <c r="G459" s="6">
        <f t="shared" si="65"/>
        <v>1.3512499999999998E-2</v>
      </c>
      <c r="H459" s="6">
        <f t="shared" si="66"/>
        <v>0</v>
      </c>
      <c r="I459" s="7">
        <f t="shared" si="67"/>
        <v>-27.012745520694423</v>
      </c>
      <c r="J459" s="8">
        <f t="shared" si="68"/>
        <v>13512.499999999998</v>
      </c>
      <c r="K459" s="7">
        <f t="shared" si="69"/>
        <v>-13539.512745520693</v>
      </c>
      <c r="L459" s="4">
        <f>IF(A459&gt;'Yield Curve'!A1073,L458,(1+VLOOKUP(A459,'Yield Curve'!A452:B1074,2,FALSE))^(1/12)-1)</f>
        <v>7.9741404289037643E-3</v>
      </c>
      <c r="M459" s="5">
        <f t="shared" si="70"/>
        <v>-376.64130988185644</v>
      </c>
    </row>
    <row r="460" spans="1:13" x14ac:dyDescent="0.25">
      <c r="A460" s="4">
        <v>452</v>
      </c>
      <c r="B460" s="4">
        <f t="shared" si="63"/>
        <v>82</v>
      </c>
      <c r="C460" s="4">
        <f t="shared" si="64"/>
        <v>467</v>
      </c>
      <c r="D460" s="4">
        <f>IF(B460&gt;'Mortality Table'!$A$118,D459,VLOOKUP(B460,'Mortality Table'!$A$2:$B$118,2,FALSE))</f>
        <v>0.16214999999999999</v>
      </c>
      <c r="E460" s="4">
        <f>IF(INT((C460-1)/12)+1&gt;'Lapse Table'!$A$11,E459,VLOOKUP(INT((C460-1)/12)+1,'Lapse Table'!$A$2:$B$11,2,FALSE))/12</f>
        <v>0</v>
      </c>
      <c r="F460" s="5">
        <f t="shared" si="71"/>
        <v>-0.82389486562083281</v>
      </c>
      <c r="G460" s="6">
        <f t="shared" si="65"/>
        <v>1.3512499999999998E-2</v>
      </c>
      <c r="H460" s="6">
        <f t="shared" si="66"/>
        <v>0</v>
      </c>
      <c r="I460" s="7">
        <f t="shared" si="67"/>
        <v>-27.463162187361092</v>
      </c>
      <c r="J460" s="8">
        <f t="shared" si="68"/>
        <v>13512.499999999998</v>
      </c>
      <c r="K460" s="7">
        <f t="shared" si="69"/>
        <v>-13539.96316218736</v>
      </c>
      <c r="L460" s="4">
        <f>IF(A460&gt;'Yield Curve'!A1074,L459,(1+VLOOKUP(A460,'Yield Curve'!A453:B1075,2,FALSE))^(1/12)-1)</f>
        <v>7.9741404289037643E-3</v>
      </c>
      <c r="M460" s="5">
        <f t="shared" si="70"/>
        <v>-373.67410971868179</v>
      </c>
    </row>
    <row r="461" spans="1:13" x14ac:dyDescent="0.25">
      <c r="A461" s="4">
        <v>453</v>
      </c>
      <c r="B461" s="4">
        <f t="shared" si="63"/>
        <v>82</v>
      </c>
      <c r="C461" s="4">
        <f t="shared" si="64"/>
        <v>468</v>
      </c>
      <c r="D461" s="4">
        <f>IF(B461&gt;'Mortality Table'!$A$118,D460,VLOOKUP(B461,'Mortality Table'!$A$2:$B$118,2,FALSE))</f>
        <v>0.16214999999999999</v>
      </c>
      <c r="E461" s="4">
        <f>IF(INT((C461-1)/12)+1&gt;'Lapse Table'!$A$11,E460,VLOOKUP(INT((C461-1)/12)+1,'Lapse Table'!$A$2:$B$11,2,FALSE))/12</f>
        <v>0</v>
      </c>
      <c r="F461" s="5">
        <f t="shared" si="71"/>
        <v>-0.83740736562083284</v>
      </c>
      <c r="G461" s="6">
        <f t="shared" si="65"/>
        <v>1.3512499999999998E-2</v>
      </c>
      <c r="H461" s="6">
        <f t="shared" si="66"/>
        <v>0</v>
      </c>
      <c r="I461" s="7">
        <f t="shared" si="67"/>
        <v>-27.913578854027762</v>
      </c>
      <c r="J461" s="8">
        <f t="shared" si="68"/>
        <v>13512.499999999998</v>
      </c>
      <c r="K461" s="7">
        <f t="shared" si="69"/>
        <v>-13540.413578854026</v>
      </c>
      <c r="L461" s="4">
        <f>IF(A461&gt;'Yield Curve'!A1075,L460,(1+VLOOKUP(A461,'Yield Curve'!A454:B1076,2,FALSE))^(1/12)-1)</f>
        <v>7.9741404289037643E-3</v>
      </c>
      <c r="M461" s="5">
        <f t="shared" si="70"/>
        <v>-370.73028490510114</v>
      </c>
    </row>
    <row r="462" spans="1:13" x14ac:dyDescent="0.25">
      <c r="A462" s="4">
        <v>454</v>
      </c>
      <c r="B462" s="4">
        <f t="shared" si="63"/>
        <v>82</v>
      </c>
      <c r="C462" s="4">
        <f t="shared" si="64"/>
        <v>469</v>
      </c>
      <c r="D462" s="4">
        <f>IF(B462&gt;'Mortality Table'!$A$118,D461,VLOOKUP(B462,'Mortality Table'!$A$2:$B$118,2,FALSE))</f>
        <v>0.16214999999999999</v>
      </c>
      <c r="E462" s="4">
        <f>IF(INT((C462-1)/12)+1&gt;'Lapse Table'!$A$11,E461,VLOOKUP(INT((C462-1)/12)+1,'Lapse Table'!$A$2:$B$11,2,FALSE))/12</f>
        <v>0</v>
      </c>
      <c r="F462" s="5">
        <f t="shared" si="71"/>
        <v>-0.85091986562083288</v>
      </c>
      <c r="G462" s="6">
        <f t="shared" si="65"/>
        <v>1.3512499999999998E-2</v>
      </c>
      <c r="H462" s="6">
        <f t="shared" si="66"/>
        <v>0</v>
      </c>
      <c r="I462" s="7">
        <f t="shared" si="67"/>
        <v>-28.363995520694431</v>
      </c>
      <c r="J462" s="8">
        <f t="shared" si="68"/>
        <v>13512.499999999998</v>
      </c>
      <c r="K462" s="7">
        <f t="shared" si="69"/>
        <v>-13540.863995520693</v>
      </c>
      <c r="L462" s="4">
        <f>IF(A462&gt;'Yield Curve'!A1076,L461,(1+VLOOKUP(A462,'Yield Curve'!A455:B1077,2,FALSE))^(1/12)-1)</f>
        <v>7.9741404289037643E-3</v>
      </c>
      <c r="M462" s="5">
        <f t="shared" si="70"/>
        <v>-367.80965129536514</v>
      </c>
    </row>
    <row r="463" spans="1:13" x14ac:dyDescent="0.25">
      <c r="A463" s="4">
        <v>455</v>
      </c>
      <c r="B463" s="4">
        <f t="shared" si="63"/>
        <v>82</v>
      </c>
      <c r="C463" s="4">
        <f t="shared" si="64"/>
        <v>470</v>
      </c>
      <c r="D463" s="4">
        <f>IF(B463&gt;'Mortality Table'!$A$118,D462,VLOOKUP(B463,'Mortality Table'!$A$2:$B$118,2,FALSE))</f>
        <v>0.16214999999999999</v>
      </c>
      <c r="E463" s="4">
        <f>IF(INT((C463-1)/12)+1&gt;'Lapse Table'!$A$11,E462,VLOOKUP(INT((C463-1)/12)+1,'Lapse Table'!$A$2:$B$11,2,FALSE))/12</f>
        <v>0</v>
      </c>
      <c r="F463" s="5">
        <f t="shared" si="71"/>
        <v>-0.86443236562083292</v>
      </c>
      <c r="G463" s="6">
        <f t="shared" si="65"/>
        <v>1.3512499999999998E-2</v>
      </c>
      <c r="H463" s="6">
        <f t="shared" si="66"/>
        <v>0</v>
      </c>
      <c r="I463" s="7">
        <f t="shared" si="67"/>
        <v>-28.814412187361096</v>
      </c>
      <c r="J463" s="8">
        <f t="shared" si="68"/>
        <v>13512.499999999998</v>
      </c>
      <c r="K463" s="7">
        <f t="shared" si="69"/>
        <v>-13541.314412187359</v>
      </c>
      <c r="L463" s="4">
        <f>IF(A463&gt;'Yield Curve'!A1077,L462,(1+VLOOKUP(A463,'Yield Curve'!A456:B1078,2,FALSE))^(1/12)-1)</f>
        <v>7.9741404289037643E-3</v>
      </c>
      <c r="M463" s="5">
        <f t="shared" si="70"/>
        <v>-364.91202619435694</v>
      </c>
    </row>
    <row r="464" spans="1:13" x14ac:dyDescent="0.25">
      <c r="A464" s="4">
        <v>456</v>
      </c>
      <c r="B464" s="4">
        <f t="shared" si="63"/>
        <v>83</v>
      </c>
      <c r="C464" s="4">
        <f t="shared" si="64"/>
        <v>471</v>
      </c>
      <c r="D464" s="4">
        <f>IF(B464&gt;'Mortality Table'!$A$118,D463,VLOOKUP(B464,'Mortality Table'!$A$2:$B$118,2,FALSE))</f>
        <v>0.17538000000000001</v>
      </c>
      <c r="E464" s="4">
        <f>IF(INT((C464-1)/12)+1&gt;'Lapse Table'!$A$11,E463,VLOOKUP(INT((C464-1)/12)+1,'Lapse Table'!$A$2:$B$11,2,FALSE))/12</f>
        <v>0</v>
      </c>
      <c r="F464" s="5">
        <f t="shared" si="71"/>
        <v>-0.87904736562083297</v>
      </c>
      <c r="G464" s="6">
        <f t="shared" si="65"/>
        <v>1.4615000000000001E-2</v>
      </c>
      <c r="H464" s="6">
        <f t="shared" si="66"/>
        <v>0</v>
      </c>
      <c r="I464" s="7">
        <f t="shared" si="67"/>
        <v>-29.301578854027767</v>
      </c>
      <c r="J464" s="8">
        <f t="shared" si="68"/>
        <v>14615.000000000002</v>
      </c>
      <c r="K464" s="7">
        <f t="shared" si="69"/>
        <v>-14644.301578854029</v>
      </c>
      <c r="L464" s="4">
        <f>IF(A464&gt;'Yield Curve'!A1078,L463,(1+VLOOKUP(A464,'Yield Curve'!A457:B1079,2,FALSE))^(1/12)-1)</f>
        <v>7.9741404289037643E-3</v>
      </c>
      <c r="M464" s="5">
        <f t="shared" si="70"/>
        <v>-391.51339738059448</v>
      </c>
    </row>
    <row r="465" spans="1:13" x14ac:dyDescent="0.25">
      <c r="A465" s="4">
        <v>457</v>
      </c>
      <c r="B465" s="4">
        <f t="shared" si="63"/>
        <v>83</v>
      </c>
      <c r="C465" s="4">
        <f t="shared" si="64"/>
        <v>472</v>
      </c>
      <c r="D465" s="4">
        <f>IF(B465&gt;'Mortality Table'!$A$118,D464,VLOOKUP(B465,'Mortality Table'!$A$2:$B$118,2,FALSE))</f>
        <v>0.17538000000000001</v>
      </c>
      <c r="E465" s="4">
        <f>IF(INT((C465-1)/12)+1&gt;'Lapse Table'!$A$11,E464,VLOOKUP(INT((C465-1)/12)+1,'Lapse Table'!$A$2:$B$11,2,FALSE))/12</f>
        <v>0</v>
      </c>
      <c r="F465" s="5">
        <f t="shared" si="71"/>
        <v>-0.89366236562083301</v>
      </c>
      <c r="G465" s="6">
        <f t="shared" si="65"/>
        <v>1.4615000000000001E-2</v>
      </c>
      <c r="H465" s="6">
        <f t="shared" si="66"/>
        <v>0</v>
      </c>
      <c r="I465" s="7">
        <f t="shared" si="67"/>
        <v>-29.788745520694434</v>
      </c>
      <c r="J465" s="8">
        <f t="shared" si="68"/>
        <v>14615.000000000002</v>
      </c>
      <c r="K465" s="7">
        <f t="shared" si="69"/>
        <v>-14644.788745520696</v>
      </c>
      <c r="L465" s="4">
        <f>IF(A465&gt;'Yield Curve'!A1079,L464,(1+VLOOKUP(A465,'Yield Curve'!A458:B1080,2,FALSE))^(1/12)-1)</f>
        <v>7.9741404289037643E-3</v>
      </c>
      <c r="M465" s="5">
        <f t="shared" si="70"/>
        <v>-388.42903405053482</v>
      </c>
    </row>
    <row r="466" spans="1:13" x14ac:dyDescent="0.25">
      <c r="A466" s="4">
        <v>458</v>
      </c>
      <c r="B466" s="4">
        <f t="shared" si="63"/>
        <v>83</v>
      </c>
      <c r="C466" s="4">
        <f t="shared" si="64"/>
        <v>473</v>
      </c>
      <c r="D466" s="4">
        <f>IF(B466&gt;'Mortality Table'!$A$118,D465,VLOOKUP(B466,'Mortality Table'!$A$2:$B$118,2,FALSE))</f>
        <v>0.17538000000000001</v>
      </c>
      <c r="E466" s="4">
        <f>IF(INT((C466-1)/12)+1&gt;'Lapse Table'!$A$11,E465,VLOOKUP(INT((C466-1)/12)+1,'Lapse Table'!$A$2:$B$11,2,FALSE))/12</f>
        <v>0</v>
      </c>
      <c r="F466" s="5">
        <f t="shared" si="71"/>
        <v>-0.90827736562083305</v>
      </c>
      <c r="G466" s="6">
        <f t="shared" si="65"/>
        <v>1.4615000000000001E-2</v>
      </c>
      <c r="H466" s="6">
        <f t="shared" si="66"/>
        <v>0</v>
      </c>
      <c r="I466" s="7">
        <f t="shared" si="67"/>
        <v>-30.275912187361101</v>
      </c>
      <c r="J466" s="8">
        <f t="shared" si="68"/>
        <v>14615.000000000002</v>
      </c>
      <c r="K466" s="7">
        <f t="shared" si="69"/>
        <v>-14645.275912187362</v>
      </c>
      <c r="L466" s="4">
        <f>IF(A466&gt;'Yield Curve'!A1080,L465,(1+VLOOKUP(A466,'Yield Curve'!A459:B1081,2,FALSE))^(1/12)-1)</f>
        <v>7.9741404289037643E-3</v>
      </c>
      <c r="M466" s="5">
        <f t="shared" si="70"/>
        <v>-385.36896907209109</v>
      </c>
    </row>
    <row r="467" spans="1:13" x14ac:dyDescent="0.25">
      <c r="A467" s="4">
        <v>459</v>
      </c>
      <c r="B467" s="4">
        <f t="shared" si="63"/>
        <v>83</v>
      </c>
      <c r="C467" s="4">
        <f t="shared" si="64"/>
        <v>474</v>
      </c>
      <c r="D467" s="4">
        <f>IF(B467&gt;'Mortality Table'!$A$118,D466,VLOOKUP(B467,'Mortality Table'!$A$2:$B$118,2,FALSE))</f>
        <v>0.17538000000000001</v>
      </c>
      <c r="E467" s="4">
        <f>IF(INT((C467-1)/12)+1&gt;'Lapse Table'!$A$11,E466,VLOOKUP(INT((C467-1)/12)+1,'Lapse Table'!$A$2:$B$11,2,FALSE))/12</f>
        <v>0</v>
      </c>
      <c r="F467" s="5">
        <f t="shared" si="71"/>
        <v>-0.9228923656208331</v>
      </c>
      <c r="G467" s="6">
        <f t="shared" si="65"/>
        <v>1.4615000000000001E-2</v>
      </c>
      <c r="H467" s="6">
        <f t="shared" si="66"/>
        <v>0</v>
      </c>
      <c r="I467" s="7">
        <f t="shared" si="67"/>
        <v>-30.763078854027768</v>
      </c>
      <c r="J467" s="8">
        <f t="shared" si="68"/>
        <v>14615.000000000002</v>
      </c>
      <c r="K467" s="7">
        <f t="shared" si="69"/>
        <v>-14645.76307885403</v>
      </c>
      <c r="L467" s="4">
        <f>IF(A467&gt;'Yield Curve'!A1081,L466,(1+VLOOKUP(A467,'Yield Curve'!A460:B1082,2,FALSE))^(1/12)-1)</f>
        <v>7.9741404289037643E-3</v>
      </c>
      <c r="M467" s="5">
        <f t="shared" si="70"/>
        <v>-382.33301102830643</v>
      </c>
    </row>
    <row r="468" spans="1:13" x14ac:dyDescent="0.25">
      <c r="A468" s="4">
        <v>460</v>
      </c>
      <c r="B468" s="4">
        <f t="shared" si="63"/>
        <v>83</v>
      </c>
      <c r="C468" s="4">
        <f t="shared" si="64"/>
        <v>475</v>
      </c>
      <c r="D468" s="4">
        <f>IF(B468&gt;'Mortality Table'!$A$118,D467,VLOOKUP(B468,'Mortality Table'!$A$2:$B$118,2,FALSE))</f>
        <v>0.17538000000000001</v>
      </c>
      <c r="E468" s="4">
        <f>IF(INT((C468-1)/12)+1&gt;'Lapse Table'!$A$11,E467,VLOOKUP(INT((C468-1)/12)+1,'Lapse Table'!$A$2:$B$11,2,FALSE))/12</f>
        <v>0</v>
      </c>
      <c r="F468" s="5">
        <f t="shared" si="71"/>
        <v>-0.93750736562083314</v>
      </c>
      <c r="G468" s="6">
        <f t="shared" si="65"/>
        <v>1.4615000000000001E-2</v>
      </c>
      <c r="H468" s="6">
        <f t="shared" si="66"/>
        <v>0</v>
      </c>
      <c r="I468" s="7">
        <f t="shared" si="67"/>
        <v>-31.250245520694438</v>
      </c>
      <c r="J468" s="8">
        <f t="shared" si="68"/>
        <v>14615.000000000002</v>
      </c>
      <c r="K468" s="7">
        <f t="shared" si="69"/>
        <v>-14646.250245520696</v>
      </c>
      <c r="L468" s="4">
        <f>IF(A468&gt;'Yield Curve'!A1082,L467,(1+VLOOKUP(A468,'Yield Curve'!A461:B1083,2,FALSE))^(1/12)-1)</f>
        <v>7.9741404289037643E-3</v>
      </c>
      <c r="M468" s="5">
        <f t="shared" si="70"/>
        <v>-379.32097001013705</v>
      </c>
    </row>
    <row r="469" spans="1:13" x14ac:dyDescent="0.25">
      <c r="A469" s="4">
        <v>461</v>
      </c>
      <c r="B469" s="4">
        <f t="shared" si="63"/>
        <v>83</v>
      </c>
      <c r="C469" s="4">
        <f t="shared" si="64"/>
        <v>476</v>
      </c>
      <c r="D469" s="4">
        <f>IF(B469&gt;'Mortality Table'!$A$118,D468,VLOOKUP(B469,'Mortality Table'!$A$2:$B$118,2,FALSE))</f>
        <v>0.17538000000000001</v>
      </c>
      <c r="E469" s="4">
        <f>IF(INT((C469-1)/12)+1&gt;'Lapse Table'!$A$11,E468,VLOOKUP(INT((C469-1)/12)+1,'Lapse Table'!$A$2:$B$11,2,FALSE))/12</f>
        <v>0</v>
      </c>
      <c r="F469" s="5">
        <f t="shared" si="71"/>
        <v>-0.95212236562083319</v>
      </c>
      <c r="G469" s="6">
        <f t="shared" si="65"/>
        <v>1.4615000000000001E-2</v>
      </c>
      <c r="H469" s="6">
        <f t="shared" si="66"/>
        <v>0</v>
      </c>
      <c r="I469" s="7">
        <f t="shared" si="67"/>
        <v>-31.737412187361105</v>
      </c>
      <c r="J469" s="8">
        <f t="shared" si="68"/>
        <v>14615.000000000002</v>
      </c>
      <c r="K469" s="7">
        <f t="shared" si="69"/>
        <v>-14646.737412187364</v>
      </c>
      <c r="L469" s="4">
        <f>IF(A469&gt;'Yield Curve'!A1083,L468,(1+VLOOKUP(A469,'Yield Curve'!A462:B1084,2,FALSE))^(1/12)-1)</f>
        <v>7.9741404289037643E-3</v>
      </c>
      <c r="M469" s="5">
        <f t="shared" si="70"/>
        <v>-376.33265760457357</v>
      </c>
    </row>
    <row r="470" spans="1:13" x14ac:dyDescent="0.25">
      <c r="A470" s="4">
        <v>462</v>
      </c>
      <c r="B470" s="4">
        <f t="shared" si="63"/>
        <v>83</v>
      </c>
      <c r="C470" s="4">
        <f t="shared" si="64"/>
        <v>477</v>
      </c>
      <c r="D470" s="4">
        <f>IF(B470&gt;'Mortality Table'!$A$118,D469,VLOOKUP(B470,'Mortality Table'!$A$2:$B$118,2,FALSE))</f>
        <v>0.17538000000000001</v>
      </c>
      <c r="E470" s="4">
        <f>IF(INT((C470-1)/12)+1&gt;'Lapse Table'!$A$11,E469,VLOOKUP(INT((C470-1)/12)+1,'Lapse Table'!$A$2:$B$11,2,FALSE))/12</f>
        <v>0</v>
      </c>
      <c r="F470" s="5">
        <f t="shared" si="71"/>
        <v>-0.96673736562083323</v>
      </c>
      <c r="G470" s="6">
        <f t="shared" si="65"/>
        <v>1.4615000000000001E-2</v>
      </c>
      <c r="H470" s="6">
        <f t="shared" si="66"/>
        <v>0</v>
      </c>
      <c r="I470" s="7">
        <f t="shared" si="67"/>
        <v>-32.224578854027776</v>
      </c>
      <c r="J470" s="8">
        <f t="shared" si="68"/>
        <v>14615.000000000002</v>
      </c>
      <c r="K470" s="7">
        <f t="shared" si="69"/>
        <v>-14647.224578854029</v>
      </c>
      <c r="L470" s="4">
        <f>IF(A470&gt;'Yield Curve'!A1084,L469,(1+VLOOKUP(A470,'Yield Curve'!A463:B1085,2,FALSE))^(1/12)-1)</f>
        <v>7.9741404289037643E-3</v>
      </c>
      <c r="M470" s="5">
        <f t="shared" si="70"/>
        <v>-373.36788688285532</v>
      </c>
    </row>
    <row r="471" spans="1:13" x14ac:dyDescent="0.25">
      <c r="A471" s="4">
        <v>463</v>
      </c>
      <c r="B471" s="4">
        <f t="shared" si="63"/>
        <v>83</v>
      </c>
      <c r="C471" s="4">
        <f t="shared" si="64"/>
        <v>478</v>
      </c>
      <c r="D471" s="4">
        <f>IF(B471&gt;'Mortality Table'!$A$118,D470,VLOOKUP(B471,'Mortality Table'!$A$2:$B$118,2,FALSE))</f>
        <v>0.17538000000000001</v>
      </c>
      <c r="E471" s="4">
        <f>IF(INT((C471-1)/12)+1&gt;'Lapse Table'!$A$11,E470,VLOOKUP(INT((C471-1)/12)+1,'Lapse Table'!$A$2:$B$11,2,FALSE))/12</f>
        <v>0</v>
      </c>
      <c r="F471" s="5">
        <f t="shared" si="71"/>
        <v>-0.98135236562083328</v>
      </c>
      <c r="G471" s="6">
        <f t="shared" si="65"/>
        <v>1.4615000000000001E-2</v>
      </c>
      <c r="H471" s="6">
        <f t="shared" si="66"/>
        <v>0</v>
      </c>
      <c r="I471" s="7">
        <f t="shared" si="67"/>
        <v>-32.711745520694443</v>
      </c>
      <c r="J471" s="8">
        <f t="shared" si="68"/>
        <v>14615.000000000002</v>
      </c>
      <c r="K471" s="7">
        <f t="shared" si="69"/>
        <v>-14647.711745520697</v>
      </c>
      <c r="L471" s="4">
        <f>IF(A471&gt;'Yield Curve'!A1085,L470,(1+VLOOKUP(A471,'Yield Curve'!A464:B1086,2,FALSE))^(1/12)-1)</f>
        <v>7.9741404289037643E-3</v>
      </c>
      <c r="M471" s="5">
        <f t="shared" si="70"/>
        <v>-370.4264723887797</v>
      </c>
    </row>
    <row r="472" spans="1:13" x14ac:dyDescent="0.25">
      <c r="A472" s="4">
        <v>464</v>
      </c>
      <c r="B472" s="4">
        <f t="shared" si="63"/>
        <v>83</v>
      </c>
      <c r="C472" s="4">
        <f t="shared" si="64"/>
        <v>479</v>
      </c>
      <c r="D472" s="4">
        <f>IF(B472&gt;'Mortality Table'!$A$118,D471,VLOOKUP(B472,'Mortality Table'!$A$2:$B$118,2,FALSE))</f>
        <v>0.17538000000000001</v>
      </c>
      <c r="E472" s="4">
        <f>IF(INT((C472-1)/12)+1&gt;'Lapse Table'!$A$11,E471,VLOOKUP(INT((C472-1)/12)+1,'Lapse Table'!$A$2:$B$11,2,FALSE))/12</f>
        <v>0</v>
      </c>
      <c r="F472" s="5">
        <f t="shared" si="71"/>
        <v>-0.99596736562083332</v>
      </c>
      <c r="G472" s="6">
        <f t="shared" si="65"/>
        <v>1.4615000000000001E-2</v>
      </c>
      <c r="H472" s="6">
        <f t="shared" si="66"/>
        <v>0</v>
      </c>
      <c r="I472" s="7">
        <f t="shared" si="67"/>
        <v>-33.19891218736111</v>
      </c>
      <c r="J472" s="8">
        <f t="shared" si="68"/>
        <v>14615.000000000002</v>
      </c>
      <c r="K472" s="7">
        <f t="shared" si="69"/>
        <v>-14648.198912187363</v>
      </c>
      <c r="L472" s="4">
        <f>IF(A472&gt;'Yield Curve'!A1086,L471,(1+VLOOKUP(A472,'Yield Curve'!A465:B1087,2,FALSE))^(1/12)-1)</f>
        <v>7.9741404289037643E-3</v>
      </c>
      <c r="M472" s="5">
        <f t="shared" si="70"/>
        <v>-367.50823012710032</v>
      </c>
    </row>
    <row r="473" spans="1:13" x14ac:dyDescent="0.25">
      <c r="A473" s="4">
        <v>465</v>
      </c>
      <c r="B473" s="4">
        <f t="shared" si="63"/>
        <v>83</v>
      </c>
      <c r="C473" s="4">
        <f t="shared" si="64"/>
        <v>480</v>
      </c>
      <c r="D473" s="4">
        <f>IF(B473&gt;'Mortality Table'!$A$118,D472,VLOOKUP(B473,'Mortality Table'!$A$2:$B$118,2,FALSE))</f>
        <v>0.17538000000000001</v>
      </c>
      <c r="E473" s="4">
        <f>IF(INT((C473-1)/12)+1&gt;'Lapse Table'!$A$11,E472,VLOOKUP(INT((C473-1)/12)+1,'Lapse Table'!$A$2:$B$11,2,FALSE))/12</f>
        <v>0</v>
      </c>
      <c r="F473" s="5">
        <f t="shared" si="71"/>
        <v>-1.0105823656208333</v>
      </c>
      <c r="G473" s="6">
        <f t="shared" si="65"/>
        <v>1.4615000000000001E-2</v>
      </c>
      <c r="H473" s="6">
        <f t="shared" si="66"/>
        <v>0</v>
      </c>
      <c r="I473" s="7">
        <f t="shared" si="67"/>
        <v>-33.686078854027777</v>
      </c>
      <c r="J473" s="8">
        <f t="shared" si="68"/>
        <v>14615.000000000002</v>
      </c>
      <c r="K473" s="7">
        <f t="shared" si="69"/>
        <v>-14648.686078854029</v>
      </c>
      <c r="L473" s="4">
        <f>IF(A473&gt;'Yield Curve'!A1087,L472,(1+VLOOKUP(A473,'Yield Curve'!A466:B1088,2,FALSE))^(1/12)-1)</f>
        <v>7.9741404289037643E-3</v>
      </c>
      <c r="M473" s="5">
        <f t="shared" si="70"/>
        <v>-364.61297755201969</v>
      </c>
    </row>
    <row r="474" spans="1:13" x14ac:dyDescent="0.25">
      <c r="A474" s="4">
        <v>466</v>
      </c>
      <c r="B474" s="4">
        <f t="shared" si="63"/>
        <v>83</v>
      </c>
      <c r="C474" s="4">
        <f t="shared" si="64"/>
        <v>481</v>
      </c>
      <c r="D474" s="4">
        <f>IF(B474&gt;'Mortality Table'!$A$118,D473,VLOOKUP(B474,'Mortality Table'!$A$2:$B$118,2,FALSE))</f>
        <v>0.17538000000000001</v>
      </c>
      <c r="E474" s="4">
        <f>IF(INT((C474-1)/12)+1&gt;'Lapse Table'!$A$11,E473,VLOOKUP(INT((C474-1)/12)+1,'Lapse Table'!$A$2:$B$11,2,FALSE))/12</f>
        <v>0</v>
      </c>
      <c r="F474" s="5">
        <f t="shared" si="71"/>
        <v>-1.0251973656208333</v>
      </c>
      <c r="G474" s="6">
        <f t="shared" si="65"/>
        <v>1.4615000000000001E-2</v>
      </c>
      <c r="H474" s="6">
        <f t="shared" si="66"/>
        <v>0</v>
      </c>
      <c r="I474" s="7">
        <f t="shared" si="67"/>
        <v>-34.173245520694444</v>
      </c>
      <c r="J474" s="8">
        <f t="shared" si="68"/>
        <v>14615.000000000002</v>
      </c>
      <c r="K474" s="7">
        <f t="shared" si="69"/>
        <v>-14649.173245520697</v>
      </c>
      <c r="L474" s="4">
        <f>IF(A474&gt;'Yield Curve'!A1088,L473,(1+VLOOKUP(A474,'Yield Curve'!A467:B1089,2,FALSE))^(1/12)-1)</f>
        <v>7.9741404289037643E-3</v>
      </c>
      <c r="M474" s="5">
        <f t="shared" si="70"/>
        <v>-361.74053355577064</v>
      </c>
    </row>
    <row r="475" spans="1:13" x14ac:dyDescent="0.25">
      <c r="A475" s="4">
        <v>467</v>
      </c>
      <c r="B475" s="4">
        <f t="shared" si="63"/>
        <v>83</v>
      </c>
      <c r="C475" s="4">
        <f t="shared" si="64"/>
        <v>482</v>
      </c>
      <c r="D475" s="4">
        <f>IF(B475&gt;'Mortality Table'!$A$118,D474,VLOOKUP(B475,'Mortality Table'!$A$2:$B$118,2,FALSE))</f>
        <v>0.17538000000000001</v>
      </c>
      <c r="E475" s="4">
        <f>IF(INT((C475-1)/12)+1&gt;'Lapse Table'!$A$11,E474,VLOOKUP(INT((C475-1)/12)+1,'Lapse Table'!$A$2:$B$11,2,FALSE))/12</f>
        <v>0</v>
      </c>
      <c r="F475" s="5">
        <f t="shared" si="71"/>
        <v>-1.0398123656208333</v>
      </c>
      <c r="G475" s="6">
        <f t="shared" si="65"/>
        <v>1.4615000000000001E-2</v>
      </c>
      <c r="H475" s="6">
        <f t="shared" si="66"/>
        <v>0</v>
      </c>
      <c r="I475" s="7">
        <f t="shared" si="67"/>
        <v>-34.660412187361111</v>
      </c>
      <c r="J475" s="8">
        <f t="shared" si="68"/>
        <v>14615.000000000002</v>
      </c>
      <c r="K475" s="7">
        <f t="shared" si="69"/>
        <v>-14649.660412187362</v>
      </c>
      <c r="L475" s="4">
        <f>IF(A475&gt;'Yield Curve'!A1089,L474,(1+VLOOKUP(A475,'Yield Curve'!A468:B1090,2,FALSE))^(1/12)-1)</f>
        <v>7.9741404289037643E-3</v>
      </c>
      <c r="M475" s="5">
        <f t="shared" si="70"/>
        <v>-358.89071845728802</v>
      </c>
    </row>
    <row r="476" spans="1:13" x14ac:dyDescent="0.25">
      <c r="A476" s="4">
        <v>468</v>
      </c>
      <c r="B476" s="4">
        <f t="shared" si="63"/>
        <v>84</v>
      </c>
      <c r="C476" s="4">
        <f t="shared" si="64"/>
        <v>483</v>
      </c>
      <c r="D476" s="4">
        <f>IF(B476&gt;'Mortality Table'!$A$118,D475,VLOOKUP(B476,'Mortality Table'!$A$2:$B$118,2,FALSE))</f>
        <v>0.18956999999999999</v>
      </c>
      <c r="E476" s="4">
        <f>IF(INT((C476-1)/12)+1&gt;'Lapse Table'!$A$11,E475,VLOOKUP(INT((C476-1)/12)+1,'Lapse Table'!$A$2:$B$11,2,FALSE))/12</f>
        <v>0</v>
      </c>
      <c r="F476" s="5">
        <f t="shared" si="71"/>
        <v>-1.0556098656208333</v>
      </c>
      <c r="G476" s="6">
        <f t="shared" si="65"/>
        <v>1.5797499999999999E-2</v>
      </c>
      <c r="H476" s="6">
        <f t="shared" si="66"/>
        <v>0</v>
      </c>
      <c r="I476" s="7">
        <f t="shared" si="67"/>
        <v>-35.186995520694445</v>
      </c>
      <c r="J476" s="8">
        <f t="shared" si="68"/>
        <v>15797.499999999998</v>
      </c>
      <c r="K476" s="7">
        <f t="shared" si="69"/>
        <v>-15832.686995520693</v>
      </c>
      <c r="L476" s="4">
        <f>IF(A476&gt;'Yield Curve'!A1090,L475,(1+VLOOKUP(A476,'Yield Curve'!A469:B1091,2,FALSE))^(1/12)-1)</f>
        <v>7.9741404289037643E-3</v>
      </c>
      <c r="M476" s="5">
        <f t="shared" si="70"/>
        <v>-384.8042897841778</v>
      </c>
    </row>
    <row r="477" spans="1:13" x14ac:dyDescent="0.25">
      <c r="A477" s="4">
        <v>469</v>
      </c>
      <c r="B477" s="4">
        <f t="shared" si="63"/>
        <v>84</v>
      </c>
      <c r="C477" s="4">
        <f t="shared" si="64"/>
        <v>484</v>
      </c>
      <c r="D477" s="4">
        <f>IF(B477&gt;'Mortality Table'!$A$118,D476,VLOOKUP(B477,'Mortality Table'!$A$2:$B$118,2,FALSE))</f>
        <v>0.18956999999999999</v>
      </c>
      <c r="E477" s="4">
        <f>IF(INT((C477-1)/12)+1&gt;'Lapse Table'!$A$11,E476,VLOOKUP(INT((C477-1)/12)+1,'Lapse Table'!$A$2:$B$11,2,FALSE))/12</f>
        <v>0</v>
      </c>
      <c r="F477" s="5">
        <f t="shared" si="71"/>
        <v>-1.0714073656208332</v>
      </c>
      <c r="G477" s="6">
        <f t="shared" si="65"/>
        <v>1.5797499999999999E-2</v>
      </c>
      <c r="H477" s="6">
        <f t="shared" si="66"/>
        <v>0</v>
      </c>
      <c r="I477" s="7">
        <f t="shared" si="67"/>
        <v>-35.713578854027773</v>
      </c>
      <c r="J477" s="8">
        <f t="shared" si="68"/>
        <v>15797.499999999998</v>
      </c>
      <c r="K477" s="7">
        <f t="shared" si="69"/>
        <v>-15833.213578854025</v>
      </c>
      <c r="L477" s="4">
        <f>IF(A477&gt;'Yield Curve'!A1091,L476,(1+VLOOKUP(A477,'Yield Curve'!A470:B1092,2,FALSE))^(1/12)-1)</f>
        <v>7.9741404289037643E-3</v>
      </c>
      <c r="M477" s="5">
        <f t="shared" si="70"/>
        <v>-381.77277834076352</v>
      </c>
    </row>
    <row r="478" spans="1:13" x14ac:dyDescent="0.25">
      <c r="A478" s="4">
        <v>470</v>
      </c>
      <c r="B478" s="4">
        <f t="shared" si="63"/>
        <v>84</v>
      </c>
      <c r="C478" s="4">
        <f t="shared" si="64"/>
        <v>485</v>
      </c>
      <c r="D478" s="4">
        <f>IF(B478&gt;'Mortality Table'!$A$118,D477,VLOOKUP(B478,'Mortality Table'!$A$2:$B$118,2,FALSE))</f>
        <v>0.18956999999999999</v>
      </c>
      <c r="E478" s="4">
        <f>IF(INT((C478-1)/12)+1&gt;'Lapse Table'!$A$11,E477,VLOOKUP(INT((C478-1)/12)+1,'Lapse Table'!$A$2:$B$11,2,FALSE))/12</f>
        <v>0</v>
      </c>
      <c r="F478" s="5">
        <f t="shared" si="71"/>
        <v>-1.0872048656208331</v>
      </c>
      <c r="G478" s="6">
        <f t="shared" si="65"/>
        <v>1.5797499999999999E-2</v>
      </c>
      <c r="H478" s="6">
        <f t="shared" si="66"/>
        <v>0</v>
      </c>
      <c r="I478" s="7">
        <f t="shared" si="67"/>
        <v>-36.240162187361101</v>
      </c>
      <c r="J478" s="8">
        <f t="shared" si="68"/>
        <v>15797.499999999998</v>
      </c>
      <c r="K478" s="7">
        <f t="shared" si="69"/>
        <v>-15833.74016218736</v>
      </c>
      <c r="L478" s="4">
        <f>IF(A478&gt;'Yield Curve'!A1092,L477,(1+VLOOKUP(A478,'Yield Curve'!A471:B1093,2,FALSE))^(1/12)-1)</f>
        <v>7.9741404289037643E-3</v>
      </c>
      <c r="M478" s="5">
        <f t="shared" si="70"/>
        <v>-378.76514890869981</v>
      </c>
    </row>
    <row r="479" spans="1:13" x14ac:dyDescent="0.25">
      <c r="A479" s="4">
        <v>471</v>
      </c>
      <c r="B479" s="4">
        <f t="shared" si="63"/>
        <v>84</v>
      </c>
      <c r="C479" s="4">
        <f t="shared" si="64"/>
        <v>486</v>
      </c>
      <c r="D479" s="4">
        <f>IF(B479&gt;'Mortality Table'!$A$118,D478,VLOOKUP(B479,'Mortality Table'!$A$2:$B$118,2,FALSE))</f>
        <v>0.18956999999999999</v>
      </c>
      <c r="E479" s="4">
        <f>IF(INT((C479-1)/12)+1&gt;'Lapse Table'!$A$11,E478,VLOOKUP(INT((C479-1)/12)+1,'Lapse Table'!$A$2:$B$11,2,FALSE))/12</f>
        <v>0</v>
      </c>
      <c r="F479" s="5">
        <f t="shared" si="71"/>
        <v>-1.103002365620833</v>
      </c>
      <c r="G479" s="6">
        <f t="shared" si="65"/>
        <v>1.5797499999999999E-2</v>
      </c>
      <c r="H479" s="6">
        <f t="shared" si="66"/>
        <v>0</v>
      </c>
      <c r="I479" s="7">
        <f t="shared" si="67"/>
        <v>-36.766745520694435</v>
      </c>
      <c r="J479" s="8">
        <f t="shared" si="68"/>
        <v>15797.499999999998</v>
      </c>
      <c r="K479" s="7">
        <f t="shared" si="69"/>
        <v>-15834.266745520692</v>
      </c>
      <c r="L479" s="4">
        <f>IF(A479&gt;'Yield Curve'!A1093,L478,(1+VLOOKUP(A479,'Yield Curve'!A472:B1094,2,FALSE))^(1/12)-1)</f>
        <v>7.9741404289037643E-3</v>
      </c>
      <c r="M479" s="5">
        <f t="shared" si="70"/>
        <v>-375.78121335068704</v>
      </c>
    </row>
    <row r="480" spans="1:13" x14ac:dyDescent="0.25">
      <c r="A480" s="4">
        <v>472</v>
      </c>
      <c r="B480" s="4">
        <f t="shared" si="63"/>
        <v>84</v>
      </c>
      <c r="C480" s="4">
        <f t="shared" si="64"/>
        <v>487</v>
      </c>
      <c r="D480" s="4">
        <f>IF(B480&gt;'Mortality Table'!$A$118,D479,VLOOKUP(B480,'Mortality Table'!$A$2:$B$118,2,FALSE))</f>
        <v>0.18956999999999999</v>
      </c>
      <c r="E480" s="4">
        <f>IF(INT((C480-1)/12)+1&gt;'Lapse Table'!$A$11,E479,VLOOKUP(INT((C480-1)/12)+1,'Lapse Table'!$A$2:$B$11,2,FALSE))/12</f>
        <v>0</v>
      </c>
      <c r="F480" s="5">
        <f t="shared" si="71"/>
        <v>-1.1187998656208329</v>
      </c>
      <c r="G480" s="6">
        <f t="shared" si="65"/>
        <v>1.5797499999999999E-2</v>
      </c>
      <c r="H480" s="6">
        <f t="shared" si="66"/>
        <v>0</v>
      </c>
      <c r="I480" s="7">
        <f t="shared" si="67"/>
        <v>-37.293328854027763</v>
      </c>
      <c r="J480" s="8">
        <f t="shared" si="68"/>
        <v>15797.499999999998</v>
      </c>
      <c r="K480" s="7">
        <f t="shared" si="69"/>
        <v>-15834.793328854026</v>
      </c>
      <c r="L480" s="4">
        <f>IF(A480&gt;'Yield Curve'!A1094,L479,(1+VLOOKUP(A480,'Yield Curve'!A473:B1095,2,FALSE))^(1/12)-1)</f>
        <v>7.9741404289037643E-3</v>
      </c>
      <c r="M480" s="5">
        <f t="shared" si="70"/>
        <v>-372.82078501150397</v>
      </c>
    </row>
    <row r="481" spans="1:13" x14ac:dyDescent="0.25">
      <c r="A481" s="4">
        <v>473</v>
      </c>
      <c r="B481" s="4">
        <f t="shared" si="63"/>
        <v>84</v>
      </c>
      <c r="C481" s="4">
        <f t="shared" si="64"/>
        <v>488</v>
      </c>
      <c r="D481" s="4">
        <f>IF(B481&gt;'Mortality Table'!$A$118,D480,VLOOKUP(B481,'Mortality Table'!$A$2:$B$118,2,FALSE))</f>
        <v>0.18956999999999999</v>
      </c>
      <c r="E481" s="4">
        <f>IF(INT((C481-1)/12)+1&gt;'Lapse Table'!$A$11,E480,VLOOKUP(INT((C481-1)/12)+1,'Lapse Table'!$A$2:$B$11,2,FALSE))/12</f>
        <v>0</v>
      </c>
      <c r="F481" s="5">
        <f t="shared" si="71"/>
        <v>-1.1345973656208328</v>
      </c>
      <c r="G481" s="6">
        <f t="shared" si="65"/>
        <v>1.5797499999999999E-2</v>
      </c>
      <c r="H481" s="6">
        <f t="shared" si="66"/>
        <v>0</v>
      </c>
      <c r="I481" s="7">
        <f t="shared" si="67"/>
        <v>-37.819912187361091</v>
      </c>
      <c r="J481" s="8">
        <f t="shared" si="68"/>
        <v>15797.499999999998</v>
      </c>
      <c r="K481" s="7">
        <f t="shared" si="69"/>
        <v>-15835.319912187359</v>
      </c>
      <c r="L481" s="4">
        <f>IF(A481&gt;'Yield Curve'!A1095,L480,(1+VLOOKUP(A481,'Yield Curve'!A474:B1096,2,FALSE))^(1/12)-1)</f>
        <v>7.9741404289037643E-3</v>
      </c>
      <c r="M481" s="5">
        <f t="shared" si="70"/>
        <v>-369.88367870633266</v>
      </c>
    </row>
    <row r="482" spans="1:13" x14ac:dyDescent="0.25">
      <c r="A482" s="4">
        <v>474</v>
      </c>
      <c r="B482" s="4">
        <f t="shared" si="63"/>
        <v>84</v>
      </c>
      <c r="C482" s="4">
        <f t="shared" si="64"/>
        <v>489</v>
      </c>
      <c r="D482" s="4">
        <f>IF(B482&gt;'Mortality Table'!$A$118,D481,VLOOKUP(B482,'Mortality Table'!$A$2:$B$118,2,FALSE))</f>
        <v>0.18956999999999999</v>
      </c>
      <c r="E482" s="4">
        <f>IF(INT((C482-1)/12)+1&gt;'Lapse Table'!$A$11,E481,VLOOKUP(INT((C482-1)/12)+1,'Lapse Table'!$A$2:$B$11,2,FALSE))/12</f>
        <v>0</v>
      </c>
      <c r="F482" s="5">
        <f t="shared" si="71"/>
        <v>-1.1503948656208327</v>
      </c>
      <c r="G482" s="6">
        <f t="shared" si="65"/>
        <v>1.5797499999999999E-2</v>
      </c>
      <c r="H482" s="6">
        <f t="shared" si="66"/>
        <v>0</v>
      </c>
      <c r="I482" s="7">
        <f t="shared" si="67"/>
        <v>-38.346495520694425</v>
      </c>
      <c r="J482" s="8">
        <f t="shared" si="68"/>
        <v>15797.499999999998</v>
      </c>
      <c r="K482" s="7">
        <f t="shared" si="69"/>
        <v>-15835.846495520693</v>
      </c>
      <c r="L482" s="4">
        <f>IF(A482&gt;'Yield Curve'!A1096,L481,(1+VLOOKUP(A482,'Yield Curve'!A475:B1097,2,FALSE))^(1/12)-1)</f>
        <v>7.9741404289037643E-3</v>
      </c>
      <c r="M482" s="5">
        <f t="shared" si="70"/>
        <v>-366.96971070917562</v>
      </c>
    </row>
    <row r="483" spans="1:13" x14ac:dyDescent="0.25">
      <c r="A483" s="4">
        <v>475</v>
      </c>
      <c r="B483" s="4">
        <f t="shared" si="63"/>
        <v>84</v>
      </c>
      <c r="C483" s="4">
        <f t="shared" si="64"/>
        <v>490</v>
      </c>
      <c r="D483" s="4">
        <f>IF(B483&gt;'Mortality Table'!$A$118,D482,VLOOKUP(B483,'Mortality Table'!$A$2:$B$118,2,FALSE))</f>
        <v>0.18956999999999999</v>
      </c>
      <c r="E483" s="4">
        <f>IF(INT((C483-1)/12)+1&gt;'Lapse Table'!$A$11,E482,VLOOKUP(INT((C483-1)/12)+1,'Lapse Table'!$A$2:$B$11,2,FALSE))/12</f>
        <v>0</v>
      </c>
      <c r="F483" s="5">
        <f t="shared" si="71"/>
        <v>-1.1661923656208326</v>
      </c>
      <c r="G483" s="6">
        <f t="shared" si="65"/>
        <v>1.5797499999999999E-2</v>
      </c>
      <c r="H483" s="6">
        <f t="shared" si="66"/>
        <v>0</v>
      </c>
      <c r="I483" s="7">
        <f t="shared" si="67"/>
        <v>-38.873078854027753</v>
      </c>
      <c r="J483" s="8">
        <f t="shared" si="68"/>
        <v>15797.499999999998</v>
      </c>
      <c r="K483" s="7">
        <f t="shared" si="69"/>
        <v>-15836.373078854025</v>
      </c>
      <c r="L483" s="4">
        <f>IF(A483&gt;'Yield Curve'!A1097,L482,(1+VLOOKUP(A483,'Yield Curve'!A476:B1098,2,FALSE))^(1/12)-1)</f>
        <v>7.9741404289037643E-3</v>
      </c>
      <c r="M483" s="5">
        <f t="shared" si="70"/>
        <v>-364.07869874136316</v>
      </c>
    </row>
    <row r="484" spans="1:13" x14ac:dyDescent="0.25">
      <c r="A484" s="4">
        <v>476</v>
      </c>
      <c r="B484" s="4">
        <f t="shared" si="63"/>
        <v>84</v>
      </c>
      <c r="C484" s="4">
        <f t="shared" si="64"/>
        <v>491</v>
      </c>
      <c r="D484" s="4">
        <f>IF(B484&gt;'Mortality Table'!$A$118,D483,VLOOKUP(B484,'Mortality Table'!$A$2:$B$118,2,FALSE))</f>
        <v>0.18956999999999999</v>
      </c>
      <c r="E484" s="4">
        <f>IF(INT((C484-1)/12)+1&gt;'Lapse Table'!$A$11,E483,VLOOKUP(INT((C484-1)/12)+1,'Lapse Table'!$A$2:$B$11,2,FALSE))/12</f>
        <v>0</v>
      </c>
      <c r="F484" s="5">
        <f t="shared" si="71"/>
        <v>-1.1819898656208325</v>
      </c>
      <c r="G484" s="6">
        <f t="shared" si="65"/>
        <v>1.5797499999999999E-2</v>
      </c>
      <c r="H484" s="6">
        <f t="shared" si="66"/>
        <v>0</v>
      </c>
      <c r="I484" s="7">
        <f t="shared" si="67"/>
        <v>-39.399662187361081</v>
      </c>
      <c r="J484" s="8">
        <f t="shared" si="68"/>
        <v>15797.499999999998</v>
      </c>
      <c r="K484" s="7">
        <f t="shared" si="69"/>
        <v>-15836.899662187359</v>
      </c>
      <c r="L484" s="4">
        <f>IF(A484&gt;'Yield Curve'!A1098,L483,(1+VLOOKUP(A484,'Yield Curve'!A477:B1099,2,FALSE))^(1/12)-1)</f>
        <v>7.9741404289037643E-3</v>
      </c>
      <c r="M484" s="5">
        <f t="shared" si="70"/>
        <v>-361.21046196015283</v>
      </c>
    </row>
    <row r="485" spans="1:13" x14ac:dyDescent="0.25">
      <c r="A485" s="4">
        <v>477</v>
      </c>
      <c r="B485" s="4">
        <f t="shared" si="63"/>
        <v>84</v>
      </c>
      <c r="C485" s="4">
        <f t="shared" si="64"/>
        <v>492</v>
      </c>
      <c r="D485" s="4">
        <f>IF(B485&gt;'Mortality Table'!$A$118,D484,VLOOKUP(B485,'Mortality Table'!$A$2:$B$118,2,FALSE))</f>
        <v>0.18956999999999999</v>
      </c>
      <c r="E485" s="4">
        <f>IF(INT((C485-1)/12)+1&gt;'Lapse Table'!$A$11,E484,VLOOKUP(INT((C485-1)/12)+1,'Lapse Table'!$A$2:$B$11,2,FALSE))/12</f>
        <v>0</v>
      </c>
      <c r="F485" s="5">
        <f t="shared" si="71"/>
        <v>-1.1977873656208324</v>
      </c>
      <c r="G485" s="6">
        <f t="shared" si="65"/>
        <v>1.5797499999999999E-2</v>
      </c>
      <c r="H485" s="6">
        <f t="shared" si="66"/>
        <v>0</v>
      </c>
      <c r="I485" s="7">
        <f t="shared" si="67"/>
        <v>-39.926245520694415</v>
      </c>
      <c r="J485" s="8">
        <f t="shared" si="68"/>
        <v>15797.499999999998</v>
      </c>
      <c r="K485" s="7">
        <f t="shared" si="69"/>
        <v>-15837.426245520692</v>
      </c>
      <c r="L485" s="4">
        <f>IF(A485&gt;'Yield Curve'!A1099,L484,(1+VLOOKUP(A485,'Yield Curve'!A478:B1100,2,FALSE))^(1/12)-1)</f>
        <v>7.9741404289037643E-3</v>
      </c>
      <c r="M485" s="5">
        <f t="shared" si="70"/>
        <v>-358.36482094741785</v>
      </c>
    </row>
    <row r="486" spans="1:13" x14ac:dyDescent="0.25">
      <c r="A486" s="4">
        <v>478</v>
      </c>
      <c r="B486" s="4">
        <f t="shared" si="63"/>
        <v>84</v>
      </c>
      <c r="C486" s="4">
        <f t="shared" si="64"/>
        <v>493</v>
      </c>
      <c r="D486" s="4">
        <f>IF(B486&gt;'Mortality Table'!$A$118,D485,VLOOKUP(B486,'Mortality Table'!$A$2:$B$118,2,FALSE))</f>
        <v>0.18956999999999999</v>
      </c>
      <c r="E486" s="4">
        <f>IF(INT((C486-1)/12)+1&gt;'Lapse Table'!$A$11,E485,VLOOKUP(INT((C486-1)/12)+1,'Lapse Table'!$A$2:$B$11,2,FALSE))/12</f>
        <v>0</v>
      </c>
      <c r="F486" s="5">
        <f t="shared" si="71"/>
        <v>-1.2135848656208323</v>
      </c>
      <c r="G486" s="6">
        <f t="shared" si="65"/>
        <v>1.5797499999999999E-2</v>
      </c>
      <c r="H486" s="6">
        <f t="shared" si="66"/>
        <v>0</v>
      </c>
      <c r="I486" s="7">
        <f t="shared" si="67"/>
        <v>-40.452828854027743</v>
      </c>
      <c r="J486" s="8">
        <f t="shared" si="68"/>
        <v>15797.499999999998</v>
      </c>
      <c r="K486" s="7">
        <f t="shared" si="69"/>
        <v>-15837.952828854026</v>
      </c>
      <c r="L486" s="4">
        <f>IF(A486&gt;'Yield Curve'!A1100,L485,(1+VLOOKUP(A486,'Yield Curve'!A479:B1101,2,FALSE))^(1/12)-1)</f>
        <v>7.9741404289037643E-3</v>
      </c>
      <c r="M486" s="5">
        <f t="shared" si="70"/>
        <v>-355.54159769842414</v>
      </c>
    </row>
    <row r="487" spans="1:13" x14ac:dyDescent="0.25">
      <c r="A487" s="4">
        <v>479</v>
      </c>
      <c r="B487" s="4">
        <f t="shared" si="63"/>
        <v>84</v>
      </c>
      <c r="C487" s="4">
        <f t="shared" si="64"/>
        <v>494</v>
      </c>
      <c r="D487" s="4">
        <f>IF(B487&gt;'Mortality Table'!$A$118,D486,VLOOKUP(B487,'Mortality Table'!$A$2:$B$118,2,FALSE))</f>
        <v>0.18956999999999999</v>
      </c>
      <c r="E487" s="4">
        <f>IF(INT((C487-1)/12)+1&gt;'Lapse Table'!$A$11,E486,VLOOKUP(INT((C487-1)/12)+1,'Lapse Table'!$A$2:$B$11,2,FALSE))/12</f>
        <v>0</v>
      </c>
      <c r="F487" s="5">
        <f t="shared" si="71"/>
        <v>-1.2293823656208323</v>
      </c>
      <c r="G487" s="6">
        <f t="shared" si="65"/>
        <v>1.5797499999999999E-2</v>
      </c>
      <c r="H487" s="6">
        <f t="shared" si="66"/>
        <v>0</v>
      </c>
      <c r="I487" s="7">
        <f t="shared" si="67"/>
        <v>-40.979412187361071</v>
      </c>
      <c r="J487" s="8">
        <f t="shared" si="68"/>
        <v>15797.499999999998</v>
      </c>
      <c r="K487" s="7">
        <f t="shared" si="69"/>
        <v>-15838.47941218736</v>
      </c>
      <c r="L487" s="4">
        <f>IF(A487&gt;'Yield Curve'!A1101,L486,(1+VLOOKUP(A487,'Yield Curve'!A480:B1102,2,FALSE))^(1/12)-1)</f>
        <v>7.9741404289037643E-3</v>
      </c>
      <c r="M487" s="5">
        <f t="shared" si="70"/>
        <v>-352.74061561069681</v>
      </c>
    </row>
    <row r="488" spans="1:13" x14ac:dyDescent="0.25">
      <c r="A488" s="4">
        <v>480</v>
      </c>
      <c r="B488" s="4">
        <f t="shared" si="63"/>
        <v>85</v>
      </c>
      <c r="C488" s="4">
        <f t="shared" si="64"/>
        <v>495</v>
      </c>
      <c r="D488" s="4">
        <f>IF(B488&gt;'Mortality Table'!$A$118,D487,VLOOKUP(B488,'Mortality Table'!$A$2:$B$118,2,FALSE))</f>
        <v>0.20476</v>
      </c>
      <c r="E488" s="4">
        <f>IF(INT((C488-1)/12)+1&gt;'Lapse Table'!$A$11,E487,VLOOKUP(INT((C488-1)/12)+1,'Lapse Table'!$A$2:$B$11,2,FALSE))/12</f>
        <v>0</v>
      </c>
      <c r="F488" s="5">
        <f t="shared" si="71"/>
        <v>-1.2464456989541657</v>
      </c>
      <c r="G488" s="6">
        <f t="shared" si="65"/>
        <v>1.7063333333333333E-2</v>
      </c>
      <c r="H488" s="6">
        <f t="shared" si="66"/>
        <v>0</v>
      </c>
      <c r="I488" s="7">
        <f t="shared" si="67"/>
        <v>-41.548189965138853</v>
      </c>
      <c r="J488" s="8">
        <f t="shared" si="68"/>
        <v>17063.333333333332</v>
      </c>
      <c r="K488" s="7">
        <f t="shared" si="69"/>
        <v>-17104.881523298471</v>
      </c>
      <c r="L488" s="4">
        <f>IF(A488&gt;'Yield Curve'!A1102,L487,(1+VLOOKUP(A488,'Yield Curve'!A481:B1103,2,FALSE))^(1/12)-1)</f>
        <v>7.9741404289037643E-3</v>
      </c>
      <c r="M488" s="5">
        <f t="shared" si="70"/>
        <v>-377.93112830882586</v>
      </c>
    </row>
    <row r="489" spans="1:13" x14ac:dyDescent="0.25">
      <c r="A489" s="4">
        <v>481</v>
      </c>
      <c r="B489" s="4">
        <f t="shared" si="63"/>
        <v>85</v>
      </c>
      <c r="C489" s="4">
        <f t="shared" si="64"/>
        <v>496</v>
      </c>
      <c r="D489" s="4">
        <f>IF(B489&gt;'Mortality Table'!$A$118,D488,VLOOKUP(B489,'Mortality Table'!$A$2:$B$118,2,FALSE))</f>
        <v>0.20476</v>
      </c>
      <c r="E489" s="4">
        <f>IF(INT((C489-1)/12)+1&gt;'Lapse Table'!$A$11,E488,VLOOKUP(INT((C489-1)/12)+1,'Lapse Table'!$A$2:$B$11,2,FALSE))/12</f>
        <v>0</v>
      </c>
      <c r="F489" s="5">
        <f t="shared" si="71"/>
        <v>-1.2635090322874991</v>
      </c>
      <c r="G489" s="6">
        <f t="shared" si="65"/>
        <v>1.7063333333333333E-2</v>
      </c>
      <c r="H489" s="6">
        <f t="shared" si="66"/>
        <v>0</v>
      </c>
      <c r="I489" s="7">
        <f t="shared" si="67"/>
        <v>-42.116967742916636</v>
      </c>
      <c r="J489" s="8">
        <f t="shared" si="68"/>
        <v>17063.333333333332</v>
      </c>
      <c r="K489" s="7">
        <f t="shared" si="69"/>
        <v>-17105.450301076249</v>
      </c>
      <c r="L489" s="4">
        <f>IF(A489&gt;'Yield Curve'!A1103,L488,(1+VLOOKUP(A489,'Yield Curve'!A482:B1104,2,FALSE))^(1/12)-1)</f>
        <v>7.9741404289037643E-3</v>
      </c>
      <c r="M489" s="5">
        <f t="shared" si="70"/>
        <v>-374.95376146469528</v>
      </c>
    </row>
    <row r="490" spans="1:13" x14ac:dyDescent="0.25">
      <c r="A490" s="4">
        <v>482</v>
      </c>
      <c r="B490" s="4">
        <f t="shared" si="63"/>
        <v>85</v>
      </c>
      <c r="C490" s="4">
        <f t="shared" si="64"/>
        <v>497</v>
      </c>
      <c r="D490" s="4">
        <f>IF(B490&gt;'Mortality Table'!$A$118,D489,VLOOKUP(B490,'Mortality Table'!$A$2:$B$118,2,FALSE))</f>
        <v>0.20476</v>
      </c>
      <c r="E490" s="4">
        <f>IF(INT((C490-1)/12)+1&gt;'Lapse Table'!$A$11,E489,VLOOKUP(INT((C490-1)/12)+1,'Lapse Table'!$A$2:$B$11,2,FALSE))/12</f>
        <v>0</v>
      </c>
      <c r="F490" s="5">
        <f t="shared" si="71"/>
        <v>-1.2805723656208325</v>
      </c>
      <c r="G490" s="6">
        <f t="shared" si="65"/>
        <v>1.7063333333333333E-2</v>
      </c>
      <c r="H490" s="6">
        <f t="shared" si="66"/>
        <v>0</v>
      </c>
      <c r="I490" s="7">
        <f t="shared" si="67"/>
        <v>-42.685745520694418</v>
      </c>
      <c r="J490" s="8">
        <f t="shared" si="68"/>
        <v>17063.333333333332</v>
      </c>
      <c r="K490" s="7">
        <f t="shared" si="69"/>
        <v>-17106.019078854028</v>
      </c>
      <c r="L490" s="4">
        <f>IF(A490&gt;'Yield Curve'!A1104,L489,(1+VLOOKUP(A490,'Yield Curve'!A483:B1105,2,FALSE))^(1/12)-1)</f>
        <v>7.9741404289037643E-3</v>
      </c>
      <c r="M490" s="5">
        <f t="shared" si="70"/>
        <v>-371.99985010548596</v>
      </c>
    </row>
    <row r="491" spans="1:13" x14ac:dyDescent="0.25">
      <c r="A491" s="4">
        <v>483</v>
      </c>
      <c r="B491" s="4">
        <f t="shared" si="63"/>
        <v>85</v>
      </c>
      <c r="C491" s="4">
        <f t="shared" si="64"/>
        <v>498</v>
      </c>
      <c r="D491" s="4">
        <f>IF(B491&gt;'Mortality Table'!$A$118,D490,VLOOKUP(B491,'Mortality Table'!$A$2:$B$118,2,FALSE))</f>
        <v>0.20476</v>
      </c>
      <c r="E491" s="4">
        <f>IF(INT((C491-1)/12)+1&gt;'Lapse Table'!$A$11,E490,VLOOKUP(INT((C491-1)/12)+1,'Lapse Table'!$A$2:$B$11,2,FALSE))/12</f>
        <v>0</v>
      </c>
      <c r="F491" s="5">
        <f t="shared" si="71"/>
        <v>-1.297635698954166</v>
      </c>
      <c r="G491" s="6">
        <f t="shared" si="65"/>
        <v>1.7063333333333333E-2</v>
      </c>
      <c r="H491" s="6">
        <f t="shared" si="66"/>
        <v>0</v>
      </c>
      <c r="I491" s="7">
        <f t="shared" si="67"/>
        <v>-43.254523298472201</v>
      </c>
      <c r="J491" s="8">
        <f t="shared" si="68"/>
        <v>17063.333333333332</v>
      </c>
      <c r="K491" s="7">
        <f t="shared" si="69"/>
        <v>-17106.587856631806</v>
      </c>
      <c r="L491" s="4">
        <f>IF(A491&gt;'Yield Curve'!A1105,L490,(1+VLOOKUP(A491,'Yield Curve'!A484:B1106,2,FALSE))^(1/12)-1)</f>
        <v>7.9741404289037643E-3</v>
      </c>
      <c r="M491" s="5">
        <f t="shared" si="70"/>
        <v>-369.06920945381825</v>
      </c>
    </row>
    <row r="492" spans="1:13" x14ac:dyDescent="0.25">
      <c r="A492" s="4">
        <v>484</v>
      </c>
      <c r="B492" s="4">
        <f t="shared" si="63"/>
        <v>85</v>
      </c>
      <c r="C492" s="4">
        <f t="shared" si="64"/>
        <v>499</v>
      </c>
      <c r="D492" s="4">
        <f>IF(B492&gt;'Mortality Table'!$A$118,D491,VLOOKUP(B492,'Mortality Table'!$A$2:$B$118,2,FALSE))</f>
        <v>0.20476</v>
      </c>
      <c r="E492" s="4">
        <f>IF(INT((C492-1)/12)+1&gt;'Lapse Table'!$A$11,E491,VLOOKUP(INT((C492-1)/12)+1,'Lapse Table'!$A$2:$B$11,2,FALSE))/12</f>
        <v>0</v>
      </c>
      <c r="F492" s="5">
        <f t="shared" si="71"/>
        <v>-1.3146990322874994</v>
      </c>
      <c r="G492" s="6">
        <f t="shared" si="65"/>
        <v>1.7063333333333333E-2</v>
      </c>
      <c r="H492" s="6">
        <f t="shared" si="66"/>
        <v>0</v>
      </c>
      <c r="I492" s="7">
        <f t="shared" si="67"/>
        <v>-43.823301076249976</v>
      </c>
      <c r="J492" s="8">
        <f t="shared" si="68"/>
        <v>17063.333333333332</v>
      </c>
      <c r="K492" s="7">
        <f t="shared" si="69"/>
        <v>-17107.156634409581</v>
      </c>
      <c r="L492" s="4">
        <f>IF(A492&gt;'Yield Curve'!A1106,L491,(1+VLOOKUP(A492,'Yield Curve'!A485:B1107,2,FALSE))^(1/12)-1)</f>
        <v>7.9741404289037643E-3</v>
      </c>
      <c r="M492" s="5">
        <f t="shared" si="70"/>
        <v>-366.16165618792326</v>
      </c>
    </row>
    <row r="493" spans="1:13" x14ac:dyDescent="0.25">
      <c r="A493" s="4">
        <v>485</v>
      </c>
      <c r="B493" s="4">
        <f t="shared" si="63"/>
        <v>85</v>
      </c>
      <c r="C493" s="4">
        <f t="shared" si="64"/>
        <v>500</v>
      </c>
      <c r="D493" s="4">
        <f>IF(B493&gt;'Mortality Table'!$A$118,D492,VLOOKUP(B493,'Mortality Table'!$A$2:$B$118,2,FALSE))</f>
        <v>0.20476</v>
      </c>
      <c r="E493" s="4">
        <f>IF(INT((C493-1)/12)+1&gt;'Lapse Table'!$A$11,E492,VLOOKUP(INT((C493-1)/12)+1,'Lapse Table'!$A$2:$B$11,2,FALSE))/12</f>
        <v>0</v>
      </c>
      <c r="F493" s="5">
        <f t="shared" si="71"/>
        <v>-1.3317623656208328</v>
      </c>
      <c r="G493" s="6">
        <f t="shared" si="65"/>
        <v>1.7063333333333333E-2</v>
      </c>
      <c r="H493" s="6">
        <f t="shared" si="66"/>
        <v>0</v>
      </c>
      <c r="I493" s="7">
        <f t="shared" si="67"/>
        <v>-44.392078854027766</v>
      </c>
      <c r="J493" s="8">
        <f t="shared" si="68"/>
        <v>17063.333333333332</v>
      </c>
      <c r="K493" s="7">
        <f t="shared" si="69"/>
        <v>-17107.725412187359</v>
      </c>
      <c r="L493" s="4">
        <f>IF(A493&gt;'Yield Curve'!A1107,L492,(1+VLOOKUP(A493,'Yield Curve'!A486:B1108,2,FALSE))^(1/12)-1)</f>
        <v>7.9741404289037643E-3</v>
      </c>
      <c r="M493" s="5">
        <f t="shared" si="70"/>
        <v>-363.2770084301776</v>
      </c>
    </row>
    <row r="494" spans="1:13" x14ac:dyDescent="0.25">
      <c r="A494" s="4">
        <v>486</v>
      </c>
      <c r="B494" s="4">
        <f t="shared" si="63"/>
        <v>85</v>
      </c>
      <c r="C494" s="4">
        <f t="shared" si="64"/>
        <v>501</v>
      </c>
      <c r="D494" s="4">
        <f>IF(B494&gt;'Mortality Table'!$A$118,D493,VLOOKUP(B494,'Mortality Table'!$A$2:$B$118,2,FALSE))</f>
        <v>0.20476</v>
      </c>
      <c r="E494" s="4">
        <f>IF(INT((C494-1)/12)+1&gt;'Lapse Table'!$A$11,E493,VLOOKUP(INT((C494-1)/12)+1,'Lapse Table'!$A$2:$B$11,2,FALSE))/12</f>
        <v>0</v>
      </c>
      <c r="F494" s="5">
        <f t="shared" si="71"/>
        <v>-1.3488256989541663</v>
      </c>
      <c r="G494" s="6">
        <f t="shared" si="65"/>
        <v>1.7063333333333333E-2</v>
      </c>
      <c r="H494" s="6">
        <f t="shared" si="66"/>
        <v>0</v>
      </c>
      <c r="I494" s="7">
        <f t="shared" si="67"/>
        <v>-44.960856631805541</v>
      </c>
      <c r="J494" s="8">
        <f t="shared" si="68"/>
        <v>17063.333333333332</v>
      </c>
      <c r="K494" s="7">
        <f t="shared" si="69"/>
        <v>-17108.294189965138</v>
      </c>
      <c r="L494" s="4">
        <f>IF(A494&gt;'Yield Curve'!A1108,L493,(1+VLOOKUP(A494,'Yield Curve'!A487:B1109,2,FALSE))^(1/12)-1)</f>
        <v>7.9741404289037643E-3</v>
      </c>
      <c r="M494" s="5">
        <f t="shared" si="70"/>
        <v>-360.415085735726</v>
      </c>
    </row>
    <row r="495" spans="1:13" x14ac:dyDescent="0.25">
      <c r="A495" s="4">
        <v>487</v>
      </c>
      <c r="B495" s="4">
        <f t="shared" si="63"/>
        <v>85</v>
      </c>
      <c r="C495" s="4">
        <f t="shared" si="64"/>
        <v>502</v>
      </c>
      <c r="D495" s="4">
        <f>IF(B495&gt;'Mortality Table'!$A$118,D494,VLOOKUP(B495,'Mortality Table'!$A$2:$B$118,2,FALSE))</f>
        <v>0.20476</v>
      </c>
      <c r="E495" s="4">
        <f>IF(INT((C495-1)/12)+1&gt;'Lapse Table'!$A$11,E494,VLOOKUP(INT((C495-1)/12)+1,'Lapse Table'!$A$2:$B$11,2,FALSE))/12</f>
        <v>0</v>
      </c>
      <c r="F495" s="5">
        <f t="shared" si="71"/>
        <v>-1.3658890322874997</v>
      </c>
      <c r="G495" s="6">
        <f t="shared" si="65"/>
        <v>1.7063333333333333E-2</v>
      </c>
      <c r="H495" s="6">
        <f t="shared" si="66"/>
        <v>0</v>
      </c>
      <c r="I495" s="7">
        <f t="shared" si="67"/>
        <v>-45.529634409583316</v>
      </c>
      <c r="J495" s="8">
        <f t="shared" si="68"/>
        <v>17063.333333333332</v>
      </c>
      <c r="K495" s="7">
        <f t="shared" si="69"/>
        <v>-17108.862967742916</v>
      </c>
      <c r="L495" s="4">
        <f>IF(A495&gt;'Yield Curve'!A1109,L494,(1+VLOOKUP(A495,'Yield Curve'!A488:B1110,2,FALSE))^(1/12)-1)</f>
        <v>7.9741404289037643E-3</v>
      </c>
      <c r="M495" s="5">
        <f t="shared" si="70"/>
        <v>-357.57570908119521</v>
      </c>
    </row>
    <row r="496" spans="1:13" x14ac:dyDescent="0.25">
      <c r="A496" s="4">
        <v>488</v>
      </c>
      <c r="B496" s="4">
        <f t="shared" si="63"/>
        <v>85</v>
      </c>
      <c r="C496" s="4">
        <f t="shared" si="64"/>
        <v>503</v>
      </c>
      <c r="D496" s="4">
        <f>IF(B496&gt;'Mortality Table'!$A$118,D495,VLOOKUP(B496,'Mortality Table'!$A$2:$B$118,2,FALSE))</f>
        <v>0.20476</v>
      </c>
      <c r="E496" s="4">
        <f>IF(INT((C496-1)/12)+1&gt;'Lapse Table'!$A$11,E495,VLOOKUP(INT((C496-1)/12)+1,'Lapse Table'!$A$2:$B$11,2,FALSE))/12</f>
        <v>0</v>
      </c>
      <c r="F496" s="5">
        <f t="shared" si="71"/>
        <v>-1.3829523656208331</v>
      </c>
      <c r="G496" s="6">
        <f t="shared" si="65"/>
        <v>1.7063333333333333E-2</v>
      </c>
      <c r="H496" s="6">
        <f t="shared" si="66"/>
        <v>0</v>
      </c>
      <c r="I496" s="7">
        <f t="shared" si="67"/>
        <v>-46.098412187361106</v>
      </c>
      <c r="J496" s="8">
        <f t="shared" si="68"/>
        <v>17063.333333333332</v>
      </c>
      <c r="K496" s="7">
        <f t="shared" si="69"/>
        <v>-17109.431745520695</v>
      </c>
      <c r="L496" s="4">
        <f>IF(A496&gt;'Yield Curve'!A1110,L495,(1+VLOOKUP(A496,'Yield Curve'!A489:B1111,2,FALSE))^(1/12)-1)</f>
        <v>7.9741404289037643E-3</v>
      </c>
      <c r="M496" s="5">
        <f t="shared" si="70"/>
        <v>-354.75870085349607</v>
      </c>
    </row>
    <row r="497" spans="1:13" x14ac:dyDescent="0.25">
      <c r="A497" s="4">
        <v>489</v>
      </c>
      <c r="B497" s="4">
        <f t="shared" si="63"/>
        <v>85</v>
      </c>
      <c r="C497" s="4">
        <f t="shared" si="64"/>
        <v>504</v>
      </c>
      <c r="D497" s="4">
        <f>IF(B497&gt;'Mortality Table'!$A$118,D496,VLOOKUP(B497,'Mortality Table'!$A$2:$B$118,2,FALSE))</f>
        <v>0.20476</v>
      </c>
      <c r="E497" s="4">
        <f>IF(INT((C497-1)/12)+1&gt;'Lapse Table'!$A$11,E496,VLOOKUP(INT((C497-1)/12)+1,'Lapse Table'!$A$2:$B$11,2,FALSE))/12</f>
        <v>0</v>
      </c>
      <c r="F497" s="5">
        <f t="shared" si="71"/>
        <v>-1.4000156989541666</v>
      </c>
      <c r="G497" s="6">
        <f t="shared" si="65"/>
        <v>1.7063333333333333E-2</v>
      </c>
      <c r="H497" s="6">
        <f t="shared" si="66"/>
        <v>0</v>
      </c>
      <c r="I497" s="7">
        <f t="shared" si="67"/>
        <v>-46.667189965138881</v>
      </c>
      <c r="J497" s="8">
        <f t="shared" si="68"/>
        <v>17063.333333333332</v>
      </c>
      <c r="K497" s="7">
        <f t="shared" si="69"/>
        <v>-17110.000523298469</v>
      </c>
      <c r="L497" s="4">
        <f>IF(A497&gt;'Yield Curve'!A1111,L496,(1+VLOOKUP(A497,'Yield Curve'!A490:B1112,2,FALSE))^(1/12)-1)</f>
        <v>7.9741404289037643E-3</v>
      </c>
      <c r="M497" s="5">
        <f t="shared" si="70"/>
        <v>-351.96388483871414</v>
      </c>
    </row>
    <row r="498" spans="1:13" x14ac:dyDescent="0.25">
      <c r="A498" s="4">
        <v>490</v>
      </c>
      <c r="B498" s="4">
        <f t="shared" si="63"/>
        <v>85</v>
      </c>
      <c r="C498" s="4">
        <f t="shared" si="64"/>
        <v>505</v>
      </c>
      <c r="D498" s="4">
        <f>IF(B498&gt;'Mortality Table'!$A$118,D497,VLOOKUP(B498,'Mortality Table'!$A$2:$B$118,2,FALSE))</f>
        <v>0.20476</v>
      </c>
      <c r="E498" s="4">
        <f>IF(INT((C498-1)/12)+1&gt;'Lapse Table'!$A$11,E497,VLOOKUP(INT((C498-1)/12)+1,'Lapse Table'!$A$2:$B$11,2,FALSE))/12</f>
        <v>0</v>
      </c>
      <c r="F498" s="5">
        <f t="shared" si="71"/>
        <v>-1.4170790322875</v>
      </c>
      <c r="G498" s="6">
        <f t="shared" si="65"/>
        <v>1.7063333333333333E-2</v>
      </c>
      <c r="H498" s="6">
        <f t="shared" si="66"/>
        <v>0</v>
      </c>
      <c r="I498" s="7">
        <f t="shared" si="67"/>
        <v>-47.235967742916671</v>
      </c>
      <c r="J498" s="8">
        <f t="shared" si="68"/>
        <v>17063.333333333332</v>
      </c>
      <c r="K498" s="7">
        <f t="shared" si="69"/>
        <v>-17110.569301076248</v>
      </c>
      <c r="L498" s="4">
        <f>IF(A498&gt;'Yield Curve'!A1112,L497,(1+VLOOKUP(A498,'Yield Curve'!A491:B1113,2,FALSE))^(1/12)-1)</f>
        <v>7.9741404289037643E-3</v>
      </c>
      <c r="M498" s="5">
        <f t="shared" si="70"/>
        <v>-349.19108621108757</v>
      </c>
    </row>
    <row r="499" spans="1:13" x14ac:dyDescent="0.25">
      <c r="A499" s="4">
        <v>491</v>
      </c>
      <c r="B499" s="4">
        <f t="shared" si="63"/>
        <v>85</v>
      </c>
      <c r="C499" s="4">
        <f t="shared" si="64"/>
        <v>506</v>
      </c>
      <c r="D499" s="4">
        <f>IF(B499&gt;'Mortality Table'!$A$118,D498,VLOOKUP(B499,'Mortality Table'!$A$2:$B$118,2,FALSE))</f>
        <v>0.20476</v>
      </c>
      <c r="E499" s="4">
        <f>IF(INT((C499-1)/12)+1&gt;'Lapse Table'!$A$11,E498,VLOOKUP(INT((C499-1)/12)+1,'Lapse Table'!$A$2:$B$11,2,FALSE))/12</f>
        <v>0</v>
      </c>
      <c r="F499" s="5">
        <f t="shared" si="71"/>
        <v>-1.4341423656208334</v>
      </c>
      <c r="G499" s="6">
        <f t="shared" si="65"/>
        <v>1.7063333333333333E-2</v>
      </c>
      <c r="H499" s="6">
        <f t="shared" si="66"/>
        <v>0</v>
      </c>
      <c r="I499" s="7">
        <f t="shared" si="67"/>
        <v>-47.804745520694446</v>
      </c>
      <c r="J499" s="8">
        <f t="shared" si="68"/>
        <v>17063.333333333332</v>
      </c>
      <c r="K499" s="7">
        <f t="shared" si="69"/>
        <v>-17111.138078854026</v>
      </c>
      <c r="L499" s="4">
        <f>IF(A499&gt;'Yield Curve'!A1113,L498,(1+VLOOKUP(A499,'Yield Curve'!A492:B1114,2,FALSE))^(1/12)-1)</f>
        <v>7.9741404289037643E-3</v>
      </c>
      <c r="M499" s="5">
        <f t="shared" si="70"/>
        <v>-346.44013152207208</v>
      </c>
    </row>
    <row r="500" spans="1:13" x14ac:dyDescent="0.25">
      <c r="A500" s="4">
        <v>492</v>
      </c>
      <c r="B500" s="4">
        <f t="shared" si="63"/>
        <v>86</v>
      </c>
      <c r="C500" s="4">
        <f t="shared" si="64"/>
        <v>507</v>
      </c>
      <c r="D500" s="4">
        <f>IF(B500&gt;'Mortality Table'!$A$118,D499,VLOOKUP(B500,'Mortality Table'!$A$2:$B$118,2,FALSE))</f>
        <v>0.22098999999999999</v>
      </c>
      <c r="E500" s="4">
        <f>IF(INT((C500-1)/12)+1&gt;'Lapse Table'!$A$11,E499,VLOOKUP(INT((C500-1)/12)+1,'Lapse Table'!$A$2:$B$11,2,FALSE))/12</f>
        <v>0</v>
      </c>
      <c r="F500" s="5">
        <f t="shared" si="71"/>
        <v>-1.4525581989541667</v>
      </c>
      <c r="G500" s="6">
        <f t="shared" si="65"/>
        <v>1.8415833333333333E-2</v>
      </c>
      <c r="H500" s="6">
        <f t="shared" si="66"/>
        <v>0</v>
      </c>
      <c r="I500" s="7">
        <f t="shared" si="67"/>
        <v>-48.418606631805552</v>
      </c>
      <c r="J500" s="8">
        <f t="shared" si="68"/>
        <v>18415.833333333332</v>
      </c>
      <c r="K500" s="7">
        <f t="shared" si="69"/>
        <v>-18464.251939965139</v>
      </c>
      <c r="L500" s="4">
        <f>IF(A500&gt;'Yield Curve'!A1114,L499,(1+VLOOKUP(A500,'Yield Curve'!A493:B1115,2,FALSE))^(1/12)-1)</f>
        <v>7.9741404289037643E-3</v>
      </c>
      <c r="M500" s="5">
        <f t="shared" si="70"/>
        <v>-370.87847272479485</v>
      </c>
    </row>
    <row r="501" spans="1:13" x14ac:dyDescent="0.25">
      <c r="A501" s="4">
        <v>493</v>
      </c>
      <c r="B501" s="4">
        <f t="shared" si="63"/>
        <v>86</v>
      </c>
      <c r="C501" s="4">
        <f t="shared" si="64"/>
        <v>508</v>
      </c>
      <c r="D501" s="4">
        <f>IF(B501&gt;'Mortality Table'!$A$118,D500,VLOOKUP(B501,'Mortality Table'!$A$2:$B$118,2,FALSE))</f>
        <v>0.22098999999999999</v>
      </c>
      <c r="E501" s="4">
        <f>IF(INT((C501-1)/12)+1&gt;'Lapse Table'!$A$11,E500,VLOOKUP(INT((C501-1)/12)+1,'Lapse Table'!$A$2:$B$11,2,FALSE))/12</f>
        <v>0</v>
      </c>
      <c r="F501" s="5">
        <f t="shared" si="71"/>
        <v>-1.4709740322875</v>
      </c>
      <c r="G501" s="6">
        <f t="shared" si="65"/>
        <v>1.8415833333333333E-2</v>
      </c>
      <c r="H501" s="6">
        <f t="shared" si="66"/>
        <v>0</v>
      </c>
      <c r="I501" s="7">
        <f t="shared" si="67"/>
        <v>-49.032467742916673</v>
      </c>
      <c r="J501" s="8">
        <f t="shared" si="68"/>
        <v>18415.833333333332</v>
      </c>
      <c r="K501" s="7">
        <f t="shared" si="69"/>
        <v>-18464.865801076248</v>
      </c>
      <c r="L501" s="4">
        <f>IF(A501&gt;'Yield Curve'!A1115,L500,(1+VLOOKUP(A501,'Yield Curve'!A494:B1116,2,FALSE))^(1/12)-1)</f>
        <v>7.9741404289037643E-3</v>
      </c>
      <c r="M501" s="5">
        <f t="shared" si="70"/>
        <v>-367.95666480529133</v>
      </c>
    </row>
    <row r="502" spans="1:13" x14ac:dyDescent="0.25">
      <c r="A502" s="4">
        <v>494</v>
      </c>
      <c r="B502" s="4">
        <f t="shared" si="63"/>
        <v>86</v>
      </c>
      <c r="C502" s="4">
        <f t="shared" si="64"/>
        <v>509</v>
      </c>
      <c r="D502" s="4">
        <f>IF(B502&gt;'Mortality Table'!$A$118,D501,VLOOKUP(B502,'Mortality Table'!$A$2:$B$118,2,FALSE))</f>
        <v>0.22098999999999999</v>
      </c>
      <c r="E502" s="4">
        <f>IF(INT((C502-1)/12)+1&gt;'Lapse Table'!$A$11,E501,VLOOKUP(INT((C502-1)/12)+1,'Lapse Table'!$A$2:$B$11,2,FALSE))/12</f>
        <v>0</v>
      </c>
      <c r="F502" s="5">
        <f t="shared" si="71"/>
        <v>-1.4893898656208333</v>
      </c>
      <c r="G502" s="6">
        <f t="shared" si="65"/>
        <v>1.8415833333333333E-2</v>
      </c>
      <c r="H502" s="6">
        <f t="shared" si="66"/>
        <v>0</v>
      </c>
      <c r="I502" s="7">
        <f t="shared" si="67"/>
        <v>-49.646328854027779</v>
      </c>
      <c r="J502" s="8">
        <f t="shared" si="68"/>
        <v>18415.833333333332</v>
      </c>
      <c r="K502" s="7">
        <f t="shared" si="69"/>
        <v>-18465.479662187361</v>
      </c>
      <c r="L502" s="4">
        <f>IF(A502&gt;'Yield Curve'!A1116,L501,(1+VLOOKUP(A502,'Yield Curve'!A495:B1117,2,FALSE))^(1/12)-1)</f>
        <v>7.9741404289037643E-3</v>
      </c>
      <c r="M502" s="5">
        <f t="shared" si="70"/>
        <v>-365.05787470027025</v>
      </c>
    </row>
    <row r="503" spans="1:13" x14ac:dyDescent="0.25">
      <c r="A503" s="4">
        <v>495</v>
      </c>
      <c r="B503" s="4">
        <f t="shared" si="63"/>
        <v>86</v>
      </c>
      <c r="C503" s="4">
        <f t="shared" si="64"/>
        <v>510</v>
      </c>
      <c r="D503" s="4">
        <f>IF(B503&gt;'Mortality Table'!$A$118,D502,VLOOKUP(B503,'Mortality Table'!$A$2:$B$118,2,FALSE))</f>
        <v>0.22098999999999999</v>
      </c>
      <c r="E503" s="4">
        <f>IF(INT((C503-1)/12)+1&gt;'Lapse Table'!$A$11,E502,VLOOKUP(INT((C503-1)/12)+1,'Lapse Table'!$A$2:$B$11,2,FALSE))/12</f>
        <v>0</v>
      </c>
      <c r="F503" s="5">
        <f t="shared" si="71"/>
        <v>-1.5078056989541666</v>
      </c>
      <c r="G503" s="6">
        <f t="shared" si="65"/>
        <v>1.8415833333333333E-2</v>
      </c>
      <c r="H503" s="6">
        <f t="shared" si="66"/>
        <v>0</v>
      </c>
      <c r="I503" s="7">
        <f t="shared" si="67"/>
        <v>-50.260189965138885</v>
      </c>
      <c r="J503" s="8">
        <f t="shared" si="68"/>
        <v>18415.833333333332</v>
      </c>
      <c r="K503" s="7">
        <f t="shared" si="69"/>
        <v>-18466.09352329847</v>
      </c>
      <c r="L503" s="4">
        <f>IF(A503&gt;'Yield Curve'!A1117,L502,(1+VLOOKUP(A503,'Yield Curve'!A496:B1118,2,FALSE))^(1/12)-1)</f>
        <v>7.9741404289037643E-3</v>
      </c>
      <c r="M503" s="5">
        <f t="shared" si="70"/>
        <v>-362.18192108007759</v>
      </c>
    </row>
    <row r="504" spans="1:13" x14ac:dyDescent="0.25">
      <c r="A504" s="4">
        <v>496</v>
      </c>
      <c r="B504" s="4">
        <f t="shared" si="63"/>
        <v>86</v>
      </c>
      <c r="C504" s="4">
        <f t="shared" si="64"/>
        <v>511</v>
      </c>
      <c r="D504" s="4">
        <f>IF(B504&gt;'Mortality Table'!$A$118,D503,VLOOKUP(B504,'Mortality Table'!$A$2:$B$118,2,FALSE))</f>
        <v>0.22098999999999999</v>
      </c>
      <c r="E504" s="4">
        <f>IF(INT((C504-1)/12)+1&gt;'Lapse Table'!$A$11,E503,VLOOKUP(INT((C504-1)/12)+1,'Lapse Table'!$A$2:$B$11,2,FALSE))/12</f>
        <v>0</v>
      </c>
      <c r="F504" s="5">
        <f t="shared" si="71"/>
        <v>-1.5262215322874999</v>
      </c>
      <c r="G504" s="6">
        <f t="shared" si="65"/>
        <v>1.8415833333333333E-2</v>
      </c>
      <c r="H504" s="6">
        <f t="shared" si="66"/>
        <v>0</v>
      </c>
      <c r="I504" s="7">
        <f t="shared" si="67"/>
        <v>-50.874051076249998</v>
      </c>
      <c r="J504" s="8">
        <f t="shared" si="68"/>
        <v>18415.833333333332</v>
      </c>
      <c r="K504" s="7">
        <f t="shared" si="69"/>
        <v>-18466.707384409583</v>
      </c>
      <c r="L504" s="4">
        <f>IF(A504&gt;'Yield Curve'!A1118,L503,(1+VLOOKUP(A504,'Yield Curve'!A497:B1119,2,FALSE))^(1/12)-1)</f>
        <v>7.9741404289037643E-3</v>
      </c>
      <c r="M504" s="5">
        <f t="shared" si="70"/>
        <v>-359.32862404351238</v>
      </c>
    </row>
    <row r="505" spans="1:13" x14ac:dyDescent="0.25">
      <c r="A505" s="4">
        <v>497</v>
      </c>
      <c r="B505" s="4">
        <f t="shared" si="63"/>
        <v>86</v>
      </c>
      <c r="C505" s="4">
        <f t="shared" si="64"/>
        <v>512</v>
      </c>
      <c r="D505" s="4">
        <f>IF(B505&gt;'Mortality Table'!$A$118,D504,VLOOKUP(B505,'Mortality Table'!$A$2:$B$118,2,FALSE))</f>
        <v>0.22098999999999999</v>
      </c>
      <c r="E505" s="4">
        <f>IF(INT((C505-1)/12)+1&gt;'Lapse Table'!$A$11,E504,VLOOKUP(INT((C505-1)/12)+1,'Lapse Table'!$A$2:$B$11,2,FALSE))/12</f>
        <v>0</v>
      </c>
      <c r="F505" s="5">
        <f t="shared" si="71"/>
        <v>-1.5446373656208332</v>
      </c>
      <c r="G505" s="6">
        <f t="shared" si="65"/>
        <v>1.8415833333333333E-2</v>
      </c>
      <c r="H505" s="6">
        <f t="shared" si="66"/>
        <v>0</v>
      </c>
      <c r="I505" s="7">
        <f t="shared" si="67"/>
        <v>-51.487912187361104</v>
      </c>
      <c r="J505" s="8">
        <f t="shared" si="68"/>
        <v>18415.833333333332</v>
      </c>
      <c r="K505" s="7">
        <f t="shared" si="69"/>
        <v>-18467.321245520692</v>
      </c>
      <c r="L505" s="4">
        <f>IF(A505&gt;'Yield Curve'!A1119,L504,(1+VLOOKUP(A505,'Yield Curve'!A498:B1120,2,FALSE))^(1/12)-1)</f>
        <v>7.9741404289037643E-3</v>
      </c>
      <c r="M505" s="5">
        <f t="shared" si="70"/>
        <v>-356.49780510657331</v>
      </c>
    </row>
    <row r="506" spans="1:13" x14ac:dyDescent="0.25">
      <c r="A506" s="4">
        <v>498</v>
      </c>
      <c r="B506" s="4">
        <f t="shared" si="63"/>
        <v>86</v>
      </c>
      <c r="C506" s="4">
        <f t="shared" si="64"/>
        <v>513</v>
      </c>
      <c r="D506" s="4">
        <f>IF(B506&gt;'Mortality Table'!$A$118,D505,VLOOKUP(B506,'Mortality Table'!$A$2:$B$118,2,FALSE))</f>
        <v>0.22098999999999999</v>
      </c>
      <c r="E506" s="4">
        <f>IF(INT((C506-1)/12)+1&gt;'Lapse Table'!$A$11,E505,VLOOKUP(INT((C506-1)/12)+1,'Lapse Table'!$A$2:$B$11,2,FALSE))/12</f>
        <v>0</v>
      </c>
      <c r="F506" s="5">
        <f t="shared" si="71"/>
        <v>-1.5630531989541665</v>
      </c>
      <c r="G506" s="6">
        <f t="shared" si="65"/>
        <v>1.8415833333333333E-2</v>
      </c>
      <c r="H506" s="6">
        <f t="shared" si="66"/>
        <v>0</v>
      </c>
      <c r="I506" s="7">
        <f t="shared" si="67"/>
        <v>-52.101773298472217</v>
      </c>
      <c r="J506" s="8">
        <f t="shared" si="68"/>
        <v>18415.833333333332</v>
      </c>
      <c r="K506" s="7">
        <f t="shared" si="69"/>
        <v>-18467.935106631805</v>
      </c>
      <c r="L506" s="4">
        <f>IF(A506&gt;'Yield Curve'!A1120,L505,(1+VLOOKUP(A506,'Yield Curve'!A499:B1121,2,FALSE))^(1/12)-1)</f>
        <v>7.9741404289037643E-3</v>
      </c>
      <c r="M506" s="5">
        <f t="shared" si="70"/>
        <v>-353.68928719129531</v>
      </c>
    </row>
    <row r="507" spans="1:13" x14ac:dyDescent="0.25">
      <c r="A507" s="4">
        <v>499</v>
      </c>
      <c r="B507" s="4">
        <f t="shared" si="63"/>
        <v>86</v>
      </c>
      <c r="C507" s="4">
        <f t="shared" si="64"/>
        <v>514</v>
      </c>
      <c r="D507" s="4">
        <f>IF(B507&gt;'Mortality Table'!$A$118,D506,VLOOKUP(B507,'Mortality Table'!$A$2:$B$118,2,FALSE))</f>
        <v>0.22098999999999999</v>
      </c>
      <c r="E507" s="4">
        <f>IF(INT((C507-1)/12)+1&gt;'Lapse Table'!$A$11,E506,VLOOKUP(INT((C507-1)/12)+1,'Lapse Table'!$A$2:$B$11,2,FALSE))/12</f>
        <v>0</v>
      </c>
      <c r="F507" s="5">
        <f t="shared" si="71"/>
        <v>-1.5814690322874998</v>
      </c>
      <c r="G507" s="6">
        <f t="shared" si="65"/>
        <v>1.8415833333333333E-2</v>
      </c>
      <c r="H507" s="6">
        <f t="shared" si="66"/>
        <v>0</v>
      </c>
      <c r="I507" s="7">
        <f t="shared" si="67"/>
        <v>-52.715634409583323</v>
      </c>
      <c r="J507" s="8">
        <f t="shared" si="68"/>
        <v>18415.833333333332</v>
      </c>
      <c r="K507" s="7">
        <f t="shared" si="69"/>
        <v>-18468.548967742914</v>
      </c>
      <c r="L507" s="4">
        <f>IF(A507&gt;'Yield Curve'!A1121,L506,(1+VLOOKUP(A507,'Yield Curve'!A500:B1122,2,FALSE))^(1/12)-1)</f>
        <v>7.9741404289037643E-3</v>
      </c>
      <c r="M507" s="5">
        <f t="shared" si="70"/>
        <v>-350.90289461467262</v>
      </c>
    </row>
    <row r="508" spans="1:13" x14ac:dyDescent="0.25">
      <c r="A508" s="4">
        <v>500</v>
      </c>
      <c r="B508" s="4">
        <f t="shared" si="63"/>
        <v>86</v>
      </c>
      <c r="C508" s="4">
        <f t="shared" si="64"/>
        <v>515</v>
      </c>
      <c r="D508" s="4">
        <f>IF(B508&gt;'Mortality Table'!$A$118,D507,VLOOKUP(B508,'Mortality Table'!$A$2:$B$118,2,FALSE))</f>
        <v>0.22098999999999999</v>
      </c>
      <c r="E508" s="4">
        <f>IF(INT((C508-1)/12)+1&gt;'Lapse Table'!$A$11,E507,VLOOKUP(INT((C508-1)/12)+1,'Lapse Table'!$A$2:$B$11,2,FALSE))/12</f>
        <v>0</v>
      </c>
      <c r="F508" s="5">
        <f t="shared" si="71"/>
        <v>-1.5998848656208331</v>
      </c>
      <c r="G508" s="6">
        <f t="shared" si="65"/>
        <v>1.8415833333333333E-2</v>
      </c>
      <c r="H508" s="6">
        <f t="shared" si="66"/>
        <v>0</v>
      </c>
      <c r="I508" s="7">
        <f t="shared" si="67"/>
        <v>-53.329495520694444</v>
      </c>
      <c r="J508" s="8">
        <f t="shared" si="68"/>
        <v>18415.833333333332</v>
      </c>
      <c r="K508" s="7">
        <f t="shared" si="69"/>
        <v>-18469.162828854027</v>
      </c>
      <c r="L508" s="4">
        <f>IF(A508&gt;'Yield Curve'!A1122,L507,(1+VLOOKUP(A508,'Yield Curve'!A501:B1123,2,FALSE))^(1/12)-1)</f>
        <v>7.9741404289037643E-3</v>
      </c>
      <c r="M508" s="5">
        <f t="shared" si="70"/>
        <v>-348.13845307767127</v>
      </c>
    </row>
    <row r="509" spans="1:13" x14ac:dyDescent="0.25">
      <c r="A509" s="4">
        <v>501</v>
      </c>
      <c r="B509" s="4">
        <f t="shared" si="63"/>
        <v>86</v>
      </c>
      <c r="C509" s="4">
        <f t="shared" si="64"/>
        <v>516</v>
      </c>
      <c r="D509" s="4">
        <f>IF(B509&gt;'Mortality Table'!$A$118,D508,VLOOKUP(B509,'Mortality Table'!$A$2:$B$118,2,FALSE))</f>
        <v>0.22098999999999999</v>
      </c>
      <c r="E509" s="4">
        <f>IF(INT((C509-1)/12)+1&gt;'Lapse Table'!$A$11,E508,VLOOKUP(INT((C509-1)/12)+1,'Lapse Table'!$A$2:$B$11,2,FALSE))/12</f>
        <v>0</v>
      </c>
      <c r="F509" s="5">
        <f t="shared" si="71"/>
        <v>-1.6183006989541664</v>
      </c>
      <c r="G509" s="6">
        <f t="shared" si="65"/>
        <v>1.8415833333333333E-2</v>
      </c>
      <c r="H509" s="6">
        <f t="shared" si="66"/>
        <v>0</v>
      </c>
      <c r="I509" s="7">
        <f t="shared" si="67"/>
        <v>-53.94335663180555</v>
      </c>
      <c r="J509" s="8">
        <f t="shared" si="68"/>
        <v>18415.833333333332</v>
      </c>
      <c r="K509" s="7">
        <f t="shared" si="69"/>
        <v>-18469.776689965136</v>
      </c>
      <c r="L509" s="4">
        <f>IF(A509&gt;'Yield Curve'!A1123,L508,(1+VLOOKUP(A509,'Yield Curve'!A502:B1124,2,FALSE))^(1/12)-1)</f>
        <v>7.9741404289037643E-3</v>
      </c>
      <c r="M509" s="5">
        <f t="shared" si="70"/>
        <v>-345.3957896543252</v>
      </c>
    </row>
    <row r="510" spans="1:13" x14ac:dyDescent="0.25">
      <c r="A510" s="4">
        <v>502</v>
      </c>
      <c r="B510" s="4">
        <f t="shared" si="63"/>
        <v>86</v>
      </c>
      <c r="C510" s="4">
        <f t="shared" si="64"/>
        <v>517</v>
      </c>
      <c r="D510" s="4">
        <f>IF(B510&gt;'Mortality Table'!$A$118,D509,VLOOKUP(B510,'Mortality Table'!$A$2:$B$118,2,FALSE))</f>
        <v>0.22098999999999999</v>
      </c>
      <c r="E510" s="4">
        <f>IF(INT((C510-1)/12)+1&gt;'Lapse Table'!$A$11,E509,VLOOKUP(INT((C510-1)/12)+1,'Lapse Table'!$A$2:$B$11,2,FALSE))/12</f>
        <v>0</v>
      </c>
      <c r="F510" s="5">
        <f t="shared" si="71"/>
        <v>-1.6367165322874997</v>
      </c>
      <c r="G510" s="6">
        <f t="shared" si="65"/>
        <v>1.8415833333333333E-2</v>
      </c>
      <c r="H510" s="6">
        <f t="shared" si="66"/>
        <v>0</v>
      </c>
      <c r="I510" s="7">
        <f t="shared" si="67"/>
        <v>-54.557217742916656</v>
      </c>
      <c r="J510" s="8">
        <f t="shared" si="68"/>
        <v>18415.833333333332</v>
      </c>
      <c r="K510" s="7">
        <f t="shared" si="69"/>
        <v>-18470.390551076249</v>
      </c>
      <c r="L510" s="4">
        <f>IF(A510&gt;'Yield Curve'!A1124,L509,(1+VLOOKUP(A510,'Yield Curve'!A503:B1125,2,FALSE))^(1/12)-1)</f>
        <v>7.9741404289037643E-3</v>
      </c>
      <c r="M510" s="5">
        <f t="shared" si="70"/>
        <v>-342.67473278092183</v>
      </c>
    </row>
    <row r="511" spans="1:13" x14ac:dyDescent="0.25">
      <c r="A511" s="4">
        <v>503</v>
      </c>
      <c r="B511" s="4">
        <f t="shared" si="63"/>
        <v>86</v>
      </c>
      <c r="C511" s="4">
        <f t="shared" si="64"/>
        <v>518</v>
      </c>
      <c r="D511" s="4">
        <f>IF(B511&gt;'Mortality Table'!$A$118,D510,VLOOKUP(B511,'Mortality Table'!$A$2:$B$118,2,FALSE))</f>
        <v>0.22098999999999999</v>
      </c>
      <c r="E511" s="4">
        <f>IF(INT((C511-1)/12)+1&gt;'Lapse Table'!$A$11,E510,VLOOKUP(INT((C511-1)/12)+1,'Lapse Table'!$A$2:$B$11,2,FALSE))/12</f>
        <v>0</v>
      </c>
      <c r="F511" s="5">
        <f t="shared" si="71"/>
        <v>-1.655132365620833</v>
      </c>
      <c r="G511" s="6">
        <f t="shared" si="65"/>
        <v>1.8415833333333333E-2</v>
      </c>
      <c r="H511" s="6">
        <f t="shared" si="66"/>
        <v>0</v>
      </c>
      <c r="I511" s="7">
        <f t="shared" si="67"/>
        <v>-55.171078854027769</v>
      </c>
      <c r="J511" s="8">
        <f t="shared" si="68"/>
        <v>18415.833333333332</v>
      </c>
      <c r="K511" s="7">
        <f t="shared" si="69"/>
        <v>-18471.004412187362</v>
      </c>
      <c r="L511" s="4">
        <f>IF(A511&gt;'Yield Curve'!A1125,L510,(1+VLOOKUP(A511,'Yield Curve'!A504:B1126,2,FALSE))^(1/12)-1)</f>
        <v>7.9741404289037643E-3</v>
      </c>
      <c r="M511" s="5">
        <f t="shared" si="70"/>
        <v>-339.9751122452688</v>
      </c>
    </row>
    <row r="512" spans="1:13" x14ac:dyDescent="0.25">
      <c r="A512" s="4">
        <v>504</v>
      </c>
      <c r="B512" s="4">
        <f t="shared" si="63"/>
        <v>87</v>
      </c>
      <c r="C512" s="4">
        <f t="shared" si="64"/>
        <v>519</v>
      </c>
      <c r="D512" s="4">
        <f>IF(B512&gt;'Mortality Table'!$A$118,D511,VLOOKUP(B512,'Mortality Table'!$A$2:$B$118,2,FALSE))</f>
        <v>0.23830000000000001</v>
      </c>
      <c r="E512" s="4">
        <f>IF(INT((C512-1)/12)+1&gt;'Lapse Table'!$A$11,E511,VLOOKUP(INT((C512-1)/12)+1,'Lapse Table'!$A$2:$B$11,2,FALSE))/12</f>
        <v>0</v>
      </c>
      <c r="F512" s="5">
        <f t="shared" si="71"/>
        <v>-1.6749906989541663</v>
      </c>
      <c r="G512" s="6">
        <f t="shared" si="65"/>
        <v>1.9858333333333335E-2</v>
      </c>
      <c r="H512" s="6">
        <f t="shared" si="66"/>
        <v>0</v>
      </c>
      <c r="I512" s="7">
        <f t="shared" si="67"/>
        <v>-55.833023298472206</v>
      </c>
      <c r="J512" s="8">
        <f t="shared" si="68"/>
        <v>19858.333333333336</v>
      </c>
      <c r="K512" s="7">
        <f t="shared" si="69"/>
        <v>-19914.166356631809</v>
      </c>
      <c r="L512" s="4">
        <f>IF(A512&gt;'Yield Curve'!A1126,L511,(1+VLOOKUP(A512,'Yield Curve'!A505:B1127,2,FALSE))^(1/12)-1)</f>
        <v>7.9741404289037643E-3</v>
      </c>
      <c r="M512" s="5">
        <f t="shared" si="70"/>
        <v>-363.63807839697006</v>
      </c>
    </row>
    <row r="513" spans="1:13" x14ac:dyDescent="0.25">
      <c r="A513" s="4">
        <v>505</v>
      </c>
      <c r="B513" s="4">
        <f t="shared" si="63"/>
        <v>87</v>
      </c>
      <c r="C513" s="4">
        <f t="shared" si="64"/>
        <v>520</v>
      </c>
      <c r="D513" s="4">
        <f>IF(B513&gt;'Mortality Table'!$A$118,D512,VLOOKUP(B513,'Mortality Table'!$A$2:$B$118,2,FALSE))</f>
        <v>0.23830000000000001</v>
      </c>
      <c r="E513" s="4">
        <f>IF(INT((C513-1)/12)+1&gt;'Lapse Table'!$A$11,E512,VLOOKUP(INT((C513-1)/12)+1,'Lapse Table'!$A$2:$B$11,2,FALSE))/12</f>
        <v>0</v>
      </c>
      <c r="F513" s="5">
        <f t="shared" si="71"/>
        <v>-1.6948490322874996</v>
      </c>
      <c r="G513" s="6">
        <f t="shared" si="65"/>
        <v>1.9858333333333335E-2</v>
      </c>
      <c r="H513" s="6">
        <f t="shared" si="66"/>
        <v>0</v>
      </c>
      <c r="I513" s="7">
        <f t="shared" si="67"/>
        <v>-56.494967742916657</v>
      </c>
      <c r="J513" s="8">
        <f t="shared" si="68"/>
        <v>19858.333333333336</v>
      </c>
      <c r="K513" s="7">
        <f t="shared" si="69"/>
        <v>-19914.828301076253</v>
      </c>
      <c r="L513" s="4">
        <f>IF(A513&gt;'Yield Curve'!A1127,L512,(1+VLOOKUP(A513,'Yield Curve'!A506:B1128,2,FALSE))^(1/12)-1)</f>
        <v>7.9741404289037643E-3</v>
      </c>
      <c r="M513" s="5">
        <f t="shared" si="70"/>
        <v>-360.77330865582331</v>
      </c>
    </row>
    <row r="514" spans="1:13" x14ac:dyDescent="0.25">
      <c r="A514" s="4">
        <v>506</v>
      </c>
      <c r="B514" s="4">
        <f t="shared" si="63"/>
        <v>87</v>
      </c>
      <c r="C514" s="4">
        <f t="shared" si="64"/>
        <v>521</v>
      </c>
      <c r="D514" s="4">
        <f>IF(B514&gt;'Mortality Table'!$A$118,D513,VLOOKUP(B514,'Mortality Table'!$A$2:$B$118,2,FALSE))</f>
        <v>0.23830000000000001</v>
      </c>
      <c r="E514" s="4">
        <f>IF(INT((C514-1)/12)+1&gt;'Lapse Table'!$A$11,E513,VLOOKUP(INT((C514-1)/12)+1,'Lapse Table'!$A$2:$B$11,2,FALSE))/12</f>
        <v>0</v>
      </c>
      <c r="F514" s="5">
        <f t="shared" si="71"/>
        <v>-1.7147073656208329</v>
      </c>
      <c r="G514" s="6">
        <f t="shared" si="65"/>
        <v>1.9858333333333335E-2</v>
      </c>
      <c r="H514" s="6">
        <f t="shared" si="66"/>
        <v>0</v>
      </c>
      <c r="I514" s="7">
        <f t="shared" si="67"/>
        <v>-57.156912187361094</v>
      </c>
      <c r="J514" s="8">
        <f t="shared" si="68"/>
        <v>19858.333333333336</v>
      </c>
      <c r="K514" s="7">
        <f t="shared" si="69"/>
        <v>-19915.490245520697</v>
      </c>
      <c r="L514" s="4">
        <f>IF(A514&gt;'Yield Curve'!A1128,L513,(1+VLOOKUP(A514,'Yield Curve'!A507:B1129,2,FALSE))^(1/12)-1)</f>
        <v>7.9741404289037643E-3</v>
      </c>
      <c r="M514" s="5">
        <f t="shared" si="70"/>
        <v>-357.93110740339478</v>
      </c>
    </row>
    <row r="515" spans="1:13" x14ac:dyDescent="0.25">
      <c r="A515" s="4">
        <v>507</v>
      </c>
      <c r="B515" s="4">
        <f t="shared" si="63"/>
        <v>87</v>
      </c>
      <c r="C515" s="4">
        <f t="shared" si="64"/>
        <v>522</v>
      </c>
      <c r="D515" s="4">
        <f>IF(B515&gt;'Mortality Table'!$A$118,D514,VLOOKUP(B515,'Mortality Table'!$A$2:$B$118,2,FALSE))</f>
        <v>0.23830000000000001</v>
      </c>
      <c r="E515" s="4">
        <f>IF(INT((C515-1)/12)+1&gt;'Lapse Table'!$A$11,E514,VLOOKUP(INT((C515-1)/12)+1,'Lapse Table'!$A$2:$B$11,2,FALSE))/12</f>
        <v>0</v>
      </c>
      <c r="F515" s="5">
        <f t="shared" si="71"/>
        <v>-1.7345656989541662</v>
      </c>
      <c r="G515" s="6">
        <f t="shared" si="65"/>
        <v>1.9858333333333335E-2</v>
      </c>
      <c r="H515" s="6">
        <f t="shared" si="66"/>
        <v>0</v>
      </c>
      <c r="I515" s="7">
        <f t="shared" si="67"/>
        <v>-57.818856631805545</v>
      </c>
      <c r="J515" s="8">
        <f t="shared" si="68"/>
        <v>19858.333333333336</v>
      </c>
      <c r="K515" s="7">
        <f t="shared" si="69"/>
        <v>-19916.152189965142</v>
      </c>
      <c r="L515" s="4">
        <f>IF(A515&gt;'Yield Curve'!A1129,L514,(1+VLOOKUP(A515,'Yield Curve'!A508:B1130,2,FALSE))^(1/12)-1)</f>
        <v>7.9741404289037643E-3</v>
      </c>
      <c r="M515" s="5">
        <f t="shared" si="70"/>
        <v>-355.11129684958996</v>
      </c>
    </row>
    <row r="516" spans="1:13" x14ac:dyDescent="0.25">
      <c r="A516" s="4">
        <v>508</v>
      </c>
      <c r="B516" s="4">
        <f t="shared" si="63"/>
        <v>87</v>
      </c>
      <c r="C516" s="4">
        <f t="shared" si="64"/>
        <v>523</v>
      </c>
      <c r="D516" s="4">
        <f>IF(B516&gt;'Mortality Table'!$A$118,D515,VLOOKUP(B516,'Mortality Table'!$A$2:$B$118,2,FALSE))</f>
        <v>0.23830000000000001</v>
      </c>
      <c r="E516" s="4">
        <f>IF(INT((C516-1)/12)+1&gt;'Lapse Table'!$A$11,E515,VLOOKUP(INT((C516-1)/12)+1,'Lapse Table'!$A$2:$B$11,2,FALSE))/12</f>
        <v>0</v>
      </c>
      <c r="F516" s="5">
        <f t="shared" si="71"/>
        <v>-1.7544240322874995</v>
      </c>
      <c r="G516" s="6">
        <f t="shared" si="65"/>
        <v>1.9858333333333335E-2</v>
      </c>
      <c r="H516" s="6">
        <f t="shared" si="66"/>
        <v>0</v>
      </c>
      <c r="I516" s="7">
        <f t="shared" si="67"/>
        <v>-58.480801076249982</v>
      </c>
      <c r="J516" s="8">
        <f t="shared" si="68"/>
        <v>19858.333333333336</v>
      </c>
      <c r="K516" s="7">
        <f t="shared" si="69"/>
        <v>-19916.814134409586</v>
      </c>
      <c r="L516" s="4">
        <f>IF(A516&gt;'Yield Curve'!A1130,L515,(1+VLOOKUP(A516,'Yield Curve'!A509:B1131,2,FALSE))^(1/12)-1)</f>
        <v>7.9741404289037643E-3</v>
      </c>
      <c r="M516" s="5">
        <f t="shared" si="70"/>
        <v>-352.31370060488439</v>
      </c>
    </row>
    <row r="517" spans="1:13" x14ac:dyDescent="0.25">
      <c r="A517" s="4">
        <v>509</v>
      </c>
      <c r="B517" s="4">
        <f t="shared" si="63"/>
        <v>87</v>
      </c>
      <c r="C517" s="4">
        <f t="shared" si="64"/>
        <v>524</v>
      </c>
      <c r="D517" s="4">
        <f>IF(B517&gt;'Mortality Table'!$A$118,D516,VLOOKUP(B517,'Mortality Table'!$A$2:$B$118,2,FALSE))</f>
        <v>0.23830000000000001</v>
      </c>
      <c r="E517" s="4">
        <f>IF(INT((C517-1)/12)+1&gt;'Lapse Table'!$A$11,E516,VLOOKUP(INT((C517-1)/12)+1,'Lapse Table'!$A$2:$B$11,2,FALSE))/12</f>
        <v>0</v>
      </c>
      <c r="F517" s="5">
        <f t="shared" si="71"/>
        <v>-1.7742823656208329</v>
      </c>
      <c r="G517" s="6">
        <f t="shared" si="65"/>
        <v>1.9858333333333335E-2</v>
      </c>
      <c r="H517" s="6">
        <f t="shared" si="66"/>
        <v>0</v>
      </c>
      <c r="I517" s="7">
        <f t="shared" si="67"/>
        <v>-59.142745520694433</v>
      </c>
      <c r="J517" s="8">
        <f t="shared" si="68"/>
        <v>19858.333333333336</v>
      </c>
      <c r="K517" s="7">
        <f t="shared" si="69"/>
        <v>-19917.47607885403</v>
      </c>
      <c r="L517" s="4">
        <f>IF(A517&gt;'Yield Curve'!A1131,L516,(1+VLOOKUP(A517,'Yield Curve'!A510:B1132,2,FALSE))^(1/12)-1)</f>
        <v>7.9741404289037643E-3</v>
      </c>
      <c r="M517" s="5">
        <f t="shared" si="70"/>
        <v>-349.538143669291</v>
      </c>
    </row>
    <row r="518" spans="1:13" x14ac:dyDescent="0.25">
      <c r="A518" s="4">
        <v>510</v>
      </c>
      <c r="B518" s="4">
        <f t="shared" si="63"/>
        <v>87</v>
      </c>
      <c r="C518" s="4">
        <f t="shared" si="64"/>
        <v>525</v>
      </c>
      <c r="D518" s="4">
        <f>IF(B518&gt;'Mortality Table'!$A$118,D517,VLOOKUP(B518,'Mortality Table'!$A$2:$B$118,2,FALSE))</f>
        <v>0.23830000000000001</v>
      </c>
      <c r="E518" s="4">
        <f>IF(INT((C518-1)/12)+1&gt;'Lapse Table'!$A$11,E517,VLOOKUP(INT((C518-1)/12)+1,'Lapse Table'!$A$2:$B$11,2,FALSE))/12</f>
        <v>0</v>
      </c>
      <c r="F518" s="5">
        <f t="shared" si="71"/>
        <v>-1.7941406989541662</v>
      </c>
      <c r="G518" s="6">
        <f t="shared" si="65"/>
        <v>1.9858333333333335E-2</v>
      </c>
      <c r="H518" s="6">
        <f t="shared" si="66"/>
        <v>0</v>
      </c>
      <c r="I518" s="7">
        <f t="shared" si="67"/>
        <v>-59.80468996513887</v>
      </c>
      <c r="J518" s="8">
        <f t="shared" si="68"/>
        <v>19858.333333333336</v>
      </c>
      <c r="K518" s="7">
        <f t="shared" si="69"/>
        <v>-19918.138023298474</v>
      </c>
      <c r="L518" s="4">
        <f>IF(A518&gt;'Yield Curve'!A1132,L517,(1+VLOOKUP(A518,'Yield Curve'!A511:B1133,2,FALSE))^(1/12)-1)</f>
        <v>7.9741404289037643E-3</v>
      </c>
      <c r="M518" s="5">
        <f t="shared" si="70"/>
        <v>-346.78445242141407</v>
      </c>
    </row>
    <row r="519" spans="1:13" x14ac:dyDescent="0.25">
      <c r="A519" s="4">
        <v>511</v>
      </c>
      <c r="B519" s="4">
        <f t="shared" si="63"/>
        <v>87</v>
      </c>
      <c r="C519" s="4">
        <f t="shared" si="64"/>
        <v>526</v>
      </c>
      <c r="D519" s="4">
        <f>IF(B519&gt;'Mortality Table'!$A$118,D518,VLOOKUP(B519,'Mortality Table'!$A$2:$B$118,2,FALSE))</f>
        <v>0.23830000000000001</v>
      </c>
      <c r="E519" s="4">
        <f>IF(INT((C519-1)/12)+1&gt;'Lapse Table'!$A$11,E518,VLOOKUP(INT((C519-1)/12)+1,'Lapse Table'!$A$2:$B$11,2,FALSE))/12</f>
        <v>0</v>
      </c>
      <c r="F519" s="5">
        <f t="shared" si="71"/>
        <v>-1.8139990322874995</v>
      </c>
      <c r="G519" s="6">
        <f t="shared" si="65"/>
        <v>1.9858333333333335E-2</v>
      </c>
      <c r="H519" s="6">
        <f t="shared" si="66"/>
        <v>0</v>
      </c>
      <c r="I519" s="7">
        <f t="shared" si="67"/>
        <v>-60.466634409583314</v>
      </c>
      <c r="J519" s="8">
        <f t="shared" si="68"/>
        <v>19858.333333333336</v>
      </c>
      <c r="K519" s="7">
        <f t="shared" si="69"/>
        <v>-19918.799967742918</v>
      </c>
      <c r="L519" s="4">
        <f>IF(A519&gt;'Yield Curve'!A1133,L518,(1+VLOOKUP(A519,'Yield Curve'!A512:B1134,2,FALSE))^(1/12)-1)</f>
        <v>7.9741404289037643E-3</v>
      </c>
      <c r="M519" s="5">
        <f t="shared" si="70"/>
        <v>-344.05245460758874</v>
      </c>
    </row>
    <row r="520" spans="1:13" x14ac:dyDescent="0.25">
      <c r="A520" s="4">
        <v>512</v>
      </c>
      <c r="B520" s="4">
        <f t="shared" si="63"/>
        <v>87</v>
      </c>
      <c r="C520" s="4">
        <f t="shared" si="64"/>
        <v>527</v>
      </c>
      <c r="D520" s="4">
        <f>IF(B520&gt;'Mortality Table'!$A$118,D519,VLOOKUP(B520,'Mortality Table'!$A$2:$B$118,2,FALSE))</f>
        <v>0.23830000000000001</v>
      </c>
      <c r="E520" s="4">
        <f>IF(INT((C520-1)/12)+1&gt;'Lapse Table'!$A$11,E519,VLOOKUP(INT((C520-1)/12)+1,'Lapse Table'!$A$2:$B$11,2,FALSE))/12</f>
        <v>0</v>
      </c>
      <c r="F520" s="5">
        <f t="shared" si="71"/>
        <v>-1.8338573656208328</v>
      </c>
      <c r="G520" s="6">
        <f t="shared" si="65"/>
        <v>1.9858333333333335E-2</v>
      </c>
      <c r="H520" s="6">
        <f t="shared" si="66"/>
        <v>0</v>
      </c>
      <c r="I520" s="7">
        <f t="shared" si="67"/>
        <v>-61.128578854027758</v>
      </c>
      <c r="J520" s="8">
        <f t="shared" si="68"/>
        <v>19858.333333333336</v>
      </c>
      <c r="K520" s="7">
        <f t="shared" si="69"/>
        <v>-19919.461912187362</v>
      </c>
      <c r="L520" s="4">
        <f>IF(A520&gt;'Yield Curve'!A1134,L519,(1+VLOOKUP(A520,'Yield Curve'!A513:B1135,2,FALSE))^(1/12)-1)</f>
        <v>7.9741404289037643E-3</v>
      </c>
      <c r="M520" s="5">
        <f t="shared" si="70"/>
        <v>-341.3419793311071</v>
      </c>
    </row>
    <row r="521" spans="1:13" x14ac:dyDescent="0.25">
      <c r="A521" s="4">
        <v>513</v>
      </c>
      <c r="B521" s="4">
        <f t="shared" si="63"/>
        <v>87</v>
      </c>
      <c r="C521" s="4">
        <f t="shared" si="64"/>
        <v>528</v>
      </c>
      <c r="D521" s="4">
        <f>IF(B521&gt;'Mortality Table'!$A$118,D520,VLOOKUP(B521,'Mortality Table'!$A$2:$B$118,2,FALSE))</f>
        <v>0.23830000000000001</v>
      </c>
      <c r="E521" s="4">
        <f>IF(INT((C521-1)/12)+1&gt;'Lapse Table'!$A$11,E520,VLOOKUP(INT((C521-1)/12)+1,'Lapse Table'!$A$2:$B$11,2,FALSE))/12</f>
        <v>0</v>
      </c>
      <c r="F521" s="5">
        <f t="shared" si="71"/>
        <v>-1.8537156989541661</v>
      </c>
      <c r="G521" s="6">
        <f t="shared" si="65"/>
        <v>1.9858333333333335E-2</v>
      </c>
      <c r="H521" s="6">
        <f t="shared" si="66"/>
        <v>0</v>
      </c>
      <c r="I521" s="7">
        <f t="shared" si="67"/>
        <v>-61.790523298472202</v>
      </c>
      <c r="J521" s="8">
        <f t="shared" si="68"/>
        <v>19858.333333333336</v>
      </c>
      <c r="K521" s="7">
        <f t="shared" si="69"/>
        <v>-19920.12385663181</v>
      </c>
      <c r="L521" s="4">
        <f>IF(A521&gt;'Yield Curve'!A1135,L520,(1+VLOOKUP(A521,'Yield Curve'!A514:B1136,2,FALSE))^(1/12)-1)</f>
        <v>7.9741404289037643E-3</v>
      </c>
      <c r="M521" s="5">
        <f t="shared" si="70"/>
        <v>-338.65285704152927</v>
      </c>
    </row>
    <row r="522" spans="1:13" x14ac:dyDescent="0.25">
      <c r="A522" s="4">
        <v>514</v>
      </c>
      <c r="B522" s="4">
        <f t="shared" ref="B522:B585" si="72">INT($B$3+A522/12)</f>
        <v>87</v>
      </c>
      <c r="C522" s="4">
        <f t="shared" ref="C522:C585" si="73">$B$4+A522</f>
        <v>529</v>
      </c>
      <c r="D522" s="4">
        <f>IF(B522&gt;'Mortality Table'!$A$118,D521,VLOOKUP(B522,'Mortality Table'!$A$2:$B$118,2,FALSE))</f>
        <v>0.23830000000000001</v>
      </c>
      <c r="E522" s="4">
        <f>IF(INT((C522-1)/12)+1&gt;'Lapse Table'!$A$11,E521,VLOOKUP(INT((C522-1)/12)+1,'Lapse Table'!$A$2:$B$11,2,FALSE))/12</f>
        <v>0</v>
      </c>
      <c r="F522" s="5">
        <f t="shared" si="71"/>
        <v>-1.8735740322874994</v>
      </c>
      <c r="G522" s="6">
        <f t="shared" ref="G522:G585" si="74">D522/12*(1-0.5*E522)</f>
        <v>1.9858333333333335E-2</v>
      </c>
      <c r="H522" s="6">
        <f t="shared" ref="H522:H585" si="75">E522*(1-0.5*D522)</f>
        <v>0</v>
      </c>
      <c r="I522" s="7">
        <f t="shared" ref="I522:I585" si="76">F522*$B$5/12</f>
        <v>-62.452467742916646</v>
      </c>
      <c r="J522" s="8">
        <f t="shared" ref="J522:J585" si="77">$B$6*G522</f>
        <v>19858.333333333336</v>
      </c>
      <c r="K522" s="7">
        <f t="shared" ref="K522:K585" si="78">I522-J522</f>
        <v>-19920.785801076254</v>
      </c>
      <c r="L522" s="4">
        <f>IF(A522&gt;'Yield Curve'!A1136,L521,(1+VLOOKUP(A522,'Yield Curve'!A515:B1137,2,FALSE))^(1/12)-1)</f>
        <v>7.9741404289037643E-3</v>
      </c>
      <c r="M522" s="5">
        <f t="shared" ref="M522:M585" si="79">K522*(1+L522)^-A522</f>
        <v>-335.98491952407682</v>
      </c>
    </row>
    <row r="523" spans="1:13" x14ac:dyDescent="0.25">
      <c r="A523" s="4">
        <v>515</v>
      </c>
      <c r="B523" s="4">
        <f t="shared" si="72"/>
        <v>87</v>
      </c>
      <c r="C523" s="4">
        <f t="shared" si="73"/>
        <v>530</v>
      </c>
      <c r="D523" s="4">
        <f>IF(B523&gt;'Mortality Table'!$A$118,D522,VLOOKUP(B523,'Mortality Table'!$A$2:$B$118,2,FALSE))</f>
        <v>0.23830000000000001</v>
      </c>
      <c r="E523" s="4">
        <f>IF(INT((C523-1)/12)+1&gt;'Lapse Table'!$A$11,E522,VLOOKUP(INT((C523-1)/12)+1,'Lapse Table'!$A$2:$B$11,2,FALSE))/12</f>
        <v>0</v>
      </c>
      <c r="F523" s="5">
        <f t="shared" ref="F523:F586" si="80">F522-G523-H523</f>
        <v>-1.8934323656208327</v>
      </c>
      <c r="G523" s="6">
        <f t="shared" si="74"/>
        <v>1.9858333333333335E-2</v>
      </c>
      <c r="H523" s="6">
        <f t="shared" si="75"/>
        <v>0</v>
      </c>
      <c r="I523" s="7">
        <f t="shared" si="76"/>
        <v>-63.11441218736109</v>
      </c>
      <c r="J523" s="8">
        <f t="shared" si="77"/>
        <v>19858.333333333336</v>
      </c>
      <c r="K523" s="7">
        <f t="shared" si="78"/>
        <v>-19921.447745520698</v>
      </c>
      <c r="L523" s="4">
        <f>IF(A523&gt;'Yield Curve'!A1137,L522,(1+VLOOKUP(A523,'Yield Curve'!A516:B1138,2,FALSE))^(1/12)-1)</f>
        <v>7.9741404289037643E-3</v>
      </c>
      <c r="M523" s="5">
        <f t="shared" si="79"/>
        <v>-333.33799988911238</v>
      </c>
    </row>
    <row r="524" spans="1:13" x14ac:dyDescent="0.25">
      <c r="A524" s="4">
        <v>516</v>
      </c>
      <c r="B524" s="4">
        <f t="shared" si="72"/>
        <v>88</v>
      </c>
      <c r="C524" s="4">
        <f t="shared" si="73"/>
        <v>531</v>
      </c>
      <c r="D524" s="4">
        <f>IF(B524&gt;'Mortality Table'!$A$118,D523,VLOOKUP(B524,'Mortality Table'!$A$2:$B$118,2,FALSE))</f>
        <v>0.25674000000000002</v>
      </c>
      <c r="E524" s="4">
        <f>IF(INT((C524-1)/12)+1&gt;'Lapse Table'!$A$11,E523,VLOOKUP(INT((C524-1)/12)+1,'Lapse Table'!$A$2:$B$11,2,FALSE))/12</f>
        <v>0</v>
      </c>
      <c r="F524" s="5">
        <f t="shared" si="80"/>
        <v>-1.9148273656208328</v>
      </c>
      <c r="G524" s="6">
        <f t="shared" si="74"/>
        <v>2.1395000000000001E-2</v>
      </c>
      <c r="H524" s="6">
        <f t="shared" si="75"/>
        <v>0</v>
      </c>
      <c r="I524" s="7">
        <f t="shared" si="76"/>
        <v>-63.827578854027763</v>
      </c>
      <c r="J524" s="8">
        <f t="shared" si="77"/>
        <v>21395</v>
      </c>
      <c r="K524" s="7">
        <f t="shared" si="78"/>
        <v>-21458.827578854027</v>
      </c>
      <c r="L524" s="4">
        <f>IF(A524&gt;'Yield Curve'!A1138,L523,(1+VLOOKUP(A524,'Yield Curve'!A517:B1139,2,FALSE))^(1/12)-1)</f>
        <v>7.9741404289037643E-3</v>
      </c>
      <c r="M524" s="5">
        <f t="shared" si="79"/>
        <v>-356.22182838827331</v>
      </c>
    </row>
    <row r="525" spans="1:13" x14ac:dyDescent="0.25">
      <c r="A525" s="4">
        <v>517</v>
      </c>
      <c r="B525" s="4">
        <f t="shared" si="72"/>
        <v>88</v>
      </c>
      <c r="C525" s="4">
        <f t="shared" si="73"/>
        <v>532</v>
      </c>
      <c r="D525" s="4">
        <f>IF(B525&gt;'Mortality Table'!$A$118,D524,VLOOKUP(B525,'Mortality Table'!$A$2:$B$118,2,FALSE))</f>
        <v>0.25674000000000002</v>
      </c>
      <c r="E525" s="4">
        <f>IF(INT((C525-1)/12)+1&gt;'Lapse Table'!$A$11,E524,VLOOKUP(INT((C525-1)/12)+1,'Lapse Table'!$A$2:$B$11,2,FALSE))/12</f>
        <v>0</v>
      </c>
      <c r="F525" s="5">
        <f t="shared" si="80"/>
        <v>-1.9362223656208328</v>
      </c>
      <c r="G525" s="6">
        <f t="shared" si="74"/>
        <v>2.1395000000000001E-2</v>
      </c>
      <c r="H525" s="6">
        <f t="shared" si="75"/>
        <v>0</v>
      </c>
      <c r="I525" s="7">
        <f t="shared" si="76"/>
        <v>-64.540745520694429</v>
      </c>
      <c r="J525" s="8">
        <f t="shared" si="77"/>
        <v>21395</v>
      </c>
      <c r="K525" s="7">
        <f t="shared" si="78"/>
        <v>-21459.540745520695</v>
      </c>
      <c r="L525" s="4">
        <f>IF(A525&gt;'Yield Curve'!A1139,L524,(1+VLOOKUP(A525,'Yield Curve'!A518:B1140,2,FALSE))^(1/12)-1)</f>
        <v>7.9741404289037643E-3</v>
      </c>
      <c r="M525" s="5">
        <f t="shared" si="79"/>
        <v>-353.41548244401071</v>
      </c>
    </row>
    <row r="526" spans="1:13" x14ac:dyDescent="0.25">
      <c r="A526" s="4">
        <v>518</v>
      </c>
      <c r="B526" s="4">
        <f t="shared" si="72"/>
        <v>88</v>
      </c>
      <c r="C526" s="4">
        <f t="shared" si="73"/>
        <v>533</v>
      </c>
      <c r="D526" s="4">
        <f>IF(B526&gt;'Mortality Table'!$A$118,D525,VLOOKUP(B526,'Mortality Table'!$A$2:$B$118,2,FALSE))</f>
        <v>0.25674000000000002</v>
      </c>
      <c r="E526" s="4">
        <f>IF(INT((C526-1)/12)+1&gt;'Lapse Table'!$A$11,E525,VLOOKUP(INT((C526-1)/12)+1,'Lapse Table'!$A$2:$B$11,2,FALSE))/12</f>
        <v>0</v>
      </c>
      <c r="F526" s="5">
        <f t="shared" si="80"/>
        <v>-1.9576173656208329</v>
      </c>
      <c r="G526" s="6">
        <f t="shared" si="74"/>
        <v>2.1395000000000001E-2</v>
      </c>
      <c r="H526" s="6">
        <f t="shared" si="75"/>
        <v>0</v>
      </c>
      <c r="I526" s="7">
        <f t="shared" si="76"/>
        <v>-65.253912187361095</v>
      </c>
      <c r="J526" s="8">
        <f t="shared" si="77"/>
        <v>21395</v>
      </c>
      <c r="K526" s="7">
        <f t="shared" si="78"/>
        <v>-21460.25391218736</v>
      </c>
      <c r="L526" s="4">
        <f>IF(A526&gt;'Yield Curve'!A1140,L525,(1+VLOOKUP(A526,'Yield Curve'!A519:B1141,2,FALSE))^(1/12)-1)</f>
        <v>7.9741404289037643E-3</v>
      </c>
      <c r="M526" s="5">
        <f t="shared" si="79"/>
        <v>-350.63124474518469</v>
      </c>
    </row>
    <row r="527" spans="1:13" x14ac:dyDescent="0.25">
      <c r="A527" s="4">
        <v>519</v>
      </c>
      <c r="B527" s="4">
        <f t="shared" si="72"/>
        <v>88</v>
      </c>
      <c r="C527" s="4">
        <f t="shared" si="73"/>
        <v>534</v>
      </c>
      <c r="D527" s="4">
        <f>IF(B527&gt;'Mortality Table'!$A$118,D526,VLOOKUP(B527,'Mortality Table'!$A$2:$B$118,2,FALSE))</f>
        <v>0.25674000000000002</v>
      </c>
      <c r="E527" s="4">
        <f>IF(INT((C527-1)/12)+1&gt;'Lapse Table'!$A$11,E526,VLOOKUP(INT((C527-1)/12)+1,'Lapse Table'!$A$2:$B$11,2,FALSE))/12</f>
        <v>0</v>
      </c>
      <c r="F527" s="5">
        <f t="shared" si="80"/>
        <v>-1.9790123656208329</v>
      </c>
      <c r="G527" s="6">
        <f t="shared" si="74"/>
        <v>2.1395000000000001E-2</v>
      </c>
      <c r="H527" s="6">
        <f t="shared" si="75"/>
        <v>0</v>
      </c>
      <c r="I527" s="7">
        <f t="shared" si="76"/>
        <v>-65.967078854027761</v>
      </c>
      <c r="J527" s="8">
        <f t="shared" si="77"/>
        <v>21395</v>
      </c>
      <c r="K527" s="7">
        <f t="shared" si="78"/>
        <v>-21460.967078854028</v>
      </c>
      <c r="L527" s="4">
        <f>IF(A527&gt;'Yield Curve'!A1141,L526,(1+VLOOKUP(A527,'Yield Curve'!A520:B1142,2,FALSE))^(1/12)-1)</f>
        <v>7.9741404289037643E-3</v>
      </c>
      <c r="M527" s="5">
        <f t="shared" si="79"/>
        <v>-347.86894112727924</v>
      </c>
    </row>
    <row r="528" spans="1:13" x14ac:dyDescent="0.25">
      <c r="A528" s="4">
        <v>520</v>
      </c>
      <c r="B528" s="4">
        <f t="shared" si="72"/>
        <v>88</v>
      </c>
      <c r="C528" s="4">
        <f t="shared" si="73"/>
        <v>535</v>
      </c>
      <c r="D528" s="4">
        <f>IF(B528&gt;'Mortality Table'!$A$118,D527,VLOOKUP(B528,'Mortality Table'!$A$2:$B$118,2,FALSE))</f>
        <v>0.25674000000000002</v>
      </c>
      <c r="E528" s="4">
        <f>IF(INT((C528-1)/12)+1&gt;'Lapse Table'!$A$11,E527,VLOOKUP(INT((C528-1)/12)+1,'Lapse Table'!$A$2:$B$11,2,FALSE))/12</f>
        <v>0</v>
      </c>
      <c r="F528" s="5">
        <f t="shared" si="80"/>
        <v>-2.0004073656208328</v>
      </c>
      <c r="G528" s="6">
        <f t="shared" si="74"/>
        <v>2.1395000000000001E-2</v>
      </c>
      <c r="H528" s="6">
        <f t="shared" si="75"/>
        <v>0</v>
      </c>
      <c r="I528" s="7">
        <f t="shared" si="76"/>
        <v>-66.680245520694427</v>
      </c>
      <c r="J528" s="8">
        <f t="shared" si="77"/>
        <v>21395</v>
      </c>
      <c r="K528" s="7">
        <f t="shared" si="78"/>
        <v>-21461.680245520696</v>
      </c>
      <c r="L528" s="4">
        <f>IF(A528&gt;'Yield Curve'!A1142,L527,(1+VLOOKUP(A528,'Yield Curve'!A521:B1143,2,FALSE))^(1/12)-1)</f>
        <v>7.9741404289037643E-3</v>
      </c>
      <c r="M528" s="5">
        <f t="shared" si="79"/>
        <v>-345.12839879778863</v>
      </c>
    </row>
    <row r="529" spans="1:13" x14ac:dyDescent="0.25">
      <c r="A529" s="4">
        <v>521</v>
      </c>
      <c r="B529" s="4">
        <f t="shared" si="72"/>
        <v>88</v>
      </c>
      <c r="C529" s="4">
        <f t="shared" si="73"/>
        <v>536</v>
      </c>
      <c r="D529" s="4">
        <f>IF(B529&gt;'Mortality Table'!$A$118,D528,VLOOKUP(B529,'Mortality Table'!$A$2:$B$118,2,FALSE))</f>
        <v>0.25674000000000002</v>
      </c>
      <c r="E529" s="4">
        <f>IF(INT((C529-1)/12)+1&gt;'Lapse Table'!$A$11,E528,VLOOKUP(INT((C529-1)/12)+1,'Lapse Table'!$A$2:$B$11,2,FALSE))/12</f>
        <v>0</v>
      </c>
      <c r="F529" s="5">
        <f t="shared" si="80"/>
        <v>-2.0218023656208328</v>
      </c>
      <c r="G529" s="6">
        <f t="shared" si="74"/>
        <v>2.1395000000000001E-2</v>
      </c>
      <c r="H529" s="6">
        <f t="shared" si="75"/>
        <v>0</v>
      </c>
      <c r="I529" s="7">
        <f t="shared" si="76"/>
        <v>-67.393412187361093</v>
      </c>
      <c r="J529" s="8">
        <f t="shared" si="77"/>
        <v>21395</v>
      </c>
      <c r="K529" s="7">
        <f t="shared" si="78"/>
        <v>-21462.393412187361</v>
      </c>
      <c r="L529" s="4">
        <f>IF(A529&gt;'Yield Curve'!A1143,L528,(1+VLOOKUP(A529,'Yield Curve'!A522:B1144,2,FALSE))^(1/12)-1)</f>
        <v>7.9741404289037643E-3</v>
      </c>
      <c r="M529" s="5">
        <f t="shared" si="79"/>
        <v>-342.40944632540919</v>
      </c>
    </row>
    <row r="530" spans="1:13" x14ac:dyDescent="0.25">
      <c r="A530" s="4">
        <v>522</v>
      </c>
      <c r="B530" s="4">
        <f t="shared" si="72"/>
        <v>88</v>
      </c>
      <c r="C530" s="4">
        <f t="shared" si="73"/>
        <v>537</v>
      </c>
      <c r="D530" s="4">
        <f>IF(B530&gt;'Mortality Table'!$A$118,D529,VLOOKUP(B530,'Mortality Table'!$A$2:$B$118,2,FALSE))</f>
        <v>0.25674000000000002</v>
      </c>
      <c r="E530" s="4">
        <f>IF(INT((C530-1)/12)+1&gt;'Lapse Table'!$A$11,E529,VLOOKUP(INT((C530-1)/12)+1,'Lapse Table'!$A$2:$B$11,2,FALSE))/12</f>
        <v>0</v>
      </c>
      <c r="F530" s="5">
        <f t="shared" si="80"/>
        <v>-2.0431973656208329</v>
      </c>
      <c r="G530" s="6">
        <f t="shared" si="74"/>
        <v>2.1395000000000001E-2</v>
      </c>
      <c r="H530" s="6">
        <f t="shared" si="75"/>
        <v>0</v>
      </c>
      <c r="I530" s="7">
        <f t="shared" si="76"/>
        <v>-68.106578854027759</v>
      </c>
      <c r="J530" s="8">
        <f t="shared" si="77"/>
        <v>21395</v>
      </c>
      <c r="K530" s="7">
        <f t="shared" si="78"/>
        <v>-21463.106578854029</v>
      </c>
      <c r="L530" s="4">
        <f>IF(A530&gt;'Yield Curve'!A1144,L529,(1+VLOOKUP(A530,'Yield Curve'!A523:B1145,2,FALSE))^(1/12)-1)</f>
        <v>7.9741404289037643E-3</v>
      </c>
      <c r="M530" s="5">
        <f t="shared" si="79"/>
        <v>-339.71191362931688</v>
      </c>
    </row>
    <row r="531" spans="1:13" x14ac:dyDescent="0.25">
      <c r="A531" s="4">
        <v>523</v>
      </c>
      <c r="B531" s="4">
        <f t="shared" si="72"/>
        <v>88</v>
      </c>
      <c r="C531" s="4">
        <f t="shared" si="73"/>
        <v>538</v>
      </c>
      <c r="D531" s="4">
        <f>IF(B531&gt;'Mortality Table'!$A$118,D530,VLOOKUP(B531,'Mortality Table'!$A$2:$B$118,2,FALSE))</f>
        <v>0.25674000000000002</v>
      </c>
      <c r="E531" s="4">
        <f>IF(INT((C531-1)/12)+1&gt;'Lapse Table'!$A$11,E530,VLOOKUP(INT((C531-1)/12)+1,'Lapse Table'!$A$2:$B$11,2,FALSE))/12</f>
        <v>0</v>
      </c>
      <c r="F531" s="5">
        <f t="shared" si="80"/>
        <v>-2.0645923656208329</v>
      </c>
      <c r="G531" s="6">
        <f t="shared" si="74"/>
        <v>2.1395000000000001E-2</v>
      </c>
      <c r="H531" s="6">
        <f t="shared" si="75"/>
        <v>0</v>
      </c>
      <c r="I531" s="7">
        <f t="shared" si="76"/>
        <v>-68.81974552069444</v>
      </c>
      <c r="J531" s="8">
        <f t="shared" si="77"/>
        <v>21395</v>
      </c>
      <c r="K531" s="7">
        <f t="shared" si="78"/>
        <v>-21463.819745520694</v>
      </c>
      <c r="L531" s="4">
        <f>IF(A531&gt;'Yield Curve'!A1145,L530,(1+VLOOKUP(A531,'Yield Curve'!A524:B1146,2,FALSE))^(1/12)-1)</f>
        <v>7.9741404289037643E-3</v>
      </c>
      <c r="M531" s="5">
        <f t="shared" si="79"/>
        <v>-337.03563196852798</v>
      </c>
    </row>
    <row r="532" spans="1:13" x14ac:dyDescent="0.25">
      <c r="A532" s="4">
        <v>524</v>
      </c>
      <c r="B532" s="4">
        <f t="shared" si="72"/>
        <v>88</v>
      </c>
      <c r="C532" s="4">
        <f t="shared" si="73"/>
        <v>539</v>
      </c>
      <c r="D532" s="4">
        <f>IF(B532&gt;'Mortality Table'!$A$118,D531,VLOOKUP(B532,'Mortality Table'!$A$2:$B$118,2,FALSE))</f>
        <v>0.25674000000000002</v>
      </c>
      <c r="E532" s="4">
        <f>IF(INT((C532-1)/12)+1&gt;'Lapse Table'!$A$11,E531,VLOOKUP(INT((C532-1)/12)+1,'Lapse Table'!$A$2:$B$11,2,FALSE))/12</f>
        <v>0</v>
      </c>
      <c r="F532" s="5">
        <f t="shared" si="80"/>
        <v>-2.085987365620833</v>
      </c>
      <c r="G532" s="6">
        <f t="shared" si="74"/>
        <v>2.1395000000000001E-2</v>
      </c>
      <c r="H532" s="6">
        <f t="shared" si="75"/>
        <v>0</v>
      </c>
      <c r="I532" s="7">
        <f t="shared" si="76"/>
        <v>-69.532912187361106</v>
      </c>
      <c r="J532" s="8">
        <f t="shared" si="77"/>
        <v>21395</v>
      </c>
      <c r="K532" s="7">
        <f t="shared" si="78"/>
        <v>-21464.532912187362</v>
      </c>
      <c r="L532" s="4">
        <f>IF(A532&gt;'Yield Curve'!A1146,L531,(1+VLOOKUP(A532,'Yield Curve'!A525:B1147,2,FALSE))^(1/12)-1)</f>
        <v>7.9741404289037643E-3</v>
      </c>
      <c r="M532" s="5">
        <f t="shared" si="79"/>
        <v>-334.38043393134518</v>
      </c>
    </row>
    <row r="533" spans="1:13" x14ac:dyDescent="0.25">
      <c r="A533" s="4">
        <v>525</v>
      </c>
      <c r="B533" s="4">
        <f t="shared" si="72"/>
        <v>88</v>
      </c>
      <c r="C533" s="4">
        <f t="shared" si="73"/>
        <v>540</v>
      </c>
      <c r="D533" s="4">
        <f>IF(B533&gt;'Mortality Table'!$A$118,D532,VLOOKUP(B533,'Mortality Table'!$A$2:$B$118,2,FALSE))</f>
        <v>0.25674000000000002</v>
      </c>
      <c r="E533" s="4">
        <f>IF(INT((C533-1)/12)+1&gt;'Lapse Table'!$A$11,E532,VLOOKUP(INT((C533-1)/12)+1,'Lapse Table'!$A$2:$B$11,2,FALSE))/12</f>
        <v>0</v>
      </c>
      <c r="F533" s="5">
        <f t="shared" si="80"/>
        <v>-2.107382365620833</v>
      </c>
      <c r="G533" s="6">
        <f t="shared" si="74"/>
        <v>2.1395000000000001E-2</v>
      </c>
      <c r="H533" s="6">
        <f t="shared" si="75"/>
        <v>0</v>
      </c>
      <c r="I533" s="7">
        <f t="shared" si="76"/>
        <v>-70.246078854027772</v>
      </c>
      <c r="J533" s="8">
        <f t="shared" si="77"/>
        <v>21395</v>
      </c>
      <c r="K533" s="7">
        <f t="shared" si="78"/>
        <v>-21465.246078854027</v>
      </c>
      <c r="L533" s="4">
        <f>IF(A533&gt;'Yield Curve'!A1147,L532,(1+VLOOKUP(A533,'Yield Curve'!A526:B1148,2,FALSE))^(1/12)-1)</f>
        <v>7.9741404289037643E-3</v>
      </c>
      <c r="M533" s="5">
        <f t="shared" si="79"/>
        <v>-331.7461534248859</v>
      </c>
    </row>
    <row r="534" spans="1:13" x14ac:dyDescent="0.25">
      <c r="A534" s="4">
        <v>526</v>
      </c>
      <c r="B534" s="4">
        <f t="shared" si="72"/>
        <v>88</v>
      </c>
      <c r="C534" s="4">
        <f t="shared" si="73"/>
        <v>541</v>
      </c>
      <c r="D534" s="4">
        <f>IF(B534&gt;'Mortality Table'!$A$118,D533,VLOOKUP(B534,'Mortality Table'!$A$2:$B$118,2,FALSE))</f>
        <v>0.25674000000000002</v>
      </c>
      <c r="E534" s="4">
        <f>IF(INT((C534-1)/12)+1&gt;'Lapse Table'!$A$11,E533,VLOOKUP(INT((C534-1)/12)+1,'Lapse Table'!$A$2:$B$11,2,FALSE))/12</f>
        <v>0</v>
      </c>
      <c r="F534" s="5">
        <f t="shared" si="80"/>
        <v>-2.1287773656208331</v>
      </c>
      <c r="G534" s="6">
        <f t="shared" si="74"/>
        <v>2.1395000000000001E-2</v>
      </c>
      <c r="H534" s="6">
        <f t="shared" si="75"/>
        <v>0</v>
      </c>
      <c r="I534" s="7">
        <f t="shared" si="76"/>
        <v>-70.959245520694438</v>
      </c>
      <c r="J534" s="8">
        <f t="shared" si="77"/>
        <v>21395</v>
      </c>
      <c r="K534" s="7">
        <f t="shared" si="78"/>
        <v>-21465.959245520695</v>
      </c>
      <c r="L534" s="4">
        <f>IF(A534&gt;'Yield Curve'!A1148,L533,(1+VLOOKUP(A534,'Yield Curve'!A527:B1149,2,FALSE))^(1/12)-1)</f>
        <v>7.9741404289037643E-3</v>
      </c>
      <c r="M534" s="5">
        <f t="shared" si="79"/>
        <v>-329.13262566469314</v>
      </c>
    </row>
    <row r="535" spans="1:13" x14ac:dyDescent="0.25">
      <c r="A535" s="4">
        <v>527</v>
      </c>
      <c r="B535" s="4">
        <f t="shared" si="72"/>
        <v>88</v>
      </c>
      <c r="C535" s="4">
        <f t="shared" si="73"/>
        <v>542</v>
      </c>
      <c r="D535" s="4">
        <f>IF(B535&gt;'Mortality Table'!$A$118,D534,VLOOKUP(B535,'Mortality Table'!$A$2:$B$118,2,FALSE))</f>
        <v>0.25674000000000002</v>
      </c>
      <c r="E535" s="4">
        <f>IF(INT((C535-1)/12)+1&gt;'Lapse Table'!$A$11,E534,VLOOKUP(INT((C535-1)/12)+1,'Lapse Table'!$A$2:$B$11,2,FALSE))/12</f>
        <v>0</v>
      </c>
      <c r="F535" s="5">
        <f t="shared" si="80"/>
        <v>-2.1501723656208331</v>
      </c>
      <c r="G535" s="6">
        <f t="shared" si="74"/>
        <v>2.1395000000000001E-2</v>
      </c>
      <c r="H535" s="6">
        <f t="shared" si="75"/>
        <v>0</v>
      </c>
      <c r="I535" s="7">
        <f t="shared" si="76"/>
        <v>-71.672412187361104</v>
      </c>
      <c r="J535" s="8">
        <f t="shared" si="77"/>
        <v>21395</v>
      </c>
      <c r="K535" s="7">
        <f t="shared" si="78"/>
        <v>-21466.672412187359</v>
      </c>
      <c r="L535" s="4">
        <f>IF(A535&gt;'Yield Curve'!A1149,L534,(1+VLOOKUP(A535,'Yield Curve'!A528:B1150,2,FALSE))^(1/12)-1)</f>
        <v>7.9741404289037643E-3</v>
      </c>
      <c r="M535" s="5">
        <f t="shared" si="79"/>
        <v>-326.53968716442841</v>
      </c>
    </row>
    <row r="536" spans="1:13" x14ac:dyDescent="0.25">
      <c r="A536" s="4">
        <v>528</v>
      </c>
      <c r="B536" s="4">
        <f t="shared" si="72"/>
        <v>89</v>
      </c>
      <c r="C536" s="4">
        <f t="shared" si="73"/>
        <v>543</v>
      </c>
      <c r="D536" s="4">
        <f>IF(B536&gt;'Mortality Table'!$A$118,D535,VLOOKUP(B536,'Mortality Table'!$A$2:$B$118,2,FALSE))</f>
        <v>0.27632000000000001</v>
      </c>
      <c r="E536" s="4">
        <f>IF(INT((C536-1)/12)+1&gt;'Lapse Table'!$A$11,E535,VLOOKUP(INT((C536-1)/12)+1,'Lapse Table'!$A$2:$B$11,2,FALSE))/12</f>
        <v>0</v>
      </c>
      <c r="F536" s="5">
        <f t="shared" si="80"/>
        <v>-2.1731990322874997</v>
      </c>
      <c r="G536" s="6">
        <f t="shared" si="74"/>
        <v>2.3026666666666668E-2</v>
      </c>
      <c r="H536" s="6">
        <f t="shared" si="75"/>
        <v>0</v>
      </c>
      <c r="I536" s="7">
        <f t="shared" si="76"/>
        <v>-72.439967742916664</v>
      </c>
      <c r="J536" s="8">
        <f t="shared" si="77"/>
        <v>23026.666666666668</v>
      </c>
      <c r="K536" s="7">
        <f t="shared" si="78"/>
        <v>-23099.106634409585</v>
      </c>
      <c r="L536" s="4">
        <f>IF(A536&gt;'Yield Curve'!A1150,L535,(1+VLOOKUP(A536,'Yield Curve'!A529:B1151,2,FALSE))^(1/12)-1)</f>
        <v>7.9741404289037643E-3</v>
      </c>
      <c r="M536" s="5">
        <f t="shared" si="79"/>
        <v>-348.59169555823831</v>
      </c>
    </row>
    <row r="537" spans="1:13" x14ac:dyDescent="0.25">
      <c r="A537" s="4">
        <v>529</v>
      </c>
      <c r="B537" s="4">
        <f t="shared" si="72"/>
        <v>89</v>
      </c>
      <c r="C537" s="4">
        <f t="shared" si="73"/>
        <v>544</v>
      </c>
      <c r="D537" s="4">
        <f>IF(B537&gt;'Mortality Table'!$A$118,D536,VLOOKUP(B537,'Mortality Table'!$A$2:$B$118,2,FALSE))</f>
        <v>0.27632000000000001</v>
      </c>
      <c r="E537" s="4">
        <f>IF(INT((C537-1)/12)+1&gt;'Lapse Table'!$A$11,E536,VLOOKUP(INT((C537-1)/12)+1,'Lapse Table'!$A$2:$B$11,2,FALSE))/12</f>
        <v>0</v>
      </c>
      <c r="F537" s="5">
        <f t="shared" si="80"/>
        <v>-2.1962256989541662</v>
      </c>
      <c r="G537" s="6">
        <f t="shared" si="74"/>
        <v>2.3026666666666668E-2</v>
      </c>
      <c r="H537" s="6">
        <f t="shared" si="75"/>
        <v>0</v>
      </c>
      <c r="I537" s="7">
        <f t="shared" si="76"/>
        <v>-73.207523298472211</v>
      </c>
      <c r="J537" s="8">
        <f t="shared" si="77"/>
        <v>23026.666666666668</v>
      </c>
      <c r="K537" s="7">
        <f t="shared" si="78"/>
        <v>-23099.87418996514</v>
      </c>
      <c r="L537" s="4">
        <f>IF(A537&gt;'Yield Curve'!A1151,L536,(1+VLOOKUP(A537,'Yield Curve'!A530:B1152,2,FALSE))^(1/12)-1)</f>
        <v>7.9741404289037643E-3</v>
      </c>
      <c r="M537" s="5">
        <f t="shared" si="79"/>
        <v>-345.84545858790489</v>
      </c>
    </row>
    <row r="538" spans="1:13" x14ac:dyDescent="0.25">
      <c r="A538" s="4">
        <v>530</v>
      </c>
      <c r="B538" s="4">
        <f t="shared" si="72"/>
        <v>89</v>
      </c>
      <c r="C538" s="4">
        <f t="shared" si="73"/>
        <v>545</v>
      </c>
      <c r="D538" s="4">
        <f>IF(B538&gt;'Mortality Table'!$A$118,D537,VLOOKUP(B538,'Mortality Table'!$A$2:$B$118,2,FALSE))</f>
        <v>0.27632000000000001</v>
      </c>
      <c r="E538" s="4">
        <f>IF(INT((C538-1)/12)+1&gt;'Lapse Table'!$A$11,E537,VLOOKUP(INT((C538-1)/12)+1,'Lapse Table'!$A$2:$B$11,2,FALSE))/12</f>
        <v>0</v>
      </c>
      <c r="F538" s="5">
        <f t="shared" si="80"/>
        <v>-2.2192523656208327</v>
      </c>
      <c r="G538" s="6">
        <f t="shared" si="74"/>
        <v>2.3026666666666668E-2</v>
      </c>
      <c r="H538" s="6">
        <f t="shared" si="75"/>
        <v>0</v>
      </c>
      <c r="I538" s="7">
        <f t="shared" si="76"/>
        <v>-73.975078854027757</v>
      </c>
      <c r="J538" s="8">
        <f t="shared" si="77"/>
        <v>23026.666666666668</v>
      </c>
      <c r="K538" s="7">
        <f t="shared" si="78"/>
        <v>-23100.641745520697</v>
      </c>
      <c r="L538" s="4">
        <f>IF(A538&gt;'Yield Curve'!A1152,L537,(1+VLOOKUP(A538,'Yield Curve'!A531:B1153,2,FALSE))^(1/12)-1)</f>
        <v>7.9741404289037643E-3</v>
      </c>
      <c r="M538" s="5">
        <f t="shared" si="79"/>
        <v>-343.12085634248132</v>
      </c>
    </row>
    <row r="539" spans="1:13" x14ac:dyDescent="0.25">
      <c r="A539" s="4">
        <v>531</v>
      </c>
      <c r="B539" s="4">
        <f t="shared" si="72"/>
        <v>89</v>
      </c>
      <c r="C539" s="4">
        <f t="shared" si="73"/>
        <v>546</v>
      </c>
      <c r="D539" s="4">
        <f>IF(B539&gt;'Mortality Table'!$A$118,D538,VLOOKUP(B539,'Mortality Table'!$A$2:$B$118,2,FALSE))</f>
        <v>0.27632000000000001</v>
      </c>
      <c r="E539" s="4">
        <f>IF(INT((C539-1)/12)+1&gt;'Lapse Table'!$A$11,E538,VLOOKUP(INT((C539-1)/12)+1,'Lapse Table'!$A$2:$B$11,2,FALSE))/12</f>
        <v>0</v>
      </c>
      <c r="F539" s="5">
        <f t="shared" si="80"/>
        <v>-2.2422790322874993</v>
      </c>
      <c r="G539" s="6">
        <f t="shared" si="74"/>
        <v>2.3026666666666668E-2</v>
      </c>
      <c r="H539" s="6">
        <f t="shared" si="75"/>
        <v>0</v>
      </c>
      <c r="I539" s="7">
        <f t="shared" si="76"/>
        <v>-74.742634409583317</v>
      </c>
      <c r="J539" s="8">
        <f t="shared" si="77"/>
        <v>23026.666666666668</v>
      </c>
      <c r="K539" s="7">
        <f t="shared" si="78"/>
        <v>-23101.409301076252</v>
      </c>
      <c r="L539" s="4">
        <f>IF(A539&gt;'Yield Curve'!A1153,L538,(1+VLOOKUP(A539,'Yield Curve'!A532:B1154,2,FALSE))^(1/12)-1)</f>
        <v>7.9741404289037643E-3</v>
      </c>
      <c r="M539" s="5">
        <f t="shared" si="79"/>
        <v>-340.4177183876381</v>
      </c>
    </row>
    <row r="540" spans="1:13" x14ac:dyDescent="0.25">
      <c r="A540" s="4">
        <v>532</v>
      </c>
      <c r="B540" s="4">
        <f t="shared" si="72"/>
        <v>89</v>
      </c>
      <c r="C540" s="4">
        <f t="shared" si="73"/>
        <v>547</v>
      </c>
      <c r="D540" s="4">
        <f>IF(B540&gt;'Mortality Table'!$A$118,D539,VLOOKUP(B540,'Mortality Table'!$A$2:$B$118,2,FALSE))</f>
        <v>0.27632000000000001</v>
      </c>
      <c r="E540" s="4">
        <f>IF(INT((C540-1)/12)+1&gt;'Lapse Table'!$A$11,E539,VLOOKUP(INT((C540-1)/12)+1,'Lapse Table'!$A$2:$B$11,2,FALSE))/12</f>
        <v>0</v>
      </c>
      <c r="F540" s="5">
        <f t="shared" si="80"/>
        <v>-2.2653056989541658</v>
      </c>
      <c r="G540" s="6">
        <f t="shared" si="74"/>
        <v>2.3026666666666668E-2</v>
      </c>
      <c r="H540" s="6">
        <f t="shared" si="75"/>
        <v>0</v>
      </c>
      <c r="I540" s="7">
        <f t="shared" si="76"/>
        <v>-75.510189965138863</v>
      </c>
      <c r="J540" s="8">
        <f t="shared" si="77"/>
        <v>23026.666666666668</v>
      </c>
      <c r="K540" s="7">
        <f t="shared" si="78"/>
        <v>-23102.176856631806</v>
      </c>
      <c r="L540" s="4">
        <f>IF(A540&gt;'Yield Curve'!A1154,L539,(1+VLOOKUP(A540,'Yield Curve'!A533:B1155,2,FALSE))^(1/12)-1)</f>
        <v>7.9741404289037643E-3</v>
      </c>
      <c r="M540" s="5">
        <f t="shared" si="79"/>
        <v>-337.73587563167126</v>
      </c>
    </row>
    <row r="541" spans="1:13" x14ac:dyDescent="0.25">
      <c r="A541" s="4">
        <v>533</v>
      </c>
      <c r="B541" s="4">
        <f t="shared" si="72"/>
        <v>89</v>
      </c>
      <c r="C541" s="4">
        <f t="shared" si="73"/>
        <v>548</v>
      </c>
      <c r="D541" s="4">
        <f>IF(B541&gt;'Mortality Table'!$A$118,D540,VLOOKUP(B541,'Mortality Table'!$A$2:$B$118,2,FALSE))</f>
        <v>0.27632000000000001</v>
      </c>
      <c r="E541" s="4">
        <f>IF(INT((C541-1)/12)+1&gt;'Lapse Table'!$A$11,E540,VLOOKUP(INT((C541-1)/12)+1,'Lapse Table'!$A$2:$B$11,2,FALSE))/12</f>
        <v>0</v>
      </c>
      <c r="F541" s="5">
        <f t="shared" si="80"/>
        <v>-2.2883323656208323</v>
      </c>
      <c r="G541" s="6">
        <f t="shared" si="74"/>
        <v>2.3026666666666668E-2</v>
      </c>
      <c r="H541" s="6">
        <f t="shared" si="75"/>
        <v>0</v>
      </c>
      <c r="I541" s="7">
        <f t="shared" si="76"/>
        <v>-76.27774552069441</v>
      </c>
      <c r="J541" s="8">
        <f t="shared" si="77"/>
        <v>23026.666666666668</v>
      </c>
      <c r="K541" s="7">
        <f t="shared" si="78"/>
        <v>-23102.944412187364</v>
      </c>
      <c r="L541" s="4">
        <f>IF(A541&gt;'Yield Curve'!A1155,L540,(1+VLOOKUP(A541,'Yield Curve'!A534:B1156,2,FALSE))^(1/12)-1)</f>
        <v>7.9741404289037643E-3</v>
      </c>
      <c r="M541" s="5">
        <f t="shared" si="79"/>
        <v>-335.07516031492673</v>
      </c>
    </row>
    <row r="542" spans="1:13" x14ac:dyDescent="0.25">
      <c r="A542" s="4">
        <v>534</v>
      </c>
      <c r="B542" s="4">
        <f t="shared" si="72"/>
        <v>89</v>
      </c>
      <c r="C542" s="4">
        <f t="shared" si="73"/>
        <v>549</v>
      </c>
      <c r="D542" s="4">
        <f>IF(B542&gt;'Mortality Table'!$A$118,D541,VLOOKUP(B542,'Mortality Table'!$A$2:$B$118,2,FALSE))</f>
        <v>0.27632000000000001</v>
      </c>
      <c r="E542" s="4">
        <f>IF(INT((C542-1)/12)+1&gt;'Lapse Table'!$A$11,E541,VLOOKUP(INT((C542-1)/12)+1,'Lapse Table'!$A$2:$B$11,2,FALSE))/12</f>
        <v>0</v>
      </c>
      <c r="F542" s="5">
        <f t="shared" si="80"/>
        <v>-2.3113590322874988</v>
      </c>
      <c r="G542" s="6">
        <f t="shared" si="74"/>
        <v>2.3026666666666668E-2</v>
      </c>
      <c r="H542" s="6">
        <f t="shared" si="75"/>
        <v>0</v>
      </c>
      <c r="I542" s="7">
        <f t="shared" si="76"/>
        <v>-77.04530107624997</v>
      </c>
      <c r="J542" s="8">
        <f t="shared" si="77"/>
        <v>23026.666666666668</v>
      </c>
      <c r="K542" s="7">
        <f t="shared" si="78"/>
        <v>-23103.711967742918</v>
      </c>
      <c r="L542" s="4">
        <f>IF(A542&gt;'Yield Curve'!A1156,L541,(1+VLOOKUP(A542,'Yield Curve'!A535:B1157,2,FALSE))^(1/12)-1)</f>
        <v>7.9741404289037643E-3</v>
      </c>
      <c r="M542" s="5">
        <f t="shared" si="79"/>
        <v>-332.43540599930634</v>
      </c>
    </row>
    <row r="543" spans="1:13" x14ac:dyDescent="0.25">
      <c r="A543" s="4">
        <v>535</v>
      </c>
      <c r="B543" s="4">
        <f t="shared" si="72"/>
        <v>89</v>
      </c>
      <c r="C543" s="4">
        <f t="shared" si="73"/>
        <v>550</v>
      </c>
      <c r="D543" s="4">
        <f>IF(B543&gt;'Mortality Table'!$A$118,D542,VLOOKUP(B543,'Mortality Table'!$A$2:$B$118,2,FALSE))</f>
        <v>0.27632000000000001</v>
      </c>
      <c r="E543" s="4">
        <f>IF(INT((C543-1)/12)+1&gt;'Lapse Table'!$A$11,E542,VLOOKUP(INT((C543-1)/12)+1,'Lapse Table'!$A$2:$B$11,2,FALSE))/12</f>
        <v>0</v>
      </c>
      <c r="F543" s="5">
        <f t="shared" si="80"/>
        <v>-2.3343856989541654</v>
      </c>
      <c r="G543" s="6">
        <f t="shared" si="74"/>
        <v>2.3026666666666668E-2</v>
      </c>
      <c r="H543" s="6">
        <f t="shared" si="75"/>
        <v>0</v>
      </c>
      <c r="I543" s="7">
        <f t="shared" si="76"/>
        <v>-77.812856631805516</v>
      </c>
      <c r="J543" s="8">
        <f t="shared" si="77"/>
        <v>23026.666666666668</v>
      </c>
      <c r="K543" s="7">
        <f t="shared" si="78"/>
        <v>-23104.479523298472</v>
      </c>
      <c r="L543" s="4">
        <f>IF(A543&gt;'Yield Curve'!A1157,L542,(1+VLOOKUP(A543,'Yield Curve'!A536:B1158,2,FALSE))^(1/12)-1)</f>
        <v>7.9741404289037643E-3</v>
      </c>
      <c r="M543" s="5">
        <f t="shared" si="79"/>
        <v>-329.81644755785737</v>
      </c>
    </row>
    <row r="544" spans="1:13" x14ac:dyDescent="0.25">
      <c r="A544" s="4">
        <v>536</v>
      </c>
      <c r="B544" s="4">
        <f t="shared" si="72"/>
        <v>89</v>
      </c>
      <c r="C544" s="4">
        <f t="shared" si="73"/>
        <v>551</v>
      </c>
      <c r="D544" s="4">
        <f>IF(B544&gt;'Mortality Table'!$A$118,D543,VLOOKUP(B544,'Mortality Table'!$A$2:$B$118,2,FALSE))</f>
        <v>0.27632000000000001</v>
      </c>
      <c r="E544" s="4">
        <f>IF(INT((C544-1)/12)+1&gt;'Lapse Table'!$A$11,E543,VLOOKUP(INT((C544-1)/12)+1,'Lapse Table'!$A$2:$B$11,2,FALSE))/12</f>
        <v>0</v>
      </c>
      <c r="F544" s="5">
        <f t="shared" si="80"/>
        <v>-2.3574123656208319</v>
      </c>
      <c r="G544" s="6">
        <f t="shared" si="74"/>
        <v>2.3026666666666668E-2</v>
      </c>
      <c r="H544" s="6">
        <f t="shared" si="75"/>
        <v>0</v>
      </c>
      <c r="I544" s="7">
        <f t="shared" si="76"/>
        <v>-78.580412187361063</v>
      </c>
      <c r="J544" s="8">
        <f t="shared" si="77"/>
        <v>23026.666666666668</v>
      </c>
      <c r="K544" s="7">
        <f t="shared" si="78"/>
        <v>-23105.24707885403</v>
      </c>
      <c r="L544" s="4">
        <f>IF(A544&gt;'Yield Curve'!A1158,L543,(1+VLOOKUP(A544,'Yield Curve'!A537:B1159,2,FALSE))^(1/12)-1)</f>
        <v>7.9741404289037643E-3</v>
      </c>
      <c r="M544" s="5">
        <f t="shared" si="79"/>
        <v>-327.21812116444409</v>
      </c>
    </row>
    <row r="545" spans="1:13" x14ac:dyDescent="0.25">
      <c r="A545" s="4">
        <v>537</v>
      </c>
      <c r="B545" s="4">
        <f t="shared" si="72"/>
        <v>89</v>
      </c>
      <c r="C545" s="4">
        <f t="shared" si="73"/>
        <v>552</v>
      </c>
      <c r="D545" s="4">
        <f>IF(B545&gt;'Mortality Table'!$A$118,D544,VLOOKUP(B545,'Mortality Table'!$A$2:$B$118,2,FALSE))</f>
        <v>0.27632000000000001</v>
      </c>
      <c r="E545" s="4">
        <f>IF(INT((C545-1)/12)+1&gt;'Lapse Table'!$A$11,E544,VLOOKUP(INT((C545-1)/12)+1,'Lapse Table'!$A$2:$B$11,2,FALSE))/12</f>
        <v>0</v>
      </c>
      <c r="F545" s="5">
        <f t="shared" si="80"/>
        <v>-2.3804390322874984</v>
      </c>
      <c r="G545" s="6">
        <f t="shared" si="74"/>
        <v>2.3026666666666668E-2</v>
      </c>
      <c r="H545" s="6">
        <f t="shared" si="75"/>
        <v>0</v>
      </c>
      <c r="I545" s="7">
        <f t="shared" si="76"/>
        <v>-79.347967742916623</v>
      </c>
      <c r="J545" s="8">
        <f t="shared" si="77"/>
        <v>23026.666666666668</v>
      </c>
      <c r="K545" s="7">
        <f t="shared" si="78"/>
        <v>-23106.014634409585</v>
      </c>
      <c r="L545" s="4">
        <f>IF(A545&gt;'Yield Curve'!A1159,L544,(1+VLOOKUP(A545,'Yield Curve'!A538:B1160,2,FALSE))^(1/12)-1)</f>
        <v>7.9741404289037643E-3</v>
      </c>
      <c r="M545" s="5">
        <f t="shared" si="79"/>
        <v>-324.64026428350047</v>
      </c>
    </row>
    <row r="546" spans="1:13" x14ac:dyDescent="0.25">
      <c r="A546" s="4">
        <v>538</v>
      </c>
      <c r="B546" s="4">
        <f t="shared" si="72"/>
        <v>89</v>
      </c>
      <c r="C546" s="4">
        <f t="shared" si="73"/>
        <v>553</v>
      </c>
      <c r="D546" s="4">
        <f>IF(B546&gt;'Mortality Table'!$A$118,D545,VLOOKUP(B546,'Mortality Table'!$A$2:$B$118,2,FALSE))</f>
        <v>0.27632000000000001</v>
      </c>
      <c r="E546" s="4">
        <f>IF(INT((C546-1)/12)+1&gt;'Lapse Table'!$A$11,E545,VLOOKUP(INT((C546-1)/12)+1,'Lapse Table'!$A$2:$B$11,2,FALSE))/12</f>
        <v>0</v>
      </c>
      <c r="F546" s="5">
        <f t="shared" si="80"/>
        <v>-2.403465698954165</v>
      </c>
      <c r="G546" s="6">
        <f t="shared" si="74"/>
        <v>2.3026666666666668E-2</v>
      </c>
      <c r="H546" s="6">
        <f t="shared" si="75"/>
        <v>0</v>
      </c>
      <c r="I546" s="7">
        <f t="shared" si="76"/>
        <v>-80.115523298472169</v>
      </c>
      <c r="J546" s="8">
        <f t="shared" si="77"/>
        <v>23026.666666666668</v>
      </c>
      <c r="K546" s="7">
        <f t="shared" si="78"/>
        <v>-23106.782189965139</v>
      </c>
      <c r="L546" s="4">
        <f>IF(A546&gt;'Yield Curve'!A1160,L545,(1+VLOOKUP(A546,'Yield Curve'!A539:B1161,2,FALSE))^(1/12)-1)</f>
        <v>7.9741404289037643E-3</v>
      </c>
      <c r="M546" s="5">
        <f t="shared" si="79"/>
        <v>-322.08271565986377</v>
      </c>
    </row>
    <row r="547" spans="1:13" x14ac:dyDescent="0.25">
      <c r="A547" s="4">
        <v>539</v>
      </c>
      <c r="B547" s="4">
        <f t="shared" si="72"/>
        <v>89</v>
      </c>
      <c r="C547" s="4">
        <f t="shared" si="73"/>
        <v>554</v>
      </c>
      <c r="D547" s="4">
        <f>IF(B547&gt;'Mortality Table'!$A$118,D546,VLOOKUP(B547,'Mortality Table'!$A$2:$B$118,2,FALSE))</f>
        <v>0.27632000000000001</v>
      </c>
      <c r="E547" s="4">
        <f>IF(INT((C547-1)/12)+1&gt;'Lapse Table'!$A$11,E546,VLOOKUP(INT((C547-1)/12)+1,'Lapse Table'!$A$2:$B$11,2,FALSE))/12</f>
        <v>0</v>
      </c>
      <c r="F547" s="5">
        <f t="shared" si="80"/>
        <v>-2.4264923656208315</v>
      </c>
      <c r="G547" s="6">
        <f t="shared" si="74"/>
        <v>2.3026666666666668E-2</v>
      </c>
      <c r="H547" s="6">
        <f t="shared" si="75"/>
        <v>0</v>
      </c>
      <c r="I547" s="7">
        <f t="shared" si="76"/>
        <v>-80.883078854027715</v>
      </c>
      <c r="J547" s="8">
        <f t="shared" si="77"/>
        <v>23026.666666666668</v>
      </c>
      <c r="K547" s="7">
        <f t="shared" si="78"/>
        <v>-23107.549745520697</v>
      </c>
      <c r="L547" s="4">
        <f>IF(A547&gt;'Yield Curve'!A1161,L546,(1+VLOOKUP(A547,'Yield Curve'!A540:B1162,2,FALSE))^(1/12)-1)</f>
        <v>7.9741404289037643E-3</v>
      </c>
      <c r="M547" s="5">
        <f t="shared" si="79"/>
        <v>-319.54531530868786</v>
      </c>
    </row>
    <row r="548" spans="1:13" x14ac:dyDescent="0.25">
      <c r="A548" s="4">
        <v>540</v>
      </c>
      <c r="B548" s="4">
        <f t="shared" si="72"/>
        <v>90</v>
      </c>
      <c r="C548" s="4">
        <f t="shared" si="73"/>
        <v>555</v>
      </c>
      <c r="D548" s="4">
        <f>IF(B548&gt;'Mortality Table'!$A$118,D547,VLOOKUP(B548,'Mortality Table'!$A$2:$B$118,2,FALSE))</f>
        <v>0.29708000000000001</v>
      </c>
      <c r="E548" s="4">
        <f>IF(INT((C548-1)/12)+1&gt;'Lapse Table'!$A$11,E547,VLOOKUP(INT((C548-1)/12)+1,'Lapse Table'!$A$2:$B$11,2,FALSE))/12</f>
        <v>0</v>
      </c>
      <c r="F548" s="5">
        <f t="shared" si="80"/>
        <v>-2.4512490322874982</v>
      </c>
      <c r="G548" s="6">
        <f t="shared" si="74"/>
        <v>2.4756666666666666E-2</v>
      </c>
      <c r="H548" s="6">
        <f t="shared" si="75"/>
        <v>0</v>
      </c>
      <c r="I548" s="7">
        <f t="shared" si="76"/>
        <v>-81.708301076249938</v>
      </c>
      <c r="J548" s="8">
        <f t="shared" si="77"/>
        <v>24756.666666666668</v>
      </c>
      <c r="K548" s="7">
        <f t="shared" si="78"/>
        <v>-24838.374967742919</v>
      </c>
      <c r="L548" s="4">
        <f>IF(A548&gt;'Yield Curve'!A1162,L547,(1+VLOOKUP(A548,'Yield Curve'!A541:B1163,2,FALSE))^(1/12)-1)</f>
        <v>7.9741404289037643E-3</v>
      </c>
      <c r="M548" s="5">
        <f t="shared" si="79"/>
        <v>-340.76293244324955</v>
      </c>
    </row>
    <row r="549" spans="1:13" x14ac:dyDescent="0.25">
      <c r="A549" s="4">
        <v>541</v>
      </c>
      <c r="B549" s="4">
        <f t="shared" si="72"/>
        <v>90</v>
      </c>
      <c r="C549" s="4">
        <f t="shared" si="73"/>
        <v>556</v>
      </c>
      <c r="D549" s="4">
        <f>IF(B549&gt;'Mortality Table'!$A$118,D548,VLOOKUP(B549,'Mortality Table'!$A$2:$B$118,2,FALSE))</f>
        <v>0.29708000000000001</v>
      </c>
      <c r="E549" s="4">
        <f>IF(INT((C549-1)/12)+1&gt;'Lapse Table'!$A$11,E548,VLOOKUP(INT((C549-1)/12)+1,'Lapse Table'!$A$2:$B$11,2,FALSE))/12</f>
        <v>0</v>
      </c>
      <c r="F549" s="5">
        <f t="shared" si="80"/>
        <v>-2.476005698954165</v>
      </c>
      <c r="G549" s="6">
        <f t="shared" si="74"/>
        <v>2.4756666666666666E-2</v>
      </c>
      <c r="H549" s="6">
        <f t="shared" si="75"/>
        <v>0</v>
      </c>
      <c r="I549" s="7">
        <f t="shared" si="76"/>
        <v>-82.533523298472161</v>
      </c>
      <c r="J549" s="8">
        <f t="shared" si="77"/>
        <v>24756.666666666668</v>
      </c>
      <c r="K549" s="7">
        <f t="shared" si="78"/>
        <v>-24839.20018996514</v>
      </c>
      <c r="L549" s="4">
        <f>IF(A549&gt;'Yield Curve'!A1163,L548,(1+VLOOKUP(A549,'Yield Curve'!A542:B1164,2,FALSE))^(1/12)-1)</f>
        <v>7.9741404289037643E-3</v>
      </c>
      <c r="M549" s="5">
        <f t="shared" si="79"/>
        <v>-338.07836944792825</v>
      </c>
    </row>
    <row r="550" spans="1:13" x14ac:dyDescent="0.25">
      <c r="A550" s="4">
        <v>542</v>
      </c>
      <c r="B550" s="4">
        <f t="shared" si="72"/>
        <v>90</v>
      </c>
      <c r="C550" s="4">
        <f t="shared" si="73"/>
        <v>557</v>
      </c>
      <c r="D550" s="4">
        <f>IF(B550&gt;'Mortality Table'!$A$118,D549,VLOOKUP(B550,'Mortality Table'!$A$2:$B$118,2,FALSE))</f>
        <v>0.29708000000000001</v>
      </c>
      <c r="E550" s="4">
        <f>IF(INT((C550-1)/12)+1&gt;'Lapse Table'!$A$11,E549,VLOOKUP(INT((C550-1)/12)+1,'Lapse Table'!$A$2:$B$11,2,FALSE))/12</f>
        <v>0</v>
      </c>
      <c r="F550" s="5">
        <f t="shared" si="80"/>
        <v>-2.5007623656208318</v>
      </c>
      <c r="G550" s="6">
        <f t="shared" si="74"/>
        <v>2.4756666666666666E-2</v>
      </c>
      <c r="H550" s="6">
        <f t="shared" si="75"/>
        <v>0</v>
      </c>
      <c r="I550" s="7">
        <f t="shared" si="76"/>
        <v>-83.358745520694399</v>
      </c>
      <c r="J550" s="8">
        <f t="shared" si="77"/>
        <v>24756.666666666668</v>
      </c>
      <c r="K550" s="7">
        <f t="shared" si="78"/>
        <v>-24840.025412187362</v>
      </c>
      <c r="L550" s="4">
        <f>IF(A550&gt;'Yield Curve'!A1164,L549,(1+VLOOKUP(A550,'Yield Curve'!A543:B1165,2,FALSE))^(1/12)-1)</f>
        <v>7.9741404289037643E-3</v>
      </c>
      <c r="M550" s="5">
        <f t="shared" si="79"/>
        <v>-335.41495532660582</v>
      </c>
    </row>
    <row r="551" spans="1:13" x14ac:dyDescent="0.25">
      <c r="A551" s="4">
        <v>543</v>
      </c>
      <c r="B551" s="4">
        <f t="shared" si="72"/>
        <v>90</v>
      </c>
      <c r="C551" s="4">
        <f t="shared" si="73"/>
        <v>558</v>
      </c>
      <c r="D551" s="4">
        <f>IF(B551&gt;'Mortality Table'!$A$118,D550,VLOOKUP(B551,'Mortality Table'!$A$2:$B$118,2,FALSE))</f>
        <v>0.29708000000000001</v>
      </c>
      <c r="E551" s="4">
        <f>IF(INT((C551-1)/12)+1&gt;'Lapse Table'!$A$11,E550,VLOOKUP(INT((C551-1)/12)+1,'Lapse Table'!$A$2:$B$11,2,FALSE))/12</f>
        <v>0</v>
      </c>
      <c r="F551" s="5">
        <f t="shared" si="80"/>
        <v>-2.5255190322874985</v>
      </c>
      <c r="G551" s="6">
        <f t="shared" si="74"/>
        <v>2.4756666666666666E-2</v>
      </c>
      <c r="H551" s="6">
        <f t="shared" si="75"/>
        <v>0</v>
      </c>
      <c r="I551" s="7">
        <f t="shared" si="76"/>
        <v>-84.183967742916622</v>
      </c>
      <c r="J551" s="8">
        <f t="shared" si="77"/>
        <v>24756.666666666668</v>
      </c>
      <c r="K551" s="7">
        <f t="shared" si="78"/>
        <v>-24840.850634409584</v>
      </c>
      <c r="L551" s="4">
        <f>IF(A551&gt;'Yield Curve'!A1165,L550,(1+VLOOKUP(A551,'Yield Curve'!A544:B1166,2,FALSE))^(1/12)-1)</f>
        <v>7.9741404289037643E-3</v>
      </c>
      <c r="M551" s="5">
        <f t="shared" si="79"/>
        <v>-332.77252347228637</v>
      </c>
    </row>
    <row r="552" spans="1:13" x14ac:dyDescent="0.25">
      <c r="A552" s="4">
        <v>544</v>
      </c>
      <c r="B552" s="4">
        <f t="shared" si="72"/>
        <v>90</v>
      </c>
      <c r="C552" s="4">
        <f t="shared" si="73"/>
        <v>559</v>
      </c>
      <c r="D552" s="4">
        <f>IF(B552&gt;'Mortality Table'!$A$118,D551,VLOOKUP(B552,'Mortality Table'!$A$2:$B$118,2,FALSE))</f>
        <v>0.29708000000000001</v>
      </c>
      <c r="E552" s="4">
        <f>IF(INT((C552-1)/12)+1&gt;'Lapse Table'!$A$11,E551,VLOOKUP(INT((C552-1)/12)+1,'Lapse Table'!$A$2:$B$11,2,FALSE))/12</f>
        <v>0</v>
      </c>
      <c r="F552" s="5">
        <f t="shared" si="80"/>
        <v>-2.5502756989541653</v>
      </c>
      <c r="G552" s="6">
        <f t="shared" si="74"/>
        <v>2.4756666666666666E-2</v>
      </c>
      <c r="H552" s="6">
        <f t="shared" si="75"/>
        <v>0</v>
      </c>
      <c r="I552" s="7">
        <f t="shared" si="76"/>
        <v>-85.009189965138845</v>
      </c>
      <c r="J552" s="8">
        <f t="shared" si="77"/>
        <v>24756.666666666668</v>
      </c>
      <c r="K552" s="7">
        <f t="shared" si="78"/>
        <v>-24841.675856631806</v>
      </c>
      <c r="L552" s="4">
        <f>IF(A552&gt;'Yield Curve'!A1166,L551,(1+VLOOKUP(A552,'Yield Curve'!A545:B1167,2,FALSE))^(1/12)-1)</f>
        <v>7.9741404289037643E-3</v>
      </c>
      <c r="M552" s="5">
        <f t="shared" si="79"/>
        <v>-330.15090859045017</v>
      </c>
    </row>
    <row r="553" spans="1:13" x14ac:dyDescent="0.25">
      <c r="A553" s="4">
        <v>545</v>
      </c>
      <c r="B553" s="4">
        <f t="shared" si="72"/>
        <v>90</v>
      </c>
      <c r="C553" s="4">
        <f t="shared" si="73"/>
        <v>560</v>
      </c>
      <c r="D553" s="4">
        <f>IF(B553&gt;'Mortality Table'!$A$118,D552,VLOOKUP(B553,'Mortality Table'!$A$2:$B$118,2,FALSE))</f>
        <v>0.29708000000000001</v>
      </c>
      <c r="E553" s="4">
        <f>IF(INT((C553-1)/12)+1&gt;'Lapse Table'!$A$11,E552,VLOOKUP(INT((C553-1)/12)+1,'Lapse Table'!$A$2:$B$11,2,FALSE))/12</f>
        <v>0</v>
      </c>
      <c r="F553" s="5">
        <f t="shared" si="80"/>
        <v>-2.575032365620832</v>
      </c>
      <c r="G553" s="6">
        <f t="shared" si="74"/>
        <v>2.4756666666666666E-2</v>
      </c>
      <c r="H553" s="6">
        <f t="shared" si="75"/>
        <v>0</v>
      </c>
      <c r="I553" s="7">
        <f t="shared" si="76"/>
        <v>-85.834412187361067</v>
      </c>
      <c r="J553" s="8">
        <f t="shared" si="77"/>
        <v>24756.666666666668</v>
      </c>
      <c r="K553" s="7">
        <f t="shared" si="78"/>
        <v>-24842.501078854028</v>
      </c>
      <c r="L553" s="4">
        <f>IF(A553&gt;'Yield Curve'!A1167,L552,(1+VLOOKUP(A553,'Yield Curve'!A546:B1168,2,FALSE))^(1/12)-1)</f>
        <v>7.9741404289037643E-3</v>
      </c>
      <c r="M553" s="5">
        <f t="shared" si="79"/>
        <v>-327.54994668871507</v>
      </c>
    </row>
    <row r="554" spans="1:13" x14ac:dyDescent="0.25">
      <c r="A554" s="4">
        <v>546</v>
      </c>
      <c r="B554" s="4">
        <f t="shared" si="72"/>
        <v>90</v>
      </c>
      <c r="C554" s="4">
        <f t="shared" si="73"/>
        <v>561</v>
      </c>
      <c r="D554" s="4">
        <f>IF(B554&gt;'Mortality Table'!$A$118,D553,VLOOKUP(B554,'Mortality Table'!$A$2:$B$118,2,FALSE))</f>
        <v>0.29708000000000001</v>
      </c>
      <c r="E554" s="4">
        <f>IF(INT((C554-1)/12)+1&gt;'Lapse Table'!$A$11,E553,VLOOKUP(INT((C554-1)/12)+1,'Lapse Table'!$A$2:$B$11,2,FALSE))/12</f>
        <v>0</v>
      </c>
      <c r="F554" s="5">
        <f t="shared" si="80"/>
        <v>-2.5997890322874988</v>
      </c>
      <c r="G554" s="6">
        <f t="shared" si="74"/>
        <v>2.4756666666666666E-2</v>
      </c>
      <c r="H554" s="6">
        <f t="shared" si="75"/>
        <v>0</v>
      </c>
      <c r="I554" s="7">
        <f t="shared" si="76"/>
        <v>-86.65963440958329</v>
      </c>
      <c r="J554" s="8">
        <f t="shared" si="77"/>
        <v>24756.666666666668</v>
      </c>
      <c r="K554" s="7">
        <f t="shared" si="78"/>
        <v>-24843.326301076249</v>
      </c>
      <c r="L554" s="4">
        <f>IF(A554&gt;'Yield Curve'!A1168,L553,(1+VLOOKUP(A554,'Yield Curve'!A547:B1169,2,FALSE))^(1/12)-1)</f>
        <v>7.9741404289037643E-3</v>
      </c>
      <c r="M554" s="5">
        <f t="shared" si="79"/>
        <v>-324.96947506657841</v>
      </c>
    </row>
    <row r="555" spans="1:13" x14ac:dyDescent="0.25">
      <c r="A555" s="4">
        <v>547</v>
      </c>
      <c r="B555" s="4">
        <f t="shared" si="72"/>
        <v>90</v>
      </c>
      <c r="C555" s="4">
        <f t="shared" si="73"/>
        <v>562</v>
      </c>
      <c r="D555" s="4">
        <f>IF(B555&gt;'Mortality Table'!$A$118,D554,VLOOKUP(B555,'Mortality Table'!$A$2:$B$118,2,FALSE))</f>
        <v>0.29708000000000001</v>
      </c>
      <c r="E555" s="4">
        <f>IF(INT((C555-1)/12)+1&gt;'Lapse Table'!$A$11,E554,VLOOKUP(INT((C555-1)/12)+1,'Lapse Table'!$A$2:$B$11,2,FALSE))/12</f>
        <v>0</v>
      </c>
      <c r="F555" s="5">
        <f t="shared" si="80"/>
        <v>-2.6245456989541656</v>
      </c>
      <c r="G555" s="6">
        <f t="shared" si="74"/>
        <v>2.4756666666666666E-2</v>
      </c>
      <c r="H555" s="6">
        <f t="shared" si="75"/>
        <v>0</v>
      </c>
      <c r="I555" s="7">
        <f t="shared" si="76"/>
        <v>-87.484856631805528</v>
      </c>
      <c r="J555" s="8">
        <f t="shared" si="77"/>
        <v>24756.666666666668</v>
      </c>
      <c r="K555" s="7">
        <f t="shared" si="78"/>
        <v>-24844.151523298475</v>
      </c>
      <c r="L555" s="4">
        <f>IF(A555&gt;'Yield Curve'!A1169,L554,(1+VLOOKUP(A555,'Yield Curve'!A548:B1170,2,FALSE))^(1/12)-1)</f>
        <v>7.9741404289037643E-3</v>
      </c>
      <c r="M555" s="5">
        <f t="shared" si="79"/>
        <v>-322.40933230524018</v>
      </c>
    </row>
    <row r="556" spans="1:13" x14ac:dyDescent="0.25">
      <c r="A556" s="4">
        <v>548</v>
      </c>
      <c r="B556" s="4">
        <f t="shared" si="72"/>
        <v>90</v>
      </c>
      <c r="C556" s="4">
        <f t="shared" si="73"/>
        <v>563</v>
      </c>
      <c r="D556" s="4">
        <f>IF(B556&gt;'Mortality Table'!$A$118,D555,VLOOKUP(B556,'Mortality Table'!$A$2:$B$118,2,FALSE))</f>
        <v>0.29708000000000001</v>
      </c>
      <c r="E556" s="4">
        <f>IF(INT((C556-1)/12)+1&gt;'Lapse Table'!$A$11,E555,VLOOKUP(INT((C556-1)/12)+1,'Lapse Table'!$A$2:$B$11,2,FALSE))/12</f>
        <v>0</v>
      </c>
      <c r="F556" s="5">
        <f t="shared" si="80"/>
        <v>-2.6493023656208323</v>
      </c>
      <c r="G556" s="6">
        <f t="shared" si="74"/>
        <v>2.4756666666666666E-2</v>
      </c>
      <c r="H556" s="6">
        <f t="shared" si="75"/>
        <v>0</v>
      </c>
      <c r="I556" s="7">
        <f t="shared" si="76"/>
        <v>-88.310078854027736</v>
      </c>
      <c r="J556" s="8">
        <f t="shared" si="77"/>
        <v>24756.666666666668</v>
      </c>
      <c r="K556" s="7">
        <f t="shared" si="78"/>
        <v>-24844.976745520697</v>
      </c>
      <c r="L556" s="4">
        <f>IF(A556&gt;'Yield Curve'!A1170,L555,(1+VLOOKUP(A556,'Yield Curve'!A549:B1171,2,FALSE))^(1/12)-1)</f>
        <v>7.9741404289037643E-3</v>
      </c>
      <c r="M556" s="5">
        <f t="shared" si="79"/>
        <v>-319.86935825750652</v>
      </c>
    </row>
    <row r="557" spans="1:13" x14ac:dyDescent="0.25">
      <c r="A557" s="4">
        <v>549</v>
      </c>
      <c r="B557" s="4">
        <f t="shared" si="72"/>
        <v>90</v>
      </c>
      <c r="C557" s="4">
        <f t="shared" si="73"/>
        <v>564</v>
      </c>
      <c r="D557" s="4">
        <f>IF(B557&gt;'Mortality Table'!$A$118,D556,VLOOKUP(B557,'Mortality Table'!$A$2:$B$118,2,FALSE))</f>
        <v>0.29708000000000001</v>
      </c>
      <c r="E557" s="4">
        <f>IF(INT((C557-1)/12)+1&gt;'Lapse Table'!$A$11,E556,VLOOKUP(INT((C557-1)/12)+1,'Lapse Table'!$A$2:$B$11,2,FALSE))/12</f>
        <v>0</v>
      </c>
      <c r="F557" s="5">
        <f t="shared" si="80"/>
        <v>-2.6740590322874991</v>
      </c>
      <c r="G557" s="6">
        <f t="shared" si="74"/>
        <v>2.4756666666666666E-2</v>
      </c>
      <c r="H557" s="6">
        <f t="shared" si="75"/>
        <v>0</v>
      </c>
      <c r="I557" s="7">
        <f t="shared" si="76"/>
        <v>-89.135301076249974</v>
      </c>
      <c r="J557" s="8">
        <f t="shared" si="77"/>
        <v>24756.666666666668</v>
      </c>
      <c r="K557" s="7">
        <f t="shared" si="78"/>
        <v>-24845.801967742918</v>
      </c>
      <c r="L557" s="4">
        <f>IF(A557&gt;'Yield Curve'!A1171,L556,(1+VLOOKUP(A557,'Yield Curve'!A550:B1172,2,FALSE))^(1/12)-1)</f>
        <v>7.9741404289037643E-3</v>
      </c>
      <c r="M557" s="5">
        <f t="shared" si="79"/>
        <v>-317.34939403777292</v>
      </c>
    </row>
    <row r="558" spans="1:13" x14ac:dyDescent="0.25">
      <c r="A558" s="4">
        <v>550</v>
      </c>
      <c r="B558" s="4">
        <f t="shared" si="72"/>
        <v>90</v>
      </c>
      <c r="C558" s="4">
        <f t="shared" si="73"/>
        <v>565</v>
      </c>
      <c r="D558" s="4">
        <f>IF(B558&gt;'Mortality Table'!$A$118,D557,VLOOKUP(B558,'Mortality Table'!$A$2:$B$118,2,FALSE))</f>
        <v>0.29708000000000001</v>
      </c>
      <c r="E558" s="4">
        <f>IF(INT((C558-1)/12)+1&gt;'Lapse Table'!$A$11,E557,VLOOKUP(INT((C558-1)/12)+1,'Lapse Table'!$A$2:$B$11,2,FALSE))/12</f>
        <v>0</v>
      </c>
      <c r="F558" s="5">
        <f t="shared" si="80"/>
        <v>-2.6988156989541658</v>
      </c>
      <c r="G558" s="6">
        <f t="shared" si="74"/>
        <v>2.4756666666666666E-2</v>
      </c>
      <c r="H558" s="6">
        <f t="shared" si="75"/>
        <v>0</v>
      </c>
      <c r="I558" s="7">
        <f t="shared" si="76"/>
        <v>-89.960523298472197</v>
      </c>
      <c r="J558" s="8">
        <f t="shared" si="77"/>
        <v>24756.666666666668</v>
      </c>
      <c r="K558" s="7">
        <f t="shared" si="78"/>
        <v>-24846.62718996514</v>
      </c>
      <c r="L558" s="4">
        <f>IF(A558&gt;'Yield Curve'!A1172,L557,(1+VLOOKUP(A558,'Yield Curve'!A551:B1173,2,FALSE))^(1/12)-1)</f>
        <v>7.9741404289037643E-3</v>
      </c>
      <c r="M558" s="5">
        <f t="shared" si="79"/>
        <v>-314.84928201208521</v>
      </c>
    </row>
    <row r="559" spans="1:13" x14ac:dyDescent="0.25">
      <c r="A559" s="4">
        <v>551</v>
      </c>
      <c r="B559" s="4">
        <f t="shared" si="72"/>
        <v>90</v>
      </c>
      <c r="C559" s="4">
        <f t="shared" si="73"/>
        <v>566</v>
      </c>
      <c r="D559" s="4">
        <f>IF(B559&gt;'Mortality Table'!$A$118,D558,VLOOKUP(B559,'Mortality Table'!$A$2:$B$118,2,FALSE))</f>
        <v>0.29708000000000001</v>
      </c>
      <c r="E559" s="4">
        <f>IF(INT((C559-1)/12)+1&gt;'Lapse Table'!$A$11,E558,VLOOKUP(INT((C559-1)/12)+1,'Lapse Table'!$A$2:$B$11,2,FALSE))/12</f>
        <v>0</v>
      </c>
      <c r="F559" s="5">
        <f t="shared" si="80"/>
        <v>-2.7235723656208326</v>
      </c>
      <c r="G559" s="6">
        <f t="shared" si="74"/>
        <v>2.4756666666666666E-2</v>
      </c>
      <c r="H559" s="6">
        <f t="shared" si="75"/>
        <v>0</v>
      </c>
      <c r="I559" s="7">
        <f t="shared" si="76"/>
        <v>-90.785745520694419</v>
      </c>
      <c r="J559" s="8">
        <f t="shared" si="77"/>
        <v>24756.666666666668</v>
      </c>
      <c r="K559" s="7">
        <f t="shared" si="78"/>
        <v>-24847.452412187362</v>
      </c>
      <c r="L559" s="4">
        <f>IF(A559&gt;'Yield Curve'!A1173,L558,(1+VLOOKUP(A559,'Yield Curve'!A552:B1174,2,FALSE))^(1/12)-1)</f>
        <v>7.9741404289037643E-3</v>
      </c>
      <c r="M559" s="5">
        <f t="shared" si="79"/>
        <v>-312.36886578828046</v>
      </c>
    </row>
    <row r="560" spans="1:13" x14ac:dyDescent="0.25">
      <c r="A560" s="4">
        <v>552</v>
      </c>
      <c r="B560" s="4">
        <f t="shared" si="72"/>
        <v>91</v>
      </c>
      <c r="C560" s="4">
        <f t="shared" si="73"/>
        <v>567</v>
      </c>
      <c r="D560" s="4">
        <f>IF(B560&gt;'Mortality Table'!$A$118,D559,VLOOKUP(B560,'Mortality Table'!$A$2:$B$118,2,FALSE))</f>
        <v>0.31902999999999998</v>
      </c>
      <c r="E560" s="4">
        <f>IF(INT((C560-1)/12)+1&gt;'Lapse Table'!$A$11,E559,VLOOKUP(INT((C560-1)/12)+1,'Lapse Table'!$A$2:$B$11,2,FALSE))/12</f>
        <v>0</v>
      </c>
      <c r="F560" s="5">
        <f t="shared" si="80"/>
        <v>-2.7501581989541659</v>
      </c>
      <c r="G560" s="6">
        <f t="shared" si="74"/>
        <v>2.6585833333333333E-2</v>
      </c>
      <c r="H560" s="6">
        <f t="shared" si="75"/>
        <v>0</v>
      </c>
      <c r="I560" s="7">
        <f t="shared" si="76"/>
        <v>-91.671939965138861</v>
      </c>
      <c r="J560" s="8">
        <f t="shared" si="77"/>
        <v>26585.833333333332</v>
      </c>
      <c r="K560" s="7">
        <f t="shared" si="78"/>
        <v>-26677.50527329847</v>
      </c>
      <c r="L560" s="4">
        <f>IF(A560&gt;'Yield Curve'!A1174,L559,(1+VLOOKUP(A560,'Yield Curve'!A553:B1175,2,FALSE))^(1/12)-1)</f>
        <v>7.9741404289037643E-3</v>
      </c>
      <c r="M560" s="5">
        <f t="shared" si="79"/>
        <v>-332.72213730880497</v>
      </c>
    </row>
    <row r="561" spans="1:13" x14ac:dyDescent="0.25">
      <c r="A561" s="4">
        <v>553</v>
      </c>
      <c r="B561" s="4">
        <f t="shared" si="72"/>
        <v>91</v>
      </c>
      <c r="C561" s="4">
        <f t="shared" si="73"/>
        <v>568</v>
      </c>
      <c r="D561" s="4">
        <f>IF(B561&gt;'Mortality Table'!$A$118,D560,VLOOKUP(B561,'Mortality Table'!$A$2:$B$118,2,FALSE))</f>
        <v>0.31902999999999998</v>
      </c>
      <c r="E561" s="4">
        <f>IF(INT((C561-1)/12)+1&gt;'Lapse Table'!$A$11,E560,VLOOKUP(INT((C561-1)/12)+1,'Lapse Table'!$A$2:$B$11,2,FALSE))/12</f>
        <v>0</v>
      </c>
      <c r="F561" s="5">
        <f t="shared" si="80"/>
        <v>-2.7767440322874992</v>
      </c>
      <c r="G561" s="6">
        <f t="shared" si="74"/>
        <v>2.6585833333333333E-2</v>
      </c>
      <c r="H561" s="6">
        <f t="shared" si="75"/>
        <v>0</v>
      </c>
      <c r="I561" s="7">
        <f t="shared" si="76"/>
        <v>-92.558134409583303</v>
      </c>
      <c r="J561" s="8">
        <f t="shared" si="77"/>
        <v>26585.833333333332</v>
      </c>
      <c r="K561" s="7">
        <f t="shared" si="78"/>
        <v>-26678.391467742917</v>
      </c>
      <c r="L561" s="4">
        <f>IF(A561&gt;'Yield Curve'!A1175,L560,(1+VLOOKUP(A561,'Yield Curve'!A554:B1176,2,FALSE))^(1/12)-1)</f>
        <v>7.9741404289037643E-3</v>
      </c>
      <c r="M561" s="5">
        <f t="shared" si="79"/>
        <v>-330.10091885295714</v>
      </c>
    </row>
    <row r="562" spans="1:13" x14ac:dyDescent="0.25">
      <c r="A562" s="4">
        <v>554</v>
      </c>
      <c r="B562" s="4">
        <f t="shared" si="72"/>
        <v>91</v>
      </c>
      <c r="C562" s="4">
        <f t="shared" si="73"/>
        <v>569</v>
      </c>
      <c r="D562" s="4">
        <f>IF(B562&gt;'Mortality Table'!$A$118,D561,VLOOKUP(B562,'Mortality Table'!$A$2:$B$118,2,FALSE))</f>
        <v>0.31902999999999998</v>
      </c>
      <c r="E562" s="4">
        <f>IF(INT((C562-1)/12)+1&gt;'Lapse Table'!$A$11,E561,VLOOKUP(INT((C562-1)/12)+1,'Lapse Table'!$A$2:$B$11,2,FALSE))/12</f>
        <v>0</v>
      </c>
      <c r="F562" s="5">
        <f t="shared" si="80"/>
        <v>-2.8033298656208325</v>
      </c>
      <c r="G562" s="6">
        <f t="shared" si="74"/>
        <v>2.6585833333333333E-2</v>
      </c>
      <c r="H562" s="6">
        <f t="shared" si="75"/>
        <v>0</v>
      </c>
      <c r="I562" s="7">
        <f t="shared" si="76"/>
        <v>-93.444328854027745</v>
      </c>
      <c r="J562" s="8">
        <f t="shared" si="77"/>
        <v>26585.833333333332</v>
      </c>
      <c r="K562" s="7">
        <f t="shared" si="78"/>
        <v>-26679.27766218736</v>
      </c>
      <c r="L562" s="4">
        <f>IF(A562&gt;'Yield Curve'!A1176,L561,(1+VLOOKUP(A562,'Yield Curve'!A555:B1177,2,FALSE))^(1/12)-1)</f>
        <v>7.9741404289037643E-3</v>
      </c>
      <c r="M562" s="5">
        <f t="shared" si="79"/>
        <v>-327.50035025832216</v>
      </c>
    </row>
    <row r="563" spans="1:13" x14ac:dyDescent="0.25">
      <c r="A563" s="4">
        <v>555</v>
      </c>
      <c r="B563" s="4">
        <f t="shared" si="72"/>
        <v>91</v>
      </c>
      <c r="C563" s="4">
        <f t="shared" si="73"/>
        <v>570</v>
      </c>
      <c r="D563" s="4">
        <f>IF(B563&gt;'Mortality Table'!$A$118,D562,VLOOKUP(B563,'Mortality Table'!$A$2:$B$118,2,FALSE))</f>
        <v>0.31902999999999998</v>
      </c>
      <c r="E563" s="4">
        <f>IF(INT((C563-1)/12)+1&gt;'Lapse Table'!$A$11,E562,VLOOKUP(INT((C563-1)/12)+1,'Lapse Table'!$A$2:$B$11,2,FALSE))/12</f>
        <v>0</v>
      </c>
      <c r="F563" s="5">
        <f t="shared" si="80"/>
        <v>-2.8299156989541658</v>
      </c>
      <c r="G563" s="6">
        <f t="shared" si="74"/>
        <v>2.6585833333333333E-2</v>
      </c>
      <c r="H563" s="6">
        <f t="shared" si="75"/>
        <v>0</v>
      </c>
      <c r="I563" s="7">
        <f t="shared" si="76"/>
        <v>-94.330523298472201</v>
      </c>
      <c r="J563" s="8">
        <f t="shared" si="77"/>
        <v>26585.833333333332</v>
      </c>
      <c r="K563" s="7">
        <f t="shared" si="78"/>
        <v>-26680.163856631803</v>
      </c>
      <c r="L563" s="4">
        <f>IF(A563&gt;'Yield Curve'!A1177,L562,(1+VLOOKUP(A563,'Yield Curve'!A556:B1178,2,FALSE))^(1/12)-1)</f>
        <v>7.9741404289037643E-3</v>
      </c>
      <c r="M563" s="5">
        <f t="shared" si="79"/>
        <v>-324.9202688489346</v>
      </c>
    </row>
    <row r="564" spans="1:13" x14ac:dyDescent="0.25">
      <c r="A564" s="4">
        <v>556</v>
      </c>
      <c r="B564" s="4">
        <f t="shared" si="72"/>
        <v>91</v>
      </c>
      <c r="C564" s="4">
        <f t="shared" si="73"/>
        <v>571</v>
      </c>
      <c r="D564" s="4">
        <f>IF(B564&gt;'Mortality Table'!$A$118,D563,VLOOKUP(B564,'Mortality Table'!$A$2:$B$118,2,FALSE))</f>
        <v>0.31902999999999998</v>
      </c>
      <c r="E564" s="4">
        <f>IF(INT((C564-1)/12)+1&gt;'Lapse Table'!$A$11,E563,VLOOKUP(INT((C564-1)/12)+1,'Lapse Table'!$A$2:$B$11,2,FALSE))/12</f>
        <v>0</v>
      </c>
      <c r="F564" s="5">
        <f t="shared" si="80"/>
        <v>-2.8565015322874991</v>
      </c>
      <c r="G564" s="6">
        <f t="shared" si="74"/>
        <v>2.6585833333333333E-2</v>
      </c>
      <c r="H564" s="6">
        <f t="shared" si="75"/>
        <v>0</v>
      </c>
      <c r="I564" s="7">
        <f t="shared" si="76"/>
        <v>-95.216717742916629</v>
      </c>
      <c r="J564" s="8">
        <f t="shared" si="77"/>
        <v>26585.833333333332</v>
      </c>
      <c r="K564" s="7">
        <f t="shared" si="78"/>
        <v>-26681.05005107625</v>
      </c>
      <c r="L564" s="4">
        <f>IF(A564&gt;'Yield Curve'!A1178,L563,(1+VLOOKUP(A564,'Yield Curve'!A557:B1179,2,FALSE))^(1/12)-1)</f>
        <v>7.9741404289037643E-3</v>
      </c>
      <c r="M564" s="5">
        <f t="shared" si="79"/>
        <v>-322.36051323033871</v>
      </c>
    </row>
    <row r="565" spans="1:13" x14ac:dyDescent="0.25">
      <c r="A565" s="4">
        <v>557</v>
      </c>
      <c r="B565" s="4">
        <f t="shared" si="72"/>
        <v>91</v>
      </c>
      <c r="C565" s="4">
        <f t="shared" si="73"/>
        <v>572</v>
      </c>
      <c r="D565" s="4">
        <f>IF(B565&gt;'Mortality Table'!$A$118,D564,VLOOKUP(B565,'Mortality Table'!$A$2:$B$118,2,FALSE))</f>
        <v>0.31902999999999998</v>
      </c>
      <c r="E565" s="4">
        <f>IF(INT((C565-1)/12)+1&gt;'Lapse Table'!$A$11,E564,VLOOKUP(INT((C565-1)/12)+1,'Lapse Table'!$A$2:$B$11,2,FALSE))/12</f>
        <v>0</v>
      </c>
      <c r="F565" s="5">
        <f t="shared" si="80"/>
        <v>-2.8830873656208325</v>
      </c>
      <c r="G565" s="6">
        <f t="shared" si="74"/>
        <v>2.6585833333333333E-2</v>
      </c>
      <c r="H565" s="6">
        <f t="shared" si="75"/>
        <v>0</v>
      </c>
      <c r="I565" s="7">
        <f t="shared" si="76"/>
        <v>-96.102912187361085</v>
      </c>
      <c r="J565" s="8">
        <f t="shared" si="77"/>
        <v>26585.833333333332</v>
      </c>
      <c r="K565" s="7">
        <f t="shared" si="78"/>
        <v>-26681.936245520694</v>
      </c>
      <c r="L565" s="4">
        <f>IF(A565&gt;'Yield Curve'!A1179,L564,(1+VLOOKUP(A565,'Yield Curve'!A558:B1180,2,FALSE))^(1/12)-1)</f>
        <v>7.9741404289037643E-3</v>
      </c>
      <c r="M565" s="5">
        <f t="shared" si="79"/>
        <v>-319.8209232794934</v>
      </c>
    </row>
    <row r="566" spans="1:13" x14ac:dyDescent="0.25">
      <c r="A566" s="4">
        <v>558</v>
      </c>
      <c r="B566" s="4">
        <f t="shared" si="72"/>
        <v>91</v>
      </c>
      <c r="C566" s="4">
        <f t="shared" si="73"/>
        <v>573</v>
      </c>
      <c r="D566" s="4">
        <f>IF(B566&gt;'Mortality Table'!$A$118,D565,VLOOKUP(B566,'Mortality Table'!$A$2:$B$118,2,FALSE))</f>
        <v>0.31902999999999998</v>
      </c>
      <c r="E566" s="4">
        <f>IF(INT((C566-1)/12)+1&gt;'Lapse Table'!$A$11,E565,VLOOKUP(INT((C566-1)/12)+1,'Lapse Table'!$A$2:$B$11,2,FALSE))/12</f>
        <v>0</v>
      </c>
      <c r="F566" s="5">
        <f t="shared" si="80"/>
        <v>-2.9096731989541658</v>
      </c>
      <c r="G566" s="6">
        <f t="shared" si="74"/>
        <v>2.6585833333333333E-2</v>
      </c>
      <c r="H566" s="6">
        <f t="shared" si="75"/>
        <v>0</v>
      </c>
      <c r="I566" s="7">
        <f t="shared" si="76"/>
        <v>-96.989106631805512</v>
      </c>
      <c r="J566" s="8">
        <f t="shared" si="77"/>
        <v>26585.833333333332</v>
      </c>
      <c r="K566" s="7">
        <f t="shared" si="78"/>
        <v>-26682.822439965137</v>
      </c>
      <c r="L566" s="4">
        <f>IF(A566&gt;'Yield Curve'!A1180,L565,(1+VLOOKUP(A566,'Yield Curve'!A559:B1181,2,FALSE))^(1/12)-1)</f>
        <v>7.9741404289037643E-3</v>
      </c>
      <c r="M566" s="5">
        <f t="shared" si="79"/>
        <v>-317.3013401347564</v>
      </c>
    </row>
    <row r="567" spans="1:13" x14ac:dyDescent="0.25">
      <c r="A567" s="4">
        <v>559</v>
      </c>
      <c r="B567" s="4">
        <f t="shared" si="72"/>
        <v>91</v>
      </c>
      <c r="C567" s="4">
        <f t="shared" si="73"/>
        <v>574</v>
      </c>
      <c r="D567" s="4">
        <f>IF(B567&gt;'Mortality Table'!$A$118,D566,VLOOKUP(B567,'Mortality Table'!$A$2:$B$118,2,FALSE))</f>
        <v>0.31902999999999998</v>
      </c>
      <c r="E567" s="4">
        <f>IF(INT((C567-1)/12)+1&gt;'Lapse Table'!$A$11,E566,VLOOKUP(INT((C567-1)/12)+1,'Lapse Table'!$A$2:$B$11,2,FALSE))/12</f>
        <v>0</v>
      </c>
      <c r="F567" s="5">
        <f t="shared" si="80"/>
        <v>-2.9362590322874991</v>
      </c>
      <c r="G567" s="6">
        <f t="shared" si="74"/>
        <v>2.6585833333333333E-2</v>
      </c>
      <c r="H567" s="6">
        <f t="shared" si="75"/>
        <v>0</v>
      </c>
      <c r="I567" s="7">
        <f t="shared" si="76"/>
        <v>-97.875301076249968</v>
      </c>
      <c r="J567" s="8">
        <f t="shared" si="77"/>
        <v>26585.833333333332</v>
      </c>
      <c r="K567" s="7">
        <f t="shared" si="78"/>
        <v>-26683.708634409581</v>
      </c>
      <c r="L567" s="4">
        <f>IF(A567&gt;'Yield Curve'!A1181,L566,(1+VLOOKUP(A567,'Yield Curve'!A560:B1182,2,FALSE))^(1/12)-1)</f>
        <v>7.9741404289037643E-3</v>
      </c>
      <c r="M567" s="5">
        <f t="shared" si="79"/>
        <v>-314.80160618594778</v>
      </c>
    </row>
    <row r="568" spans="1:13" x14ac:dyDescent="0.25">
      <c r="A568" s="4">
        <v>560</v>
      </c>
      <c r="B568" s="4">
        <f t="shared" si="72"/>
        <v>91</v>
      </c>
      <c r="C568" s="4">
        <f t="shared" si="73"/>
        <v>575</v>
      </c>
      <c r="D568" s="4">
        <f>IF(B568&gt;'Mortality Table'!$A$118,D567,VLOOKUP(B568,'Mortality Table'!$A$2:$B$118,2,FALSE))</f>
        <v>0.31902999999999998</v>
      </c>
      <c r="E568" s="4">
        <f>IF(INT((C568-1)/12)+1&gt;'Lapse Table'!$A$11,E567,VLOOKUP(INT((C568-1)/12)+1,'Lapse Table'!$A$2:$B$11,2,FALSE))/12</f>
        <v>0</v>
      </c>
      <c r="F568" s="5">
        <f t="shared" si="80"/>
        <v>-2.9628448656208324</v>
      </c>
      <c r="G568" s="6">
        <f t="shared" si="74"/>
        <v>2.6585833333333333E-2</v>
      </c>
      <c r="H568" s="6">
        <f t="shared" si="75"/>
        <v>0</v>
      </c>
      <c r="I568" s="7">
        <f t="shared" si="76"/>
        <v>-98.761495520694424</v>
      </c>
      <c r="J568" s="8">
        <f t="shared" si="77"/>
        <v>26585.833333333332</v>
      </c>
      <c r="K568" s="7">
        <f t="shared" si="78"/>
        <v>-26684.594828854028</v>
      </c>
      <c r="L568" s="4">
        <f>IF(A568&gt;'Yield Curve'!A1182,L567,(1+VLOOKUP(A568,'Yield Curve'!A561:B1183,2,FALSE))^(1/12)-1)</f>
        <v>7.9741404289037643E-3</v>
      </c>
      <c r="M568" s="5">
        <f t="shared" si="79"/>
        <v>-312.32156506449155</v>
      </c>
    </row>
    <row r="569" spans="1:13" x14ac:dyDescent="0.25">
      <c r="A569" s="4">
        <v>561</v>
      </c>
      <c r="B569" s="4">
        <f t="shared" si="72"/>
        <v>91</v>
      </c>
      <c r="C569" s="4">
        <f t="shared" si="73"/>
        <v>576</v>
      </c>
      <c r="D569" s="4">
        <f>IF(B569&gt;'Mortality Table'!$A$118,D568,VLOOKUP(B569,'Mortality Table'!$A$2:$B$118,2,FALSE))</f>
        <v>0.31902999999999998</v>
      </c>
      <c r="E569" s="4">
        <f>IF(INT((C569-1)/12)+1&gt;'Lapse Table'!$A$11,E568,VLOOKUP(INT((C569-1)/12)+1,'Lapse Table'!$A$2:$B$11,2,FALSE))/12</f>
        <v>0</v>
      </c>
      <c r="F569" s="5">
        <f t="shared" si="80"/>
        <v>-2.9894306989541657</v>
      </c>
      <c r="G569" s="6">
        <f t="shared" si="74"/>
        <v>2.6585833333333333E-2</v>
      </c>
      <c r="H569" s="6">
        <f t="shared" si="75"/>
        <v>0</v>
      </c>
      <c r="I569" s="7">
        <f t="shared" si="76"/>
        <v>-99.647689965138852</v>
      </c>
      <c r="J569" s="8">
        <f t="shared" si="77"/>
        <v>26585.833333333332</v>
      </c>
      <c r="K569" s="7">
        <f t="shared" si="78"/>
        <v>-26685.481023298471</v>
      </c>
      <c r="L569" s="4">
        <f>IF(A569&gt;'Yield Curve'!A1183,L568,(1+VLOOKUP(A569,'Yield Curve'!A562:B1184,2,FALSE))^(1/12)-1)</f>
        <v>7.9741404289037643E-3</v>
      </c>
      <c r="M569" s="5">
        <f t="shared" si="79"/>
        <v>-309.86106163363456</v>
      </c>
    </row>
    <row r="570" spans="1:13" x14ac:dyDescent="0.25">
      <c r="A570" s="4">
        <v>562</v>
      </c>
      <c r="B570" s="4">
        <f t="shared" si="72"/>
        <v>91</v>
      </c>
      <c r="C570" s="4">
        <f t="shared" si="73"/>
        <v>577</v>
      </c>
      <c r="D570" s="4">
        <f>IF(B570&gt;'Mortality Table'!$A$118,D569,VLOOKUP(B570,'Mortality Table'!$A$2:$B$118,2,FALSE))</f>
        <v>0.31902999999999998</v>
      </c>
      <c r="E570" s="4">
        <f>IF(INT((C570-1)/12)+1&gt;'Lapse Table'!$A$11,E569,VLOOKUP(INT((C570-1)/12)+1,'Lapse Table'!$A$2:$B$11,2,FALSE))/12</f>
        <v>0</v>
      </c>
      <c r="F570" s="5">
        <f t="shared" si="80"/>
        <v>-3.016016532287499</v>
      </c>
      <c r="G570" s="6">
        <f t="shared" si="74"/>
        <v>2.6585833333333333E-2</v>
      </c>
      <c r="H570" s="6">
        <f t="shared" si="75"/>
        <v>0</v>
      </c>
      <c r="I570" s="7">
        <f t="shared" si="76"/>
        <v>-100.53388440958331</v>
      </c>
      <c r="J570" s="8">
        <f t="shared" si="77"/>
        <v>26585.833333333332</v>
      </c>
      <c r="K570" s="7">
        <f t="shared" si="78"/>
        <v>-26686.367217742914</v>
      </c>
      <c r="L570" s="4">
        <f>IF(A570&gt;'Yield Curve'!A1184,L569,(1+VLOOKUP(A570,'Yield Curve'!A563:B1185,2,FALSE))^(1/12)-1)</f>
        <v>7.9741404289037643E-3</v>
      </c>
      <c r="M570" s="5">
        <f t="shared" si="79"/>
        <v>-307.41994197874317</v>
      </c>
    </row>
    <row r="571" spans="1:13" x14ac:dyDescent="0.25">
      <c r="A571" s="4">
        <v>563</v>
      </c>
      <c r="B571" s="4">
        <f t="shared" si="72"/>
        <v>91</v>
      </c>
      <c r="C571" s="4">
        <f t="shared" si="73"/>
        <v>578</v>
      </c>
      <c r="D571" s="4">
        <f>IF(B571&gt;'Mortality Table'!$A$118,D570,VLOOKUP(B571,'Mortality Table'!$A$2:$B$118,2,FALSE))</f>
        <v>0.31902999999999998</v>
      </c>
      <c r="E571" s="4">
        <f>IF(INT((C571-1)/12)+1&gt;'Lapse Table'!$A$11,E570,VLOOKUP(INT((C571-1)/12)+1,'Lapse Table'!$A$2:$B$11,2,FALSE))/12</f>
        <v>0</v>
      </c>
      <c r="F571" s="5">
        <f t="shared" si="80"/>
        <v>-3.0426023656208323</v>
      </c>
      <c r="G571" s="6">
        <f t="shared" si="74"/>
        <v>2.6585833333333333E-2</v>
      </c>
      <c r="H571" s="6">
        <f t="shared" si="75"/>
        <v>0</v>
      </c>
      <c r="I571" s="7">
        <f t="shared" si="76"/>
        <v>-101.42007885402774</v>
      </c>
      <c r="J571" s="8">
        <f t="shared" si="77"/>
        <v>26585.833333333332</v>
      </c>
      <c r="K571" s="7">
        <f t="shared" si="78"/>
        <v>-26687.253412187361</v>
      </c>
      <c r="L571" s="4">
        <f>IF(A571&gt;'Yield Curve'!A1185,L570,(1+VLOOKUP(A571,'Yield Curve'!A564:B1186,2,FALSE))^(1/12)-1)</f>
        <v>7.9741404289037643E-3</v>
      </c>
      <c r="M571" s="5">
        <f t="shared" si="79"/>
        <v>-304.99805339767568</v>
      </c>
    </row>
    <row r="572" spans="1:13" x14ac:dyDescent="0.25">
      <c r="A572" s="4">
        <v>564</v>
      </c>
      <c r="B572" s="4">
        <f t="shared" si="72"/>
        <v>92</v>
      </c>
      <c r="C572" s="4">
        <f t="shared" si="73"/>
        <v>579</v>
      </c>
      <c r="D572" s="4">
        <f>IF(B572&gt;'Mortality Table'!$A$118,D571,VLOOKUP(B572,'Mortality Table'!$A$2:$B$118,2,FALSE))</f>
        <v>0.34217999999999998</v>
      </c>
      <c r="E572" s="4">
        <f>IF(INT((C572-1)/12)+1&gt;'Lapse Table'!$A$11,E571,VLOOKUP(INT((C572-1)/12)+1,'Lapse Table'!$A$2:$B$11,2,FALSE))/12</f>
        <v>0</v>
      </c>
      <c r="F572" s="5">
        <f t="shared" si="80"/>
        <v>-3.0711173656208324</v>
      </c>
      <c r="G572" s="6">
        <f t="shared" si="74"/>
        <v>2.8514999999999999E-2</v>
      </c>
      <c r="H572" s="6">
        <f t="shared" si="75"/>
        <v>0</v>
      </c>
      <c r="I572" s="7">
        <f t="shared" si="76"/>
        <v>-102.37057885402776</v>
      </c>
      <c r="J572" s="8">
        <f t="shared" si="77"/>
        <v>28515</v>
      </c>
      <c r="K572" s="7">
        <f t="shared" si="78"/>
        <v>-28617.370578854028</v>
      </c>
      <c r="L572" s="4">
        <f>IF(A572&gt;'Yield Curve'!A1186,L571,(1+VLOOKUP(A572,'Yield Curve'!A565:B1187,2,FALSE))^(1/12)-1)</f>
        <v>7.9741404289037643E-3</v>
      </c>
      <c r="M572" s="5">
        <f t="shared" si="79"/>
        <v>-324.46923509014204</v>
      </c>
    </row>
    <row r="573" spans="1:13" x14ac:dyDescent="0.25">
      <c r="A573" s="4">
        <v>565</v>
      </c>
      <c r="B573" s="4">
        <f t="shared" si="72"/>
        <v>92</v>
      </c>
      <c r="C573" s="4">
        <f t="shared" si="73"/>
        <v>580</v>
      </c>
      <c r="D573" s="4">
        <f>IF(B573&gt;'Mortality Table'!$A$118,D572,VLOOKUP(B573,'Mortality Table'!$A$2:$B$118,2,FALSE))</f>
        <v>0.34217999999999998</v>
      </c>
      <c r="E573" s="4">
        <f>IF(INT((C573-1)/12)+1&gt;'Lapse Table'!$A$11,E572,VLOOKUP(INT((C573-1)/12)+1,'Lapse Table'!$A$2:$B$11,2,FALSE))/12</f>
        <v>0</v>
      </c>
      <c r="F573" s="5">
        <f t="shared" si="80"/>
        <v>-3.0996323656208324</v>
      </c>
      <c r="G573" s="6">
        <f t="shared" si="74"/>
        <v>2.8514999999999999E-2</v>
      </c>
      <c r="H573" s="6">
        <f t="shared" si="75"/>
        <v>0</v>
      </c>
      <c r="I573" s="7">
        <f t="shared" si="76"/>
        <v>-103.32107885402775</v>
      </c>
      <c r="J573" s="8">
        <f t="shared" si="77"/>
        <v>28515</v>
      </c>
      <c r="K573" s="7">
        <f t="shared" si="78"/>
        <v>-28618.321078854027</v>
      </c>
      <c r="L573" s="4">
        <f>IF(A573&gt;'Yield Curve'!A1187,L572,(1+VLOOKUP(A573,'Yield Curve'!A566:B1188,2,FALSE))^(1/12)-1)</f>
        <v>7.9741404289037643E-3</v>
      </c>
      <c r="M573" s="5">
        <f t="shared" si="79"/>
        <v>-321.91303231582259</v>
      </c>
    </row>
    <row r="574" spans="1:13" x14ac:dyDescent="0.25">
      <c r="A574" s="4">
        <v>566</v>
      </c>
      <c r="B574" s="4">
        <f t="shared" si="72"/>
        <v>92</v>
      </c>
      <c r="C574" s="4">
        <f t="shared" si="73"/>
        <v>581</v>
      </c>
      <c r="D574" s="4">
        <f>IF(B574&gt;'Mortality Table'!$A$118,D573,VLOOKUP(B574,'Mortality Table'!$A$2:$B$118,2,FALSE))</f>
        <v>0.34217999999999998</v>
      </c>
      <c r="E574" s="4">
        <f>IF(INT((C574-1)/12)+1&gt;'Lapse Table'!$A$11,E573,VLOOKUP(INT((C574-1)/12)+1,'Lapse Table'!$A$2:$B$11,2,FALSE))/12</f>
        <v>0</v>
      </c>
      <c r="F574" s="5">
        <f t="shared" si="80"/>
        <v>-3.1281473656208325</v>
      </c>
      <c r="G574" s="6">
        <f t="shared" si="74"/>
        <v>2.8514999999999999E-2</v>
      </c>
      <c r="H574" s="6">
        <f t="shared" si="75"/>
        <v>0</v>
      </c>
      <c r="I574" s="7">
        <f t="shared" si="76"/>
        <v>-104.27157885402774</v>
      </c>
      <c r="J574" s="8">
        <f t="shared" si="77"/>
        <v>28515</v>
      </c>
      <c r="K574" s="7">
        <f t="shared" si="78"/>
        <v>-28619.271578854026</v>
      </c>
      <c r="L574" s="4">
        <f>IF(A574&gt;'Yield Curve'!A1188,L573,(1+VLOOKUP(A574,'Yield Curve'!A567:B1189,2,FALSE))^(1/12)-1)</f>
        <v>7.9741404289037643E-3</v>
      </c>
      <c r="M574" s="5">
        <f t="shared" si="79"/>
        <v>-319.37696722361449</v>
      </c>
    </row>
    <row r="575" spans="1:13" x14ac:dyDescent="0.25">
      <c r="A575" s="4">
        <v>567</v>
      </c>
      <c r="B575" s="4">
        <f t="shared" si="72"/>
        <v>92</v>
      </c>
      <c r="C575" s="4">
        <f t="shared" si="73"/>
        <v>582</v>
      </c>
      <c r="D575" s="4">
        <f>IF(B575&gt;'Mortality Table'!$A$118,D574,VLOOKUP(B575,'Mortality Table'!$A$2:$B$118,2,FALSE))</f>
        <v>0.34217999999999998</v>
      </c>
      <c r="E575" s="4">
        <f>IF(INT((C575-1)/12)+1&gt;'Lapse Table'!$A$11,E574,VLOOKUP(INT((C575-1)/12)+1,'Lapse Table'!$A$2:$B$11,2,FALSE))/12</f>
        <v>0</v>
      </c>
      <c r="F575" s="5">
        <f t="shared" si="80"/>
        <v>-3.1566623656208326</v>
      </c>
      <c r="G575" s="6">
        <f t="shared" si="74"/>
        <v>2.8514999999999999E-2</v>
      </c>
      <c r="H575" s="6">
        <f t="shared" si="75"/>
        <v>0</v>
      </c>
      <c r="I575" s="7">
        <f t="shared" si="76"/>
        <v>-105.22207885402776</v>
      </c>
      <c r="J575" s="8">
        <f t="shared" si="77"/>
        <v>28515</v>
      </c>
      <c r="K575" s="7">
        <f t="shared" si="78"/>
        <v>-28620.222078854029</v>
      </c>
      <c r="L575" s="4">
        <f>IF(A575&gt;'Yield Curve'!A1189,L574,(1+VLOOKUP(A575,'Yield Curve'!A568:B1190,2,FALSE))^(1/12)-1)</f>
        <v>7.9741404289037643E-3</v>
      </c>
      <c r="M575" s="5">
        <f t="shared" si="79"/>
        <v>-316.86088117231327</v>
      </c>
    </row>
    <row r="576" spans="1:13" x14ac:dyDescent="0.25">
      <c r="A576" s="4">
        <v>568</v>
      </c>
      <c r="B576" s="4">
        <f t="shared" si="72"/>
        <v>92</v>
      </c>
      <c r="C576" s="4">
        <f t="shared" si="73"/>
        <v>583</v>
      </c>
      <c r="D576" s="4">
        <f>IF(B576&gt;'Mortality Table'!$A$118,D575,VLOOKUP(B576,'Mortality Table'!$A$2:$B$118,2,FALSE))</f>
        <v>0.34217999999999998</v>
      </c>
      <c r="E576" s="4">
        <f>IF(INT((C576-1)/12)+1&gt;'Lapse Table'!$A$11,E575,VLOOKUP(INT((C576-1)/12)+1,'Lapse Table'!$A$2:$B$11,2,FALSE))/12</f>
        <v>0</v>
      </c>
      <c r="F576" s="5">
        <f t="shared" si="80"/>
        <v>-3.1851773656208326</v>
      </c>
      <c r="G576" s="6">
        <f t="shared" si="74"/>
        <v>2.8514999999999999E-2</v>
      </c>
      <c r="H576" s="6">
        <f t="shared" si="75"/>
        <v>0</v>
      </c>
      <c r="I576" s="7">
        <f t="shared" si="76"/>
        <v>-106.17257885402775</v>
      </c>
      <c r="J576" s="8">
        <f t="shared" si="77"/>
        <v>28515</v>
      </c>
      <c r="K576" s="7">
        <f t="shared" si="78"/>
        <v>-28621.172578854028</v>
      </c>
      <c r="L576" s="4">
        <f>IF(A576&gt;'Yield Curve'!A1190,L575,(1+VLOOKUP(A576,'Yield Curve'!A569:B1191,2,FALSE))^(1/12)-1)</f>
        <v>7.9741404289037643E-3</v>
      </c>
      <c r="M576" s="5">
        <f t="shared" si="79"/>
        <v>-314.36461677044042</v>
      </c>
    </row>
    <row r="577" spans="1:13" x14ac:dyDescent="0.25">
      <c r="A577" s="4">
        <v>569</v>
      </c>
      <c r="B577" s="4">
        <f t="shared" si="72"/>
        <v>92</v>
      </c>
      <c r="C577" s="4">
        <f t="shared" si="73"/>
        <v>584</v>
      </c>
      <c r="D577" s="4">
        <f>IF(B577&gt;'Mortality Table'!$A$118,D576,VLOOKUP(B577,'Mortality Table'!$A$2:$B$118,2,FALSE))</f>
        <v>0.34217999999999998</v>
      </c>
      <c r="E577" s="4">
        <f>IF(INT((C577-1)/12)+1&gt;'Lapse Table'!$A$11,E576,VLOOKUP(INT((C577-1)/12)+1,'Lapse Table'!$A$2:$B$11,2,FALSE))/12</f>
        <v>0</v>
      </c>
      <c r="F577" s="5">
        <f t="shared" si="80"/>
        <v>-3.2136923656208327</v>
      </c>
      <c r="G577" s="6">
        <f t="shared" si="74"/>
        <v>2.8514999999999999E-2</v>
      </c>
      <c r="H577" s="6">
        <f t="shared" si="75"/>
        <v>0</v>
      </c>
      <c r="I577" s="7">
        <f t="shared" si="76"/>
        <v>-107.12307885402775</v>
      </c>
      <c r="J577" s="8">
        <f t="shared" si="77"/>
        <v>28515</v>
      </c>
      <c r="K577" s="7">
        <f t="shared" si="78"/>
        <v>-28622.123078854027</v>
      </c>
      <c r="L577" s="4">
        <f>IF(A577&gt;'Yield Curve'!A1191,L576,(1+VLOOKUP(A577,'Yield Curve'!A570:B1192,2,FALSE))^(1/12)-1)</f>
        <v>7.9741404289037643E-3</v>
      </c>
      <c r="M577" s="5">
        <f t="shared" si="79"/>
        <v>-311.88801786639908</v>
      </c>
    </row>
    <row r="578" spans="1:13" x14ac:dyDescent="0.25">
      <c r="A578" s="4">
        <v>570</v>
      </c>
      <c r="B578" s="4">
        <f t="shared" si="72"/>
        <v>92</v>
      </c>
      <c r="C578" s="4">
        <f t="shared" si="73"/>
        <v>585</v>
      </c>
      <c r="D578" s="4">
        <f>IF(B578&gt;'Mortality Table'!$A$118,D577,VLOOKUP(B578,'Mortality Table'!$A$2:$B$118,2,FALSE))</f>
        <v>0.34217999999999998</v>
      </c>
      <c r="E578" s="4">
        <f>IF(INT((C578-1)/12)+1&gt;'Lapse Table'!$A$11,E577,VLOOKUP(INT((C578-1)/12)+1,'Lapse Table'!$A$2:$B$11,2,FALSE))/12</f>
        <v>0</v>
      </c>
      <c r="F578" s="5">
        <f t="shared" si="80"/>
        <v>-3.2422073656208328</v>
      </c>
      <c r="G578" s="6">
        <f t="shared" si="74"/>
        <v>2.8514999999999999E-2</v>
      </c>
      <c r="H578" s="6">
        <f t="shared" si="75"/>
        <v>0</v>
      </c>
      <c r="I578" s="7">
        <f t="shared" si="76"/>
        <v>-108.07357885402776</v>
      </c>
      <c r="J578" s="8">
        <f t="shared" si="77"/>
        <v>28515</v>
      </c>
      <c r="K578" s="7">
        <f t="shared" si="78"/>
        <v>-28623.073578854026</v>
      </c>
      <c r="L578" s="4">
        <f>IF(A578&gt;'Yield Curve'!A1192,L577,(1+VLOOKUP(A578,'Yield Curve'!A571:B1193,2,FALSE))^(1/12)-1)</f>
        <v>7.9741404289037643E-3</v>
      </c>
      <c r="M578" s="5">
        <f t="shared" si="79"/>
        <v>-309.43092953870581</v>
      </c>
    </row>
    <row r="579" spans="1:13" x14ac:dyDescent="0.25">
      <c r="A579" s="4">
        <v>571</v>
      </c>
      <c r="B579" s="4">
        <f t="shared" si="72"/>
        <v>92</v>
      </c>
      <c r="C579" s="4">
        <f t="shared" si="73"/>
        <v>586</v>
      </c>
      <c r="D579" s="4">
        <f>IF(B579&gt;'Mortality Table'!$A$118,D578,VLOOKUP(B579,'Mortality Table'!$A$2:$B$118,2,FALSE))</f>
        <v>0.34217999999999998</v>
      </c>
      <c r="E579" s="4">
        <f>IF(INT((C579-1)/12)+1&gt;'Lapse Table'!$A$11,E578,VLOOKUP(INT((C579-1)/12)+1,'Lapse Table'!$A$2:$B$11,2,FALSE))/12</f>
        <v>0</v>
      </c>
      <c r="F579" s="5">
        <f t="shared" si="80"/>
        <v>-3.2707223656208328</v>
      </c>
      <c r="G579" s="6">
        <f t="shared" si="74"/>
        <v>2.8514999999999999E-2</v>
      </c>
      <c r="H579" s="6">
        <f t="shared" si="75"/>
        <v>0</v>
      </c>
      <c r="I579" s="7">
        <f t="shared" si="76"/>
        <v>-109.02407885402776</v>
      </c>
      <c r="J579" s="8">
        <f t="shared" si="77"/>
        <v>28515</v>
      </c>
      <c r="K579" s="7">
        <f t="shared" si="78"/>
        <v>-28624.024078854029</v>
      </c>
      <c r="L579" s="4">
        <f>IF(A579&gt;'Yield Curve'!A1193,L578,(1+VLOOKUP(A579,'Yield Curve'!A572:B1194,2,FALSE))^(1/12)-1)</f>
        <v>7.9741404289037643E-3</v>
      </c>
      <c r="M579" s="5">
        <f t="shared" si="79"/>
        <v>-306.99319808630111</v>
      </c>
    </row>
    <row r="580" spans="1:13" x14ac:dyDescent="0.25">
      <c r="A580" s="4">
        <v>572</v>
      </c>
      <c r="B580" s="4">
        <f t="shared" si="72"/>
        <v>92</v>
      </c>
      <c r="C580" s="4">
        <f t="shared" si="73"/>
        <v>587</v>
      </c>
      <c r="D580" s="4">
        <f>IF(B580&gt;'Mortality Table'!$A$118,D579,VLOOKUP(B580,'Mortality Table'!$A$2:$B$118,2,FALSE))</f>
        <v>0.34217999999999998</v>
      </c>
      <c r="E580" s="4">
        <f>IF(INT((C580-1)/12)+1&gt;'Lapse Table'!$A$11,E579,VLOOKUP(INT((C580-1)/12)+1,'Lapse Table'!$A$2:$B$11,2,FALSE))/12</f>
        <v>0</v>
      </c>
      <c r="F580" s="5">
        <f t="shared" si="80"/>
        <v>-3.2992373656208329</v>
      </c>
      <c r="G580" s="6">
        <f t="shared" si="74"/>
        <v>2.8514999999999999E-2</v>
      </c>
      <c r="H580" s="6">
        <f t="shared" si="75"/>
        <v>0</v>
      </c>
      <c r="I580" s="7">
        <f t="shared" si="76"/>
        <v>-109.97457885402775</v>
      </c>
      <c r="J580" s="8">
        <f t="shared" si="77"/>
        <v>28515</v>
      </c>
      <c r="K580" s="7">
        <f t="shared" si="78"/>
        <v>-28624.974578854028</v>
      </c>
      <c r="L580" s="4">
        <f>IF(A580&gt;'Yield Curve'!A1194,L579,(1+VLOOKUP(A580,'Yield Curve'!A573:B1195,2,FALSE))^(1/12)-1)</f>
        <v>7.9741404289037643E-3</v>
      </c>
      <c r="M580" s="5">
        <f t="shared" si="79"/>
        <v>-304.57467101893508</v>
      </c>
    </row>
    <row r="581" spans="1:13" x14ac:dyDescent="0.25">
      <c r="A581" s="4">
        <v>573</v>
      </c>
      <c r="B581" s="4">
        <f t="shared" si="72"/>
        <v>92</v>
      </c>
      <c r="C581" s="4">
        <f t="shared" si="73"/>
        <v>588</v>
      </c>
      <c r="D581" s="4">
        <f>IF(B581&gt;'Mortality Table'!$A$118,D580,VLOOKUP(B581,'Mortality Table'!$A$2:$B$118,2,FALSE))</f>
        <v>0.34217999999999998</v>
      </c>
      <c r="E581" s="4">
        <f>IF(INT((C581-1)/12)+1&gt;'Lapse Table'!$A$11,E580,VLOOKUP(INT((C581-1)/12)+1,'Lapse Table'!$A$2:$B$11,2,FALSE))/12</f>
        <v>0</v>
      </c>
      <c r="F581" s="5">
        <f t="shared" si="80"/>
        <v>-3.327752365620833</v>
      </c>
      <c r="G581" s="6">
        <f t="shared" si="74"/>
        <v>2.8514999999999999E-2</v>
      </c>
      <c r="H581" s="6">
        <f t="shared" si="75"/>
        <v>0</v>
      </c>
      <c r="I581" s="7">
        <f t="shared" si="76"/>
        <v>-110.92507885402777</v>
      </c>
      <c r="J581" s="8">
        <f t="shared" si="77"/>
        <v>28515</v>
      </c>
      <c r="K581" s="7">
        <f t="shared" si="78"/>
        <v>-28625.925078854027</v>
      </c>
      <c r="L581" s="4">
        <f>IF(A581&gt;'Yield Curve'!A1195,L580,(1+VLOOKUP(A581,'Yield Curve'!A574:B1196,2,FALSE))^(1/12)-1)</f>
        <v>7.9741404289037643E-3</v>
      </c>
      <c r="M581" s="5">
        <f t="shared" si="79"/>
        <v>-302.17519704762941</v>
      </c>
    </row>
    <row r="582" spans="1:13" x14ac:dyDescent="0.25">
      <c r="A582" s="4">
        <v>574</v>
      </c>
      <c r="B582" s="4">
        <f t="shared" si="72"/>
        <v>92</v>
      </c>
      <c r="C582" s="4">
        <f t="shared" si="73"/>
        <v>589</v>
      </c>
      <c r="D582" s="4">
        <f>IF(B582&gt;'Mortality Table'!$A$118,D581,VLOOKUP(B582,'Mortality Table'!$A$2:$B$118,2,FALSE))</f>
        <v>0.34217999999999998</v>
      </c>
      <c r="E582" s="4">
        <f>IF(INT((C582-1)/12)+1&gt;'Lapse Table'!$A$11,E581,VLOOKUP(INT((C582-1)/12)+1,'Lapse Table'!$A$2:$B$11,2,FALSE))/12</f>
        <v>0</v>
      </c>
      <c r="F582" s="5">
        <f t="shared" si="80"/>
        <v>-3.3562673656208331</v>
      </c>
      <c r="G582" s="6">
        <f t="shared" si="74"/>
        <v>2.8514999999999999E-2</v>
      </c>
      <c r="H582" s="6">
        <f t="shared" si="75"/>
        <v>0</v>
      </c>
      <c r="I582" s="7">
        <f t="shared" si="76"/>
        <v>-111.87557885402776</v>
      </c>
      <c r="J582" s="8">
        <f t="shared" si="77"/>
        <v>28515</v>
      </c>
      <c r="K582" s="7">
        <f t="shared" si="78"/>
        <v>-28626.875578854029</v>
      </c>
      <c r="L582" s="4">
        <f>IF(A582&gt;'Yield Curve'!A1196,L581,(1+VLOOKUP(A582,'Yield Curve'!A575:B1197,2,FALSE))^(1/12)-1)</f>
        <v>7.9741404289037643E-3</v>
      </c>
      <c r="M582" s="5">
        <f t="shared" si="79"/>
        <v>-299.79462607521435</v>
      </c>
    </row>
    <row r="583" spans="1:13" x14ac:dyDescent="0.25">
      <c r="A583" s="4">
        <v>575</v>
      </c>
      <c r="B583" s="4">
        <f t="shared" si="72"/>
        <v>92</v>
      </c>
      <c r="C583" s="4">
        <f t="shared" si="73"/>
        <v>590</v>
      </c>
      <c r="D583" s="4">
        <f>IF(B583&gt;'Mortality Table'!$A$118,D582,VLOOKUP(B583,'Mortality Table'!$A$2:$B$118,2,FALSE))</f>
        <v>0.34217999999999998</v>
      </c>
      <c r="E583" s="4">
        <f>IF(INT((C583-1)/12)+1&gt;'Lapse Table'!$A$11,E582,VLOOKUP(INT((C583-1)/12)+1,'Lapse Table'!$A$2:$B$11,2,FALSE))/12</f>
        <v>0</v>
      </c>
      <c r="F583" s="5">
        <f t="shared" si="80"/>
        <v>-3.3847823656208331</v>
      </c>
      <c r="G583" s="6">
        <f t="shared" si="74"/>
        <v>2.8514999999999999E-2</v>
      </c>
      <c r="H583" s="6">
        <f t="shared" si="75"/>
        <v>0</v>
      </c>
      <c r="I583" s="7">
        <f t="shared" si="76"/>
        <v>-112.82607885402778</v>
      </c>
      <c r="J583" s="8">
        <f t="shared" si="77"/>
        <v>28515</v>
      </c>
      <c r="K583" s="7">
        <f t="shared" si="78"/>
        <v>-28627.826078854028</v>
      </c>
      <c r="L583" s="4">
        <f>IF(A583&gt;'Yield Curve'!A1197,L582,(1+VLOOKUP(A583,'Yield Curve'!A576:B1198,2,FALSE))^(1/12)-1)</f>
        <v>7.9741404289037643E-3</v>
      </c>
      <c r="M583" s="5">
        <f t="shared" si="79"/>
        <v>-297.43280918693972</v>
      </c>
    </row>
    <row r="584" spans="1:13" x14ac:dyDescent="0.25">
      <c r="A584" s="4">
        <v>576</v>
      </c>
      <c r="B584" s="4">
        <f t="shared" si="72"/>
        <v>93</v>
      </c>
      <c r="C584" s="4">
        <f t="shared" si="73"/>
        <v>591</v>
      </c>
      <c r="D584" s="4">
        <f>IF(B584&gt;'Mortality Table'!$A$118,D583,VLOOKUP(B584,'Mortality Table'!$A$2:$B$118,2,FALSE))</f>
        <v>0.36651</v>
      </c>
      <c r="E584" s="4">
        <f>IF(INT((C584-1)/12)+1&gt;'Lapse Table'!$A$11,E583,VLOOKUP(INT((C584-1)/12)+1,'Lapse Table'!$A$2:$B$11,2,FALSE))/12</f>
        <v>0</v>
      </c>
      <c r="F584" s="5">
        <f t="shared" si="80"/>
        <v>-3.4153248656208333</v>
      </c>
      <c r="G584" s="6">
        <f t="shared" si="74"/>
        <v>3.05425E-2</v>
      </c>
      <c r="H584" s="6">
        <f t="shared" si="75"/>
        <v>0</v>
      </c>
      <c r="I584" s="7">
        <f t="shared" si="76"/>
        <v>-113.84416218736111</v>
      </c>
      <c r="J584" s="8">
        <f t="shared" si="77"/>
        <v>30542.5</v>
      </c>
      <c r="K584" s="7">
        <f t="shared" si="78"/>
        <v>-30656.344162187361</v>
      </c>
      <c r="L584" s="4">
        <f>IF(A584&gt;'Yield Curve'!A1198,L583,(1+VLOOKUP(A584,'Yield Curve'!A577:B1199,2,FALSE))^(1/12)-1)</f>
        <v>7.9741404289037643E-3</v>
      </c>
      <c r="M584" s="5">
        <f t="shared" si="79"/>
        <v>-315.98864414300698</v>
      </c>
    </row>
    <row r="585" spans="1:13" x14ac:dyDescent="0.25">
      <c r="A585" s="4">
        <v>577</v>
      </c>
      <c r="B585" s="4">
        <f t="shared" si="72"/>
        <v>93</v>
      </c>
      <c r="C585" s="4">
        <f t="shared" si="73"/>
        <v>592</v>
      </c>
      <c r="D585" s="4">
        <f>IF(B585&gt;'Mortality Table'!$A$118,D584,VLOOKUP(B585,'Mortality Table'!$A$2:$B$118,2,FALSE))</f>
        <v>0.36651</v>
      </c>
      <c r="E585" s="4">
        <f>IF(INT((C585-1)/12)+1&gt;'Lapse Table'!$A$11,E584,VLOOKUP(INT((C585-1)/12)+1,'Lapse Table'!$A$2:$B$11,2,FALSE))/12</f>
        <v>0</v>
      </c>
      <c r="F585" s="5">
        <f t="shared" si="80"/>
        <v>-3.4458673656208334</v>
      </c>
      <c r="G585" s="6">
        <f t="shared" si="74"/>
        <v>3.05425E-2</v>
      </c>
      <c r="H585" s="6">
        <f t="shared" si="75"/>
        <v>0</v>
      </c>
      <c r="I585" s="7">
        <f t="shared" si="76"/>
        <v>-114.86224552069444</v>
      </c>
      <c r="J585" s="8">
        <f t="shared" si="77"/>
        <v>30542.5</v>
      </c>
      <c r="K585" s="7">
        <f t="shared" si="78"/>
        <v>-30657.362245520693</v>
      </c>
      <c r="L585" s="4">
        <f>IF(A585&gt;'Yield Curve'!A1199,L584,(1+VLOOKUP(A585,'Yield Curve'!A578:B1200,2,FALSE))^(1/12)-1)</f>
        <v>7.9741404289037643E-3</v>
      </c>
      <c r="M585" s="5">
        <f t="shared" si="79"/>
        <v>-313.49925093176989</v>
      </c>
    </row>
    <row r="586" spans="1:13" x14ac:dyDescent="0.25">
      <c r="A586" s="4">
        <v>578</v>
      </c>
      <c r="B586" s="4">
        <f t="shared" ref="B586:B649" si="81">INT($B$3+A586/12)</f>
        <v>93</v>
      </c>
      <c r="C586" s="4">
        <f t="shared" ref="C586:C649" si="82">$B$4+A586</f>
        <v>593</v>
      </c>
      <c r="D586" s="4">
        <f>IF(B586&gt;'Mortality Table'!$A$118,D585,VLOOKUP(B586,'Mortality Table'!$A$2:$B$118,2,FALSE))</f>
        <v>0.36651</v>
      </c>
      <c r="E586" s="4">
        <f>IF(INT((C586-1)/12)+1&gt;'Lapse Table'!$A$11,E585,VLOOKUP(INT((C586-1)/12)+1,'Lapse Table'!$A$2:$B$11,2,FALSE))/12</f>
        <v>0</v>
      </c>
      <c r="F586" s="5">
        <f t="shared" si="80"/>
        <v>-3.4764098656208335</v>
      </c>
      <c r="G586" s="6">
        <f t="shared" ref="G586:G649" si="83">D586/12*(1-0.5*E586)</f>
        <v>3.05425E-2</v>
      </c>
      <c r="H586" s="6">
        <f t="shared" ref="H586:H649" si="84">E586*(1-0.5*D586)</f>
        <v>0</v>
      </c>
      <c r="I586" s="7">
        <f t="shared" ref="I586:I649" si="85">F586*$B$5/12</f>
        <v>-115.88032885402778</v>
      </c>
      <c r="J586" s="8">
        <f t="shared" ref="J586:J649" si="86">$B$6*G586</f>
        <v>30542.5</v>
      </c>
      <c r="K586" s="7">
        <f t="shared" ref="K586:K649" si="87">I586-J586</f>
        <v>-30658.380328854029</v>
      </c>
      <c r="L586" s="4">
        <f>IF(A586&gt;'Yield Curve'!A1200,L585,(1+VLOOKUP(A586,'Yield Curve'!A579:B1201,2,FALSE))^(1/12)-1)</f>
        <v>7.9741404289037643E-3</v>
      </c>
      <c r="M586" s="5">
        <f t="shared" ref="M586:M649" si="88">K586*(1+L586)^-A586</f>
        <v>-311.02946909040259</v>
      </c>
    </row>
    <row r="587" spans="1:13" x14ac:dyDescent="0.25">
      <c r="A587" s="4">
        <v>579</v>
      </c>
      <c r="B587" s="4">
        <f t="shared" si="81"/>
        <v>93</v>
      </c>
      <c r="C587" s="4">
        <f t="shared" si="82"/>
        <v>594</v>
      </c>
      <c r="D587" s="4">
        <f>IF(B587&gt;'Mortality Table'!$A$118,D586,VLOOKUP(B587,'Mortality Table'!$A$2:$B$118,2,FALSE))</f>
        <v>0.36651</v>
      </c>
      <c r="E587" s="4">
        <f>IF(INT((C587-1)/12)+1&gt;'Lapse Table'!$A$11,E586,VLOOKUP(INT((C587-1)/12)+1,'Lapse Table'!$A$2:$B$11,2,FALSE))/12</f>
        <v>0</v>
      </c>
      <c r="F587" s="5">
        <f t="shared" ref="F587:F650" si="89">F586-G587-H587</f>
        <v>-3.5069523656208337</v>
      </c>
      <c r="G587" s="6">
        <f t="shared" si="83"/>
        <v>3.05425E-2</v>
      </c>
      <c r="H587" s="6">
        <f t="shared" si="84"/>
        <v>0</v>
      </c>
      <c r="I587" s="7">
        <f t="shared" si="85"/>
        <v>-116.89841218736113</v>
      </c>
      <c r="J587" s="8">
        <f t="shared" si="86"/>
        <v>30542.5</v>
      </c>
      <c r="K587" s="7">
        <f t="shared" si="87"/>
        <v>-30659.398412187362</v>
      </c>
      <c r="L587" s="4">
        <f>IF(A587&gt;'Yield Curve'!A1201,L586,(1+VLOOKUP(A587,'Yield Curve'!A580:B1202,2,FALSE))^(1/12)-1)</f>
        <v>7.9741404289037643E-3</v>
      </c>
      <c r="M587" s="5">
        <f t="shared" si="88"/>
        <v>-308.57914412380825</v>
      </c>
    </row>
    <row r="588" spans="1:13" x14ac:dyDescent="0.25">
      <c r="A588" s="4">
        <v>580</v>
      </c>
      <c r="B588" s="4">
        <f t="shared" si="81"/>
        <v>93</v>
      </c>
      <c r="C588" s="4">
        <f t="shared" si="82"/>
        <v>595</v>
      </c>
      <c r="D588" s="4">
        <f>IF(B588&gt;'Mortality Table'!$A$118,D587,VLOOKUP(B588,'Mortality Table'!$A$2:$B$118,2,FALSE))</f>
        <v>0.36651</v>
      </c>
      <c r="E588" s="4">
        <f>IF(INT((C588-1)/12)+1&gt;'Lapse Table'!$A$11,E587,VLOOKUP(INT((C588-1)/12)+1,'Lapse Table'!$A$2:$B$11,2,FALSE))/12</f>
        <v>0</v>
      </c>
      <c r="F588" s="5">
        <f t="shared" si="89"/>
        <v>-3.5374948656208338</v>
      </c>
      <c r="G588" s="6">
        <f t="shared" si="83"/>
        <v>3.05425E-2</v>
      </c>
      <c r="H588" s="6">
        <f t="shared" si="84"/>
        <v>0</v>
      </c>
      <c r="I588" s="7">
        <f t="shared" si="85"/>
        <v>-117.91649552069447</v>
      </c>
      <c r="J588" s="8">
        <f t="shared" si="86"/>
        <v>30542.5</v>
      </c>
      <c r="K588" s="7">
        <f t="shared" si="87"/>
        <v>-30660.416495520694</v>
      </c>
      <c r="L588" s="4">
        <f>IF(A588&gt;'Yield Curve'!A1202,L587,(1+VLOOKUP(A588,'Yield Curve'!A581:B1203,2,FALSE))^(1/12)-1)</f>
        <v>7.9741404289037643E-3</v>
      </c>
      <c r="M588" s="5">
        <f t="shared" si="88"/>
        <v>-306.14812275395514</v>
      </c>
    </row>
    <row r="589" spans="1:13" x14ac:dyDescent="0.25">
      <c r="A589" s="4">
        <v>581</v>
      </c>
      <c r="B589" s="4">
        <f t="shared" si="81"/>
        <v>93</v>
      </c>
      <c r="C589" s="4">
        <f t="shared" si="82"/>
        <v>596</v>
      </c>
      <c r="D589" s="4">
        <f>IF(B589&gt;'Mortality Table'!$A$118,D588,VLOOKUP(B589,'Mortality Table'!$A$2:$B$118,2,FALSE))</f>
        <v>0.36651</v>
      </c>
      <c r="E589" s="4">
        <f>IF(INT((C589-1)/12)+1&gt;'Lapse Table'!$A$11,E588,VLOOKUP(INT((C589-1)/12)+1,'Lapse Table'!$A$2:$B$11,2,FALSE))/12</f>
        <v>0</v>
      </c>
      <c r="F589" s="5">
        <f t="shared" si="89"/>
        <v>-3.568037365620834</v>
      </c>
      <c r="G589" s="6">
        <f t="shared" si="83"/>
        <v>3.05425E-2</v>
      </c>
      <c r="H589" s="6">
        <f t="shared" si="84"/>
        <v>0</v>
      </c>
      <c r="I589" s="7">
        <f t="shared" si="85"/>
        <v>-118.93457885402779</v>
      </c>
      <c r="J589" s="8">
        <f t="shared" si="86"/>
        <v>30542.5</v>
      </c>
      <c r="K589" s="7">
        <f t="shared" si="87"/>
        <v>-30661.434578854027</v>
      </c>
      <c r="L589" s="4">
        <f>IF(A589&gt;'Yield Curve'!A1203,L588,(1+VLOOKUP(A589,'Yield Curve'!A582:B1204,2,FALSE))^(1/12)-1)</f>
        <v>7.9741404289037643E-3</v>
      </c>
      <c r="M589" s="5">
        <f t="shared" si="88"/>
        <v>-303.73625291028895</v>
      </c>
    </row>
    <row r="590" spans="1:13" x14ac:dyDescent="0.25">
      <c r="A590" s="4">
        <v>582</v>
      </c>
      <c r="B590" s="4">
        <f t="shared" si="81"/>
        <v>93</v>
      </c>
      <c r="C590" s="4">
        <f t="shared" si="82"/>
        <v>597</v>
      </c>
      <c r="D590" s="4">
        <f>IF(B590&gt;'Mortality Table'!$A$118,D589,VLOOKUP(B590,'Mortality Table'!$A$2:$B$118,2,FALSE))</f>
        <v>0.36651</v>
      </c>
      <c r="E590" s="4">
        <f>IF(INT((C590-1)/12)+1&gt;'Lapse Table'!$A$11,E589,VLOOKUP(INT((C590-1)/12)+1,'Lapse Table'!$A$2:$B$11,2,FALSE))/12</f>
        <v>0</v>
      </c>
      <c r="F590" s="5">
        <f t="shared" si="89"/>
        <v>-3.5985798656208341</v>
      </c>
      <c r="G590" s="6">
        <f t="shared" si="83"/>
        <v>3.05425E-2</v>
      </c>
      <c r="H590" s="6">
        <f t="shared" si="84"/>
        <v>0</v>
      </c>
      <c r="I590" s="7">
        <f t="shared" si="85"/>
        <v>-119.95266218736113</v>
      </c>
      <c r="J590" s="8">
        <f t="shared" si="86"/>
        <v>30542.5</v>
      </c>
      <c r="K590" s="7">
        <f t="shared" si="87"/>
        <v>-30662.452662187363</v>
      </c>
      <c r="L590" s="4">
        <f>IF(A590&gt;'Yield Curve'!A1204,L589,(1+VLOOKUP(A590,'Yield Curve'!A583:B1205,2,FALSE))^(1/12)-1)</f>
        <v>7.9741404289037643E-3</v>
      </c>
      <c r="M590" s="5">
        <f t="shared" si="88"/>
        <v>-301.34338372022091</v>
      </c>
    </row>
    <row r="591" spans="1:13" x14ac:dyDescent="0.25">
      <c r="A591" s="4">
        <v>583</v>
      </c>
      <c r="B591" s="4">
        <f t="shared" si="81"/>
        <v>93</v>
      </c>
      <c r="C591" s="4">
        <f t="shared" si="82"/>
        <v>598</v>
      </c>
      <c r="D591" s="4">
        <f>IF(B591&gt;'Mortality Table'!$A$118,D590,VLOOKUP(B591,'Mortality Table'!$A$2:$B$118,2,FALSE))</f>
        <v>0.36651</v>
      </c>
      <c r="E591" s="4">
        <f>IF(INT((C591-1)/12)+1&gt;'Lapse Table'!$A$11,E590,VLOOKUP(INT((C591-1)/12)+1,'Lapse Table'!$A$2:$B$11,2,FALSE))/12</f>
        <v>0</v>
      </c>
      <c r="F591" s="5">
        <f t="shared" si="89"/>
        <v>-3.6291223656208342</v>
      </c>
      <c r="G591" s="6">
        <f t="shared" si="83"/>
        <v>3.05425E-2</v>
      </c>
      <c r="H591" s="6">
        <f t="shared" si="84"/>
        <v>0</v>
      </c>
      <c r="I591" s="7">
        <f t="shared" si="85"/>
        <v>-120.97074552069448</v>
      </c>
      <c r="J591" s="8">
        <f t="shared" si="86"/>
        <v>30542.5</v>
      </c>
      <c r="K591" s="7">
        <f t="shared" si="87"/>
        <v>-30663.470745520695</v>
      </c>
      <c r="L591" s="4">
        <f>IF(A591&gt;'Yield Curve'!A1205,L590,(1+VLOOKUP(A591,'Yield Curve'!A584:B1206,2,FALSE))^(1/12)-1)</f>
        <v>7.9741404289037643E-3</v>
      </c>
      <c r="M591" s="5">
        <f t="shared" si="88"/>
        <v>-298.96936549969035</v>
      </c>
    </row>
    <row r="592" spans="1:13" x14ac:dyDescent="0.25">
      <c r="A592" s="4">
        <v>584</v>
      </c>
      <c r="B592" s="4">
        <f t="shared" si="81"/>
        <v>93</v>
      </c>
      <c r="C592" s="4">
        <f t="shared" si="82"/>
        <v>599</v>
      </c>
      <c r="D592" s="4">
        <f>IF(B592&gt;'Mortality Table'!$A$118,D591,VLOOKUP(B592,'Mortality Table'!$A$2:$B$118,2,FALSE))</f>
        <v>0.36651</v>
      </c>
      <c r="E592" s="4">
        <f>IF(INT((C592-1)/12)+1&gt;'Lapse Table'!$A$11,E591,VLOOKUP(INT((C592-1)/12)+1,'Lapse Table'!$A$2:$B$11,2,FALSE))/12</f>
        <v>0</v>
      </c>
      <c r="F592" s="5">
        <f t="shared" si="89"/>
        <v>-3.6596648656208344</v>
      </c>
      <c r="G592" s="6">
        <f t="shared" si="83"/>
        <v>3.05425E-2</v>
      </c>
      <c r="H592" s="6">
        <f t="shared" si="84"/>
        <v>0</v>
      </c>
      <c r="I592" s="7">
        <f t="shared" si="85"/>
        <v>-121.98882885402782</v>
      </c>
      <c r="J592" s="8">
        <f t="shared" si="86"/>
        <v>30542.5</v>
      </c>
      <c r="K592" s="7">
        <f t="shared" si="87"/>
        <v>-30664.488828854028</v>
      </c>
      <c r="L592" s="4">
        <f>IF(A592&gt;'Yield Curve'!A1206,L591,(1+VLOOKUP(A592,'Yield Curve'!A585:B1207,2,FALSE))^(1/12)-1)</f>
        <v>7.9741404289037643E-3</v>
      </c>
      <c r="M592" s="5">
        <f t="shared" si="88"/>
        <v>-296.61404974380264</v>
      </c>
    </row>
    <row r="593" spans="1:13" x14ac:dyDescent="0.25">
      <c r="A593" s="4">
        <v>585</v>
      </c>
      <c r="B593" s="4">
        <f t="shared" si="81"/>
        <v>93</v>
      </c>
      <c r="C593" s="4">
        <f t="shared" si="82"/>
        <v>600</v>
      </c>
      <c r="D593" s="4">
        <f>IF(B593&gt;'Mortality Table'!$A$118,D592,VLOOKUP(B593,'Mortality Table'!$A$2:$B$118,2,FALSE))</f>
        <v>0.36651</v>
      </c>
      <c r="E593" s="4">
        <f>IF(INT((C593-1)/12)+1&gt;'Lapse Table'!$A$11,E592,VLOOKUP(INT((C593-1)/12)+1,'Lapse Table'!$A$2:$B$11,2,FALSE))/12</f>
        <v>0</v>
      </c>
      <c r="F593" s="5">
        <f t="shared" si="89"/>
        <v>-3.6902073656208345</v>
      </c>
      <c r="G593" s="6">
        <f t="shared" si="83"/>
        <v>3.05425E-2</v>
      </c>
      <c r="H593" s="6">
        <f t="shared" si="84"/>
        <v>0</v>
      </c>
      <c r="I593" s="7">
        <f t="shared" si="85"/>
        <v>-123.00691218736115</v>
      </c>
      <c r="J593" s="8">
        <f t="shared" si="86"/>
        <v>30542.5</v>
      </c>
      <c r="K593" s="7">
        <f t="shared" si="87"/>
        <v>-30665.50691218736</v>
      </c>
      <c r="L593" s="4">
        <f>IF(A593&gt;'Yield Curve'!A1207,L592,(1+VLOOKUP(A593,'Yield Curve'!A586:B1208,2,FALSE))^(1/12)-1)</f>
        <v>7.9741404289037643E-3</v>
      </c>
      <c r="M593" s="5">
        <f t="shared" si="88"/>
        <v>-294.27728911753979</v>
      </c>
    </row>
    <row r="594" spans="1:13" x14ac:dyDescent="0.25">
      <c r="A594" s="4">
        <v>586</v>
      </c>
      <c r="B594" s="4">
        <f t="shared" si="81"/>
        <v>93</v>
      </c>
      <c r="C594" s="4">
        <f t="shared" si="82"/>
        <v>601</v>
      </c>
      <c r="D594" s="4">
        <f>IF(B594&gt;'Mortality Table'!$A$118,D593,VLOOKUP(B594,'Mortality Table'!$A$2:$B$118,2,FALSE))</f>
        <v>0.36651</v>
      </c>
      <c r="E594" s="4">
        <f>IF(INT((C594-1)/12)+1&gt;'Lapse Table'!$A$11,E593,VLOOKUP(INT((C594-1)/12)+1,'Lapse Table'!$A$2:$B$11,2,FALSE))/12</f>
        <v>0</v>
      </c>
      <c r="F594" s="5">
        <f t="shared" si="89"/>
        <v>-3.7207498656208347</v>
      </c>
      <c r="G594" s="6">
        <f t="shared" si="83"/>
        <v>3.05425E-2</v>
      </c>
      <c r="H594" s="6">
        <f t="shared" si="84"/>
        <v>0</v>
      </c>
      <c r="I594" s="7">
        <f t="shared" si="85"/>
        <v>-124.02499552069447</v>
      </c>
      <c r="J594" s="8">
        <f t="shared" si="86"/>
        <v>30542.5</v>
      </c>
      <c r="K594" s="7">
        <f t="shared" si="87"/>
        <v>-30666.524995520693</v>
      </c>
      <c r="L594" s="4">
        <f>IF(A594&gt;'Yield Curve'!A1208,L593,(1+VLOOKUP(A594,'Yield Curve'!A587:B1209,2,FALSE))^(1/12)-1)</f>
        <v>7.9741404289037643E-3</v>
      </c>
      <c r="M594" s="5">
        <f t="shared" si="88"/>
        <v>-291.95893744654501</v>
      </c>
    </row>
    <row r="595" spans="1:13" x14ac:dyDescent="0.25">
      <c r="A595" s="4">
        <v>587</v>
      </c>
      <c r="B595" s="4">
        <f t="shared" si="81"/>
        <v>93</v>
      </c>
      <c r="C595" s="4">
        <f t="shared" si="82"/>
        <v>602</v>
      </c>
      <c r="D595" s="4">
        <f>IF(B595&gt;'Mortality Table'!$A$118,D594,VLOOKUP(B595,'Mortality Table'!$A$2:$B$118,2,FALSE))</f>
        <v>0.36651</v>
      </c>
      <c r="E595" s="4">
        <f>IF(INT((C595-1)/12)+1&gt;'Lapse Table'!$A$11,E594,VLOOKUP(INT((C595-1)/12)+1,'Lapse Table'!$A$2:$B$11,2,FALSE))/12</f>
        <v>0</v>
      </c>
      <c r="F595" s="5">
        <f t="shared" si="89"/>
        <v>-3.7512923656208348</v>
      </c>
      <c r="G595" s="6">
        <f t="shared" si="83"/>
        <v>3.05425E-2</v>
      </c>
      <c r="H595" s="6">
        <f t="shared" si="84"/>
        <v>0</v>
      </c>
      <c r="I595" s="7">
        <f t="shared" si="85"/>
        <v>-125.04307885402783</v>
      </c>
      <c r="J595" s="8">
        <f t="shared" si="86"/>
        <v>30542.5</v>
      </c>
      <c r="K595" s="7">
        <f t="shared" si="87"/>
        <v>-30667.543078854029</v>
      </c>
      <c r="L595" s="4">
        <f>IF(A595&gt;'Yield Curve'!A1209,L594,(1+VLOOKUP(A595,'Yield Curve'!A588:B1210,2,FALSE))^(1/12)-1)</f>
        <v>7.9741404289037643E-3</v>
      </c>
      <c r="M595" s="5">
        <f t="shared" si="88"/>
        <v>-289.65884970797913</v>
      </c>
    </row>
    <row r="596" spans="1:13" x14ac:dyDescent="0.25">
      <c r="A596" s="4">
        <v>588</v>
      </c>
      <c r="B596" s="4">
        <f t="shared" si="81"/>
        <v>94</v>
      </c>
      <c r="C596" s="4">
        <f t="shared" si="82"/>
        <v>603</v>
      </c>
      <c r="D596" s="4">
        <f>IF(B596&gt;'Mortality Table'!$A$118,D595,VLOOKUP(B596,'Mortality Table'!$A$2:$B$118,2,FALSE))</f>
        <v>0.39201000000000003</v>
      </c>
      <c r="E596" s="4">
        <f>IF(INT((C596-1)/12)+1&gt;'Lapse Table'!$A$11,E595,VLOOKUP(INT((C596-1)/12)+1,'Lapse Table'!$A$2:$B$11,2,FALSE))/12</f>
        <v>0</v>
      </c>
      <c r="F596" s="5">
        <f t="shared" si="89"/>
        <v>-3.7839598656208349</v>
      </c>
      <c r="G596" s="6">
        <f t="shared" si="83"/>
        <v>3.2667500000000002E-2</v>
      </c>
      <c r="H596" s="6">
        <f t="shared" si="84"/>
        <v>0</v>
      </c>
      <c r="I596" s="7">
        <f t="shared" si="85"/>
        <v>-126.13199552069449</v>
      </c>
      <c r="J596" s="8">
        <f t="shared" si="86"/>
        <v>32667.500000000004</v>
      </c>
      <c r="K596" s="7">
        <f t="shared" si="87"/>
        <v>-32793.6319955207</v>
      </c>
      <c r="L596" s="4">
        <f>IF(A596&gt;'Yield Curve'!A1210,L595,(1+VLOOKUP(A596,'Yield Curve'!A589:B1211,2,FALSE))^(1/12)-1)</f>
        <v>7.9741404289037643E-3</v>
      </c>
      <c r="M596" s="5">
        <f t="shared" si="88"/>
        <v>-307.28965937440273</v>
      </c>
    </row>
    <row r="597" spans="1:13" x14ac:dyDescent="0.25">
      <c r="A597" s="4">
        <v>589</v>
      </c>
      <c r="B597" s="4">
        <f t="shared" si="81"/>
        <v>94</v>
      </c>
      <c r="C597" s="4">
        <f t="shared" si="82"/>
        <v>604</v>
      </c>
      <c r="D597" s="4">
        <f>IF(B597&gt;'Mortality Table'!$A$118,D596,VLOOKUP(B597,'Mortality Table'!$A$2:$B$118,2,FALSE))</f>
        <v>0.39201000000000003</v>
      </c>
      <c r="E597" s="4">
        <f>IF(INT((C597-1)/12)+1&gt;'Lapse Table'!$A$11,E596,VLOOKUP(INT((C597-1)/12)+1,'Lapse Table'!$A$2:$B$11,2,FALSE))/12</f>
        <v>0</v>
      </c>
      <c r="F597" s="5">
        <f t="shared" si="89"/>
        <v>-3.8166273656208349</v>
      </c>
      <c r="G597" s="6">
        <f t="shared" si="83"/>
        <v>3.2667500000000002E-2</v>
      </c>
      <c r="H597" s="6">
        <f t="shared" si="84"/>
        <v>0</v>
      </c>
      <c r="I597" s="7">
        <f t="shared" si="85"/>
        <v>-127.22091218736115</v>
      </c>
      <c r="J597" s="8">
        <f t="shared" si="86"/>
        <v>32667.500000000004</v>
      </c>
      <c r="K597" s="7">
        <f t="shared" si="87"/>
        <v>-32794.720912187368</v>
      </c>
      <c r="L597" s="4">
        <f>IF(A597&gt;'Yield Curve'!A1211,L596,(1+VLOOKUP(A597,'Yield Curve'!A590:B1212,2,FALSE))^(1/12)-1)</f>
        <v>7.9741404289037643E-3</v>
      </c>
      <c r="M597" s="5">
        <f t="shared" si="88"/>
        <v>-304.86879637145643</v>
      </c>
    </row>
    <row r="598" spans="1:13" x14ac:dyDescent="0.25">
      <c r="A598" s="4">
        <v>590</v>
      </c>
      <c r="B598" s="4">
        <f t="shared" si="81"/>
        <v>94</v>
      </c>
      <c r="C598" s="4">
        <f t="shared" si="82"/>
        <v>605</v>
      </c>
      <c r="D598" s="4">
        <f>IF(B598&gt;'Mortality Table'!$A$118,D597,VLOOKUP(B598,'Mortality Table'!$A$2:$B$118,2,FALSE))</f>
        <v>0.39201000000000003</v>
      </c>
      <c r="E598" s="4">
        <f>IF(INT((C598-1)/12)+1&gt;'Lapse Table'!$A$11,E597,VLOOKUP(INT((C598-1)/12)+1,'Lapse Table'!$A$2:$B$11,2,FALSE))/12</f>
        <v>0</v>
      </c>
      <c r="F598" s="5">
        <f t="shared" si="89"/>
        <v>-3.849294865620835</v>
      </c>
      <c r="G598" s="6">
        <f t="shared" si="83"/>
        <v>3.2667500000000002E-2</v>
      </c>
      <c r="H598" s="6">
        <f t="shared" si="84"/>
        <v>0</v>
      </c>
      <c r="I598" s="7">
        <f t="shared" si="85"/>
        <v>-128.30982885402784</v>
      </c>
      <c r="J598" s="8">
        <f t="shared" si="86"/>
        <v>32667.500000000004</v>
      </c>
      <c r="K598" s="7">
        <f t="shared" si="87"/>
        <v>-32795.809828854035</v>
      </c>
      <c r="L598" s="4">
        <f>IF(A598&gt;'Yield Curve'!A1212,L597,(1+VLOOKUP(A598,'Yield Curve'!A591:B1213,2,FALSE))^(1/12)-1)</f>
        <v>7.9741404289037643E-3</v>
      </c>
      <c r="M598" s="5">
        <f t="shared" si="88"/>
        <v>-302.46700487003233</v>
      </c>
    </row>
    <row r="599" spans="1:13" x14ac:dyDescent="0.25">
      <c r="A599" s="4">
        <v>591</v>
      </c>
      <c r="B599" s="4">
        <f t="shared" si="81"/>
        <v>94</v>
      </c>
      <c r="C599" s="4">
        <f t="shared" si="82"/>
        <v>606</v>
      </c>
      <c r="D599" s="4">
        <f>IF(B599&gt;'Mortality Table'!$A$118,D598,VLOOKUP(B599,'Mortality Table'!$A$2:$B$118,2,FALSE))</f>
        <v>0.39201000000000003</v>
      </c>
      <c r="E599" s="4">
        <f>IF(INT((C599-1)/12)+1&gt;'Lapse Table'!$A$11,E598,VLOOKUP(INT((C599-1)/12)+1,'Lapse Table'!$A$2:$B$11,2,FALSE))/12</f>
        <v>0</v>
      </c>
      <c r="F599" s="5">
        <f t="shared" si="89"/>
        <v>-3.8819623656208351</v>
      </c>
      <c r="G599" s="6">
        <f t="shared" si="83"/>
        <v>3.2667500000000002E-2</v>
      </c>
      <c r="H599" s="6">
        <f t="shared" si="84"/>
        <v>0</v>
      </c>
      <c r="I599" s="7">
        <f t="shared" si="85"/>
        <v>-129.39874552069452</v>
      </c>
      <c r="J599" s="8">
        <f t="shared" si="86"/>
        <v>32667.500000000004</v>
      </c>
      <c r="K599" s="7">
        <f t="shared" si="87"/>
        <v>-32796.898745520695</v>
      </c>
      <c r="L599" s="4">
        <f>IF(A599&gt;'Yield Curve'!A1213,L598,(1+VLOOKUP(A599,'Yield Curve'!A592:B1214,2,FALSE))^(1/12)-1)</f>
        <v>7.9741404289037643E-3</v>
      </c>
      <c r="M599" s="5">
        <f t="shared" si="88"/>
        <v>-300.0841346279413</v>
      </c>
    </row>
    <row r="600" spans="1:13" x14ac:dyDescent="0.25">
      <c r="A600" s="4">
        <v>592</v>
      </c>
      <c r="B600" s="4">
        <f t="shared" si="81"/>
        <v>94</v>
      </c>
      <c r="C600" s="4">
        <f t="shared" si="82"/>
        <v>607</v>
      </c>
      <c r="D600" s="4">
        <f>IF(B600&gt;'Mortality Table'!$A$118,D599,VLOOKUP(B600,'Mortality Table'!$A$2:$B$118,2,FALSE))</f>
        <v>0.39201000000000003</v>
      </c>
      <c r="E600" s="4">
        <f>IF(INT((C600-1)/12)+1&gt;'Lapse Table'!$A$11,E599,VLOOKUP(INT((C600-1)/12)+1,'Lapse Table'!$A$2:$B$11,2,FALSE))/12</f>
        <v>0</v>
      </c>
      <c r="F600" s="5">
        <f t="shared" si="89"/>
        <v>-3.9146298656208351</v>
      </c>
      <c r="G600" s="6">
        <f t="shared" si="83"/>
        <v>3.2667500000000002E-2</v>
      </c>
      <c r="H600" s="6">
        <f t="shared" si="84"/>
        <v>0</v>
      </c>
      <c r="I600" s="7">
        <f t="shared" si="85"/>
        <v>-130.48766218736117</v>
      </c>
      <c r="J600" s="8">
        <f t="shared" si="86"/>
        <v>32667.500000000004</v>
      </c>
      <c r="K600" s="7">
        <f t="shared" si="87"/>
        <v>-32797.987662187363</v>
      </c>
      <c r="L600" s="4">
        <f>IF(A600&gt;'Yield Curve'!A1214,L599,(1+VLOOKUP(A600,'Yield Curve'!A593:B1215,2,FALSE))^(1/12)-1)</f>
        <v>7.9741404289037643E-3</v>
      </c>
      <c r="M600" s="5">
        <f t="shared" si="88"/>
        <v>-297.72003658655683</v>
      </c>
    </row>
    <row r="601" spans="1:13" x14ac:dyDescent="0.25">
      <c r="A601" s="4">
        <v>593</v>
      </c>
      <c r="B601" s="4">
        <f t="shared" si="81"/>
        <v>94</v>
      </c>
      <c r="C601" s="4">
        <f t="shared" si="82"/>
        <v>608</v>
      </c>
      <c r="D601" s="4">
        <f>IF(B601&gt;'Mortality Table'!$A$118,D600,VLOOKUP(B601,'Mortality Table'!$A$2:$B$118,2,FALSE))</f>
        <v>0.39201000000000003</v>
      </c>
      <c r="E601" s="4">
        <f>IF(INT((C601-1)/12)+1&gt;'Lapse Table'!$A$11,E600,VLOOKUP(INT((C601-1)/12)+1,'Lapse Table'!$A$2:$B$11,2,FALSE))/12</f>
        <v>0</v>
      </c>
      <c r="F601" s="5">
        <f t="shared" si="89"/>
        <v>-3.9472973656208352</v>
      </c>
      <c r="G601" s="6">
        <f t="shared" si="83"/>
        <v>3.2667500000000002E-2</v>
      </c>
      <c r="H601" s="6">
        <f t="shared" si="84"/>
        <v>0</v>
      </c>
      <c r="I601" s="7">
        <f t="shared" si="85"/>
        <v>-131.57657885402784</v>
      </c>
      <c r="J601" s="8">
        <f t="shared" si="86"/>
        <v>32667.500000000004</v>
      </c>
      <c r="K601" s="7">
        <f t="shared" si="87"/>
        <v>-32799.07657885403</v>
      </c>
      <c r="L601" s="4">
        <f>IF(A601&gt;'Yield Curve'!A1215,L600,(1+VLOOKUP(A601,'Yield Curve'!A594:B1216,2,FALSE))^(1/12)-1)</f>
        <v>7.9741404289037643E-3</v>
      </c>
      <c r="M601" s="5">
        <f t="shared" si="88"/>
        <v>-295.3745628614912</v>
      </c>
    </row>
    <row r="602" spans="1:13" x14ac:dyDescent="0.25">
      <c r="A602" s="4">
        <v>594</v>
      </c>
      <c r="B602" s="4">
        <f t="shared" si="81"/>
        <v>94</v>
      </c>
      <c r="C602" s="4">
        <f t="shared" si="82"/>
        <v>609</v>
      </c>
      <c r="D602" s="4">
        <f>IF(B602&gt;'Mortality Table'!$A$118,D601,VLOOKUP(B602,'Mortality Table'!$A$2:$B$118,2,FALSE))</f>
        <v>0.39201000000000003</v>
      </c>
      <c r="E602" s="4">
        <f>IF(INT((C602-1)/12)+1&gt;'Lapse Table'!$A$11,E601,VLOOKUP(INT((C602-1)/12)+1,'Lapse Table'!$A$2:$B$11,2,FALSE))/12</f>
        <v>0</v>
      </c>
      <c r="F602" s="5">
        <f t="shared" si="89"/>
        <v>-3.9799648656208353</v>
      </c>
      <c r="G602" s="6">
        <f t="shared" si="83"/>
        <v>3.2667500000000002E-2</v>
      </c>
      <c r="H602" s="6">
        <f t="shared" si="84"/>
        <v>0</v>
      </c>
      <c r="I602" s="7">
        <f t="shared" si="85"/>
        <v>-132.66549552069452</v>
      </c>
      <c r="J602" s="8">
        <f t="shared" si="86"/>
        <v>32667.500000000004</v>
      </c>
      <c r="K602" s="7">
        <f t="shared" si="87"/>
        <v>-32800.165495520698</v>
      </c>
      <c r="L602" s="4">
        <f>IF(A602&gt;'Yield Curve'!A1216,L601,(1+VLOOKUP(A602,'Yield Curve'!A595:B1217,2,FALSE))^(1/12)-1)</f>
        <v>7.9741404289037643E-3</v>
      </c>
      <c r="M602" s="5">
        <f t="shared" si="88"/>
        <v>-293.04756673334549</v>
      </c>
    </row>
    <row r="603" spans="1:13" x14ac:dyDescent="0.25">
      <c r="A603" s="4">
        <v>595</v>
      </c>
      <c r="B603" s="4">
        <f t="shared" si="81"/>
        <v>94</v>
      </c>
      <c r="C603" s="4">
        <f t="shared" si="82"/>
        <v>610</v>
      </c>
      <c r="D603" s="4">
        <f>IF(B603&gt;'Mortality Table'!$A$118,D602,VLOOKUP(B603,'Mortality Table'!$A$2:$B$118,2,FALSE))</f>
        <v>0.39201000000000003</v>
      </c>
      <c r="E603" s="4">
        <f>IF(INT((C603-1)/12)+1&gt;'Lapse Table'!$A$11,E602,VLOOKUP(INT((C603-1)/12)+1,'Lapse Table'!$A$2:$B$11,2,FALSE))/12</f>
        <v>0</v>
      </c>
      <c r="F603" s="5">
        <f t="shared" si="89"/>
        <v>-4.0126323656208349</v>
      </c>
      <c r="G603" s="6">
        <f t="shared" si="83"/>
        <v>3.2667500000000002E-2</v>
      </c>
      <c r="H603" s="6">
        <f t="shared" si="84"/>
        <v>0</v>
      </c>
      <c r="I603" s="7">
        <f t="shared" si="85"/>
        <v>-133.75441218736117</v>
      </c>
      <c r="J603" s="8">
        <f t="shared" si="86"/>
        <v>32667.500000000004</v>
      </c>
      <c r="K603" s="7">
        <f t="shared" si="87"/>
        <v>-32801.254412187365</v>
      </c>
      <c r="L603" s="4">
        <f>IF(A603&gt;'Yield Curve'!A1217,L602,(1+VLOOKUP(A603,'Yield Curve'!A596:B1218,2,FALSE))^(1/12)-1)</f>
        <v>7.9741404289037643E-3</v>
      </c>
      <c r="M603" s="5">
        <f t="shared" si="88"/>
        <v>-290.73890263853241</v>
      </c>
    </row>
    <row r="604" spans="1:13" x14ac:dyDescent="0.25">
      <c r="A604" s="4">
        <v>596</v>
      </c>
      <c r="B604" s="4">
        <f t="shared" si="81"/>
        <v>94</v>
      </c>
      <c r="C604" s="4">
        <f t="shared" si="82"/>
        <v>611</v>
      </c>
      <c r="D604" s="4">
        <f>IF(B604&gt;'Mortality Table'!$A$118,D603,VLOOKUP(B604,'Mortality Table'!$A$2:$B$118,2,FALSE))</f>
        <v>0.39201000000000003</v>
      </c>
      <c r="E604" s="4">
        <f>IF(INT((C604-1)/12)+1&gt;'Lapse Table'!$A$11,E603,VLOOKUP(INT((C604-1)/12)+1,'Lapse Table'!$A$2:$B$11,2,FALSE))/12</f>
        <v>0</v>
      </c>
      <c r="F604" s="5">
        <f t="shared" si="89"/>
        <v>-4.0452998656208345</v>
      </c>
      <c r="G604" s="6">
        <f t="shared" si="83"/>
        <v>3.2667500000000002E-2</v>
      </c>
      <c r="H604" s="6">
        <f t="shared" si="84"/>
        <v>0</v>
      </c>
      <c r="I604" s="7">
        <f t="shared" si="85"/>
        <v>-134.84332885402782</v>
      </c>
      <c r="J604" s="8">
        <f t="shared" si="86"/>
        <v>32667.500000000004</v>
      </c>
      <c r="K604" s="7">
        <f t="shared" si="87"/>
        <v>-32802.343328854033</v>
      </c>
      <c r="L604" s="4">
        <f>IF(A604&gt;'Yield Curve'!A1218,L603,(1+VLOOKUP(A604,'Yield Curve'!A597:B1219,2,FALSE))^(1/12)-1)</f>
        <v>7.9741404289037643E-3</v>
      </c>
      <c r="M604" s="5">
        <f t="shared" si="88"/>
        <v>-288.44842616017098</v>
      </c>
    </row>
    <row r="605" spans="1:13" x14ac:dyDescent="0.25">
      <c r="A605" s="4">
        <v>597</v>
      </c>
      <c r="B605" s="4">
        <f t="shared" si="81"/>
        <v>94</v>
      </c>
      <c r="C605" s="4">
        <f t="shared" si="82"/>
        <v>612</v>
      </c>
      <c r="D605" s="4">
        <f>IF(B605&gt;'Mortality Table'!$A$118,D604,VLOOKUP(B605,'Mortality Table'!$A$2:$B$118,2,FALSE))</f>
        <v>0.39201000000000003</v>
      </c>
      <c r="E605" s="4">
        <f>IF(INT((C605-1)/12)+1&gt;'Lapse Table'!$A$11,E604,VLOOKUP(INT((C605-1)/12)+1,'Lapse Table'!$A$2:$B$11,2,FALSE))/12</f>
        <v>0</v>
      </c>
      <c r="F605" s="5">
        <f t="shared" si="89"/>
        <v>-4.0779673656208342</v>
      </c>
      <c r="G605" s="6">
        <f t="shared" si="83"/>
        <v>3.2667500000000002E-2</v>
      </c>
      <c r="H605" s="6">
        <f t="shared" si="84"/>
        <v>0</v>
      </c>
      <c r="I605" s="7">
        <f t="shared" si="85"/>
        <v>-135.93224552069447</v>
      </c>
      <c r="J605" s="8">
        <f t="shared" si="86"/>
        <v>32667.500000000004</v>
      </c>
      <c r="K605" s="7">
        <f t="shared" si="87"/>
        <v>-32803.4322455207</v>
      </c>
      <c r="L605" s="4">
        <f>IF(A605&gt;'Yield Curve'!A1219,L604,(1+VLOOKUP(A605,'Yield Curve'!A598:B1220,2,FALSE))^(1/12)-1)</f>
        <v>7.9741404289037643E-3</v>
      </c>
      <c r="M605" s="5">
        <f t="shared" si="88"/>
        <v>-286.17599401905369</v>
      </c>
    </row>
    <row r="606" spans="1:13" x14ac:dyDescent="0.25">
      <c r="A606" s="4">
        <v>598</v>
      </c>
      <c r="B606" s="4">
        <f t="shared" si="81"/>
        <v>94</v>
      </c>
      <c r="C606" s="4">
        <f t="shared" si="82"/>
        <v>613</v>
      </c>
      <c r="D606" s="4">
        <f>IF(B606&gt;'Mortality Table'!$A$118,D605,VLOOKUP(B606,'Mortality Table'!$A$2:$B$118,2,FALSE))</f>
        <v>0.39201000000000003</v>
      </c>
      <c r="E606" s="4">
        <f>IF(INT((C606-1)/12)+1&gt;'Lapse Table'!$A$11,E605,VLOOKUP(INT((C606-1)/12)+1,'Lapse Table'!$A$2:$B$11,2,FALSE))/12</f>
        <v>0</v>
      </c>
      <c r="F606" s="5">
        <f t="shared" si="89"/>
        <v>-4.1106348656208338</v>
      </c>
      <c r="G606" s="6">
        <f t="shared" si="83"/>
        <v>3.2667500000000002E-2</v>
      </c>
      <c r="H606" s="6">
        <f t="shared" si="84"/>
        <v>0</v>
      </c>
      <c r="I606" s="7">
        <f t="shared" si="85"/>
        <v>-137.02116218736111</v>
      </c>
      <c r="J606" s="8">
        <f t="shared" si="86"/>
        <v>32667.500000000004</v>
      </c>
      <c r="K606" s="7">
        <f t="shared" si="87"/>
        <v>-32804.521162187368</v>
      </c>
      <c r="L606" s="4">
        <f>IF(A606&gt;'Yield Curve'!A1220,L605,(1+VLOOKUP(A606,'Yield Curve'!A599:B1221,2,FALSE))^(1/12)-1)</f>
        <v>7.9741404289037643E-3</v>
      </c>
      <c r="M606" s="5">
        <f t="shared" si="88"/>
        <v>-283.92146406468436</v>
      </c>
    </row>
    <row r="607" spans="1:13" x14ac:dyDescent="0.25">
      <c r="A607" s="4">
        <v>599</v>
      </c>
      <c r="B607" s="4">
        <f t="shared" si="81"/>
        <v>94</v>
      </c>
      <c r="C607" s="4">
        <f t="shared" si="82"/>
        <v>614</v>
      </c>
      <c r="D607" s="4">
        <f>IF(B607&gt;'Mortality Table'!$A$118,D606,VLOOKUP(B607,'Mortality Table'!$A$2:$B$118,2,FALSE))</f>
        <v>0.39201000000000003</v>
      </c>
      <c r="E607" s="4">
        <f>IF(INT((C607-1)/12)+1&gt;'Lapse Table'!$A$11,E606,VLOOKUP(INT((C607-1)/12)+1,'Lapse Table'!$A$2:$B$11,2,FALSE))/12</f>
        <v>0</v>
      </c>
      <c r="F607" s="5">
        <f t="shared" si="89"/>
        <v>-4.1433023656208334</v>
      </c>
      <c r="G607" s="6">
        <f t="shared" si="83"/>
        <v>3.2667500000000002E-2</v>
      </c>
      <c r="H607" s="6">
        <f t="shared" si="84"/>
        <v>0</v>
      </c>
      <c r="I607" s="7">
        <f t="shared" si="85"/>
        <v>-138.11007885402776</v>
      </c>
      <c r="J607" s="8">
        <f t="shared" si="86"/>
        <v>32667.500000000004</v>
      </c>
      <c r="K607" s="7">
        <f t="shared" si="87"/>
        <v>-32805.610078854028</v>
      </c>
      <c r="L607" s="4">
        <f>IF(A607&gt;'Yield Curve'!A1221,L606,(1+VLOOKUP(A607,'Yield Curve'!A600:B1222,2,FALSE))^(1/12)-1)</f>
        <v>7.9741404289037643E-3</v>
      </c>
      <c r="M607" s="5">
        <f t="shared" si="88"/>
        <v>-281.68469526638614</v>
      </c>
    </row>
    <row r="608" spans="1:13" x14ac:dyDescent="0.25">
      <c r="A608" s="4">
        <v>600</v>
      </c>
      <c r="B608" s="4">
        <f t="shared" si="81"/>
        <v>95</v>
      </c>
      <c r="C608" s="4">
        <f t="shared" si="82"/>
        <v>615</v>
      </c>
      <c r="D608" s="4">
        <f>IF(B608&gt;'Mortality Table'!$A$118,D607,VLOOKUP(B608,'Mortality Table'!$A$2:$B$118,2,FALSE))</f>
        <v>0.41864000000000001</v>
      </c>
      <c r="E608" s="4">
        <f>IF(INT((C608-1)/12)+1&gt;'Lapse Table'!$A$11,E607,VLOOKUP(INT((C608-1)/12)+1,'Lapse Table'!$A$2:$B$11,2,FALSE))/12</f>
        <v>0</v>
      </c>
      <c r="F608" s="5">
        <f t="shared" si="89"/>
        <v>-4.1781890322875004</v>
      </c>
      <c r="G608" s="6">
        <f t="shared" si="83"/>
        <v>3.488666666666667E-2</v>
      </c>
      <c r="H608" s="6">
        <f t="shared" si="84"/>
        <v>0</v>
      </c>
      <c r="I608" s="7">
        <f t="shared" si="85"/>
        <v>-139.27296774291668</v>
      </c>
      <c r="J608" s="8">
        <f t="shared" si="86"/>
        <v>34886.666666666672</v>
      </c>
      <c r="K608" s="7">
        <f t="shared" si="87"/>
        <v>-35025.939634409588</v>
      </c>
      <c r="L608" s="4">
        <f>IF(A608&gt;'Yield Curve'!A1222,L607,(1+VLOOKUP(A608,'Yield Curve'!A601:B1223,2,FALSE))^(1/12)-1)</f>
        <v>7.9741404289037643E-3</v>
      </c>
      <c r="M608" s="5">
        <f t="shared" si="88"/>
        <v>-298.37026288840713</v>
      </c>
    </row>
    <row r="609" spans="1:13" x14ac:dyDescent="0.25">
      <c r="A609" s="4">
        <v>601</v>
      </c>
      <c r="B609" s="4">
        <f t="shared" si="81"/>
        <v>95</v>
      </c>
      <c r="C609" s="4">
        <f t="shared" si="82"/>
        <v>616</v>
      </c>
      <c r="D609" s="4">
        <f>IF(B609&gt;'Mortality Table'!$A$118,D608,VLOOKUP(B609,'Mortality Table'!$A$2:$B$118,2,FALSE))</f>
        <v>0.41864000000000001</v>
      </c>
      <c r="E609" s="4">
        <f>IF(INT((C609-1)/12)+1&gt;'Lapse Table'!$A$11,E608,VLOOKUP(INT((C609-1)/12)+1,'Lapse Table'!$A$2:$B$11,2,FALSE))/12</f>
        <v>0</v>
      </c>
      <c r="F609" s="5">
        <f t="shared" si="89"/>
        <v>-4.2130756989541673</v>
      </c>
      <c r="G609" s="6">
        <f t="shared" si="83"/>
        <v>3.488666666666667E-2</v>
      </c>
      <c r="H609" s="6">
        <f t="shared" si="84"/>
        <v>0</v>
      </c>
      <c r="I609" s="7">
        <f t="shared" si="85"/>
        <v>-140.43585663180559</v>
      </c>
      <c r="J609" s="8">
        <f t="shared" si="86"/>
        <v>34886.666666666672</v>
      </c>
      <c r="K609" s="7">
        <f t="shared" si="87"/>
        <v>-35027.102523298476</v>
      </c>
      <c r="L609" s="4">
        <f>IF(A609&gt;'Yield Curve'!A1223,L608,(1+VLOOKUP(A609,'Yield Curve'!A602:B1224,2,FALSE))^(1/12)-1)</f>
        <v>7.9741404289037643E-3</v>
      </c>
      <c r="M609" s="5">
        <f t="shared" si="88"/>
        <v>-296.01966662564928</v>
      </c>
    </row>
    <row r="610" spans="1:13" x14ac:dyDescent="0.25">
      <c r="A610" s="4">
        <v>602</v>
      </c>
      <c r="B610" s="4">
        <f t="shared" si="81"/>
        <v>95</v>
      </c>
      <c r="C610" s="4">
        <f t="shared" si="82"/>
        <v>617</v>
      </c>
      <c r="D610" s="4">
        <f>IF(B610&gt;'Mortality Table'!$A$118,D609,VLOOKUP(B610,'Mortality Table'!$A$2:$B$118,2,FALSE))</f>
        <v>0.41864000000000001</v>
      </c>
      <c r="E610" s="4">
        <f>IF(INT((C610-1)/12)+1&gt;'Lapse Table'!$A$11,E609,VLOOKUP(INT((C610-1)/12)+1,'Lapse Table'!$A$2:$B$11,2,FALSE))/12</f>
        <v>0</v>
      </c>
      <c r="F610" s="5">
        <f t="shared" si="89"/>
        <v>-4.2479623656208343</v>
      </c>
      <c r="G610" s="6">
        <f t="shared" si="83"/>
        <v>3.488666666666667E-2</v>
      </c>
      <c r="H610" s="6">
        <f t="shared" si="84"/>
        <v>0</v>
      </c>
      <c r="I610" s="7">
        <f t="shared" si="85"/>
        <v>-141.59874552069448</v>
      </c>
      <c r="J610" s="8">
        <f t="shared" si="86"/>
        <v>34886.666666666672</v>
      </c>
      <c r="K610" s="7">
        <f t="shared" si="87"/>
        <v>-35028.265412187364</v>
      </c>
      <c r="L610" s="4">
        <f>IF(A610&gt;'Yield Curve'!A1224,L609,(1+VLOOKUP(A610,'Yield Curve'!A603:B1225,2,FALSE))^(1/12)-1)</f>
        <v>7.9741404289037643E-3</v>
      </c>
      <c r="M610" s="5">
        <f t="shared" si="88"/>
        <v>-293.68758831488879</v>
      </c>
    </row>
    <row r="611" spans="1:13" x14ac:dyDescent="0.25">
      <c r="A611" s="4">
        <v>603</v>
      </c>
      <c r="B611" s="4">
        <f t="shared" si="81"/>
        <v>95</v>
      </c>
      <c r="C611" s="4">
        <f t="shared" si="82"/>
        <v>618</v>
      </c>
      <c r="D611" s="4">
        <f>IF(B611&gt;'Mortality Table'!$A$118,D610,VLOOKUP(B611,'Mortality Table'!$A$2:$B$118,2,FALSE))</f>
        <v>0.41864000000000001</v>
      </c>
      <c r="E611" s="4">
        <f>IF(INT((C611-1)/12)+1&gt;'Lapse Table'!$A$11,E610,VLOOKUP(INT((C611-1)/12)+1,'Lapse Table'!$A$2:$B$11,2,FALSE))/12</f>
        <v>0</v>
      </c>
      <c r="F611" s="5">
        <f t="shared" si="89"/>
        <v>-4.2828490322875012</v>
      </c>
      <c r="G611" s="6">
        <f t="shared" si="83"/>
        <v>3.488666666666667E-2</v>
      </c>
      <c r="H611" s="6">
        <f t="shared" si="84"/>
        <v>0</v>
      </c>
      <c r="I611" s="7">
        <f t="shared" si="85"/>
        <v>-142.76163440958337</v>
      </c>
      <c r="J611" s="8">
        <f t="shared" si="86"/>
        <v>34886.666666666672</v>
      </c>
      <c r="K611" s="7">
        <f t="shared" si="87"/>
        <v>-35029.428301076252</v>
      </c>
      <c r="L611" s="4">
        <f>IF(A611&gt;'Yield Curve'!A1225,L610,(1+VLOOKUP(A611,'Yield Curve'!A604:B1226,2,FALSE))^(1/12)-1)</f>
        <v>7.9741404289037643E-3</v>
      </c>
      <c r="M611" s="5">
        <f t="shared" si="88"/>
        <v>-291.37388207462885</v>
      </c>
    </row>
    <row r="612" spans="1:13" x14ac:dyDescent="0.25">
      <c r="A612" s="4">
        <v>604</v>
      </c>
      <c r="B612" s="4">
        <f t="shared" si="81"/>
        <v>95</v>
      </c>
      <c r="C612" s="4">
        <f t="shared" si="82"/>
        <v>619</v>
      </c>
      <c r="D612" s="4">
        <f>IF(B612&gt;'Mortality Table'!$A$118,D611,VLOOKUP(B612,'Mortality Table'!$A$2:$B$118,2,FALSE))</f>
        <v>0.41864000000000001</v>
      </c>
      <c r="E612" s="4">
        <f>IF(INT((C612-1)/12)+1&gt;'Lapse Table'!$A$11,E611,VLOOKUP(INT((C612-1)/12)+1,'Lapse Table'!$A$2:$B$11,2,FALSE))/12</f>
        <v>0</v>
      </c>
      <c r="F612" s="5">
        <f t="shared" si="89"/>
        <v>-4.3177356989541682</v>
      </c>
      <c r="G612" s="6">
        <f t="shared" si="83"/>
        <v>3.488666666666667E-2</v>
      </c>
      <c r="H612" s="6">
        <f t="shared" si="84"/>
        <v>0</v>
      </c>
      <c r="I612" s="7">
        <f t="shared" si="85"/>
        <v>-143.92452329847228</v>
      </c>
      <c r="J612" s="8">
        <f t="shared" si="86"/>
        <v>34886.666666666672</v>
      </c>
      <c r="K612" s="7">
        <f t="shared" si="87"/>
        <v>-35030.591189965147</v>
      </c>
      <c r="L612" s="4">
        <f>IF(A612&gt;'Yield Curve'!A1226,L611,(1+VLOOKUP(A612,'Yield Curve'!A605:B1227,2,FALSE))^(1/12)-1)</f>
        <v>7.9741404289037643E-3</v>
      </c>
      <c r="M612" s="5">
        <f t="shared" si="88"/>
        <v>-289.07840317258331</v>
      </c>
    </row>
    <row r="613" spans="1:13" x14ac:dyDescent="0.25">
      <c r="A613" s="4">
        <v>605</v>
      </c>
      <c r="B613" s="4">
        <f t="shared" si="81"/>
        <v>95</v>
      </c>
      <c r="C613" s="4">
        <f t="shared" si="82"/>
        <v>620</v>
      </c>
      <c r="D613" s="4">
        <f>IF(B613&gt;'Mortality Table'!$A$118,D612,VLOOKUP(B613,'Mortality Table'!$A$2:$B$118,2,FALSE))</f>
        <v>0.41864000000000001</v>
      </c>
      <c r="E613" s="4">
        <f>IF(INT((C613-1)/12)+1&gt;'Lapse Table'!$A$11,E612,VLOOKUP(INT((C613-1)/12)+1,'Lapse Table'!$A$2:$B$11,2,FALSE))/12</f>
        <v>0</v>
      </c>
      <c r="F613" s="5">
        <f t="shared" si="89"/>
        <v>-4.3526223656208352</v>
      </c>
      <c r="G613" s="6">
        <f t="shared" si="83"/>
        <v>3.488666666666667E-2</v>
      </c>
      <c r="H613" s="6">
        <f t="shared" si="84"/>
        <v>0</v>
      </c>
      <c r="I613" s="7">
        <f t="shared" si="85"/>
        <v>-145.08741218736117</v>
      </c>
      <c r="J613" s="8">
        <f t="shared" si="86"/>
        <v>34886.666666666672</v>
      </c>
      <c r="K613" s="7">
        <f t="shared" si="87"/>
        <v>-35031.754078854035</v>
      </c>
      <c r="L613" s="4">
        <f>IF(A613&gt;'Yield Curve'!A1227,L612,(1+VLOOKUP(A613,'Yield Curve'!A606:B1228,2,FALSE))^(1/12)-1)</f>
        <v>7.9741404289037643E-3</v>
      </c>
      <c r="M613" s="5">
        <f t="shared" si="88"/>
        <v>-286.80100801662428</v>
      </c>
    </row>
    <row r="614" spans="1:13" x14ac:dyDescent="0.25">
      <c r="A614" s="4">
        <v>606</v>
      </c>
      <c r="B614" s="4">
        <f t="shared" si="81"/>
        <v>95</v>
      </c>
      <c r="C614" s="4">
        <f t="shared" si="82"/>
        <v>621</v>
      </c>
      <c r="D614" s="4">
        <f>IF(B614&gt;'Mortality Table'!$A$118,D613,VLOOKUP(B614,'Mortality Table'!$A$2:$B$118,2,FALSE))</f>
        <v>0.41864000000000001</v>
      </c>
      <c r="E614" s="4">
        <f>IF(INT((C614-1)/12)+1&gt;'Lapse Table'!$A$11,E613,VLOOKUP(INT((C614-1)/12)+1,'Lapse Table'!$A$2:$B$11,2,FALSE))/12</f>
        <v>0</v>
      </c>
      <c r="F614" s="5">
        <f t="shared" si="89"/>
        <v>-4.3875090322875021</v>
      </c>
      <c r="G614" s="6">
        <f t="shared" si="83"/>
        <v>3.488666666666667E-2</v>
      </c>
      <c r="H614" s="6">
        <f t="shared" si="84"/>
        <v>0</v>
      </c>
      <c r="I614" s="7">
        <f t="shared" si="85"/>
        <v>-146.25030107625005</v>
      </c>
      <c r="J614" s="8">
        <f t="shared" si="86"/>
        <v>34886.666666666672</v>
      </c>
      <c r="K614" s="7">
        <f t="shared" si="87"/>
        <v>-35032.916967742924</v>
      </c>
      <c r="L614" s="4">
        <f>IF(A614&gt;'Yield Curve'!A1228,L613,(1+VLOOKUP(A614,'Yield Curve'!A607:B1229,2,FALSE))^(1/12)-1)</f>
        <v>7.9741404289037643E-3</v>
      </c>
      <c r="M614" s="5">
        <f t="shared" si="88"/>
        <v>-284.54155414580009</v>
      </c>
    </row>
    <row r="615" spans="1:13" x14ac:dyDescent="0.25">
      <c r="A615" s="4">
        <v>607</v>
      </c>
      <c r="B615" s="4">
        <f t="shared" si="81"/>
        <v>95</v>
      </c>
      <c r="C615" s="4">
        <f t="shared" si="82"/>
        <v>622</v>
      </c>
      <c r="D615" s="4">
        <f>IF(B615&gt;'Mortality Table'!$A$118,D614,VLOOKUP(B615,'Mortality Table'!$A$2:$B$118,2,FALSE))</f>
        <v>0.41864000000000001</v>
      </c>
      <c r="E615" s="4">
        <f>IF(INT((C615-1)/12)+1&gt;'Lapse Table'!$A$11,E614,VLOOKUP(INT((C615-1)/12)+1,'Lapse Table'!$A$2:$B$11,2,FALSE))/12</f>
        <v>0</v>
      </c>
      <c r="F615" s="5">
        <f t="shared" si="89"/>
        <v>-4.4223956989541691</v>
      </c>
      <c r="G615" s="6">
        <f t="shared" si="83"/>
        <v>3.488666666666667E-2</v>
      </c>
      <c r="H615" s="6">
        <f t="shared" si="84"/>
        <v>0</v>
      </c>
      <c r="I615" s="7">
        <f t="shared" si="85"/>
        <v>-147.41318996513897</v>
      </c>
      <c r="J615" s="8">
        <f t="shared" si="86"/>
        <v>34886.666666666672</v>
      </c>
      <c r="K615" s="7">
        <f t="shared" si="87"/>
        <v>-35034.079856631812</v>
      </c>
      <c r="L615" s="4">
        <f>IF(A615&gt;'Yield Curve'!A1229,L614,(1+VLOOKUP(A615,'Yield Curve'!A608:B1230,2,FALSE))^(1/12)-1)</f>
        <v>7.9741404289037643E-3</v>
      </c>
      <c r="M615" s="5">
        <f t="shared" si="88"/>
        <v>-282.29990022142408</v>
      </c>
    </row>
    <row r="616" spans="1:13" x14ac:dyDescent="0.25">
      <c r="A616" s="4">
        <v>608</v>
      </c>
      <c r="B616" s="4">
        <f t="shared" si="81"/>
        <v>95</v>
      </c>
      <c r="C616" s="4">
        <f t="shared" si="82"/>
        <v>623</v>
      </c>
      <c r="D616" s="4">
        <f>IF(B616&gt;'Mortality Table'!$A$118,D615,VLOOKUP(B616,'Mortality Table'!$A$2:$B$118,2,FALSE))</f>
        <v>0.41864000000000001</v>
      </c>
      <c r="E616" s="4">
        <f>IF(INT((C616-1)/12)+1&gt;'Lapse Table'!$A$11,E615,VLOOKUP(INT((C616-1)/12)+1,'Lapse Table'!$A$2:$B$11,2,FALSE))/12</f>
        <v>0</v>
      </c>
      <c r="F616" s="5">
        <f t="shared" si="89"/>
        <v>-4.457282365620836</v>
      </c>
      <c r="G616" s="6">
        <f t="shared" si="83"/>
        <v>3.488666666666667E-2</v>
      </c>
      <c r="H616" s="6">
        <f t="shared" si="84"/>
        <v>0</v>
      </c>
      <c r="I616" s="7">
        <f t="shared" si="85"/>
        <v>-148.57607885402788</v>
      </c>
      <c r="J616" s="8">
        <f t="shared" si="86"/>
        <v>34886.666666666672</v>
      </c>
      <c r="K616" s="7">
        <f t="shared" si="87"/>
        <v>-35035.2427455207</v>
      </c>
      <c r="L616" s="4">
        <f>IF(A616&gt;'Yield Curve'!A1230,L615,(1+VLOOKUP(A616,'Yield Curve'!A609:B1231,2,FALSE))^(1/12)-1)</f>
        <v>7.9741404289037643E-3</v>
      </c>
      <c r="M616" s="5">
        <f t="shared" si="88"/>
        <v>-280.07590601823478</v>
      </c>
    </row>
    <row r="617" spans="1:13" x14ac:dyDescent="0.25">
      <c r="A617" s="4">
        <v>609</v>
      </c>
      <c r="B617" s="4">
        <f t="shared" si="81"/>
        <v>95</v>
      </c>
      <c r="C617" s="4">
        <f t="shared" si="82"/>
        <v>624</v>
      </c>
      <c r="D617" s="4">
        <f>IF(B617&gt;'Mortality Table'!$A$118,D616,VLOOKUP(B617,'Mortality Table'!$A$2:$B$118,2,FALSE))</f>
        <v>0.41864000000000001</v>
      </c>
      <c r="E617" s="4">
        <f>IF(INT((C617-1)/12)+1&gt;'Lapse Table'!$A$11,E616,VLOOKUP(INT((C617-1)/12)+1,'Lapse Table'!$A$2:$B$11,2,FALSE))/12</f>
        <v>0</v>
      </c>
      <c r="F617" s="5">
        <f t="shared" si="89"/>
        <v>-4.492169032287503</v>
      </c>
      <c r="G617" s="6">
        <f t="shared" si="83"/>
        <v>3.488666666666667E-2</v>
      </c>
      <c r="H617" s="6">
        <f t="shared" si="84"/>
        <v>0</v>
      </c>
      <c r="I617" s="7">
        <f t="shared" si="85"/>
        <v>-149.73896774291677</v>
      </c>
      <c r="J617" s="8">
        <f t="shared" si="86"/>
        <v>34886.666666666672</v>
      </c>
      <c r="K617" s="7">
        <f t="shared" si="87"/>
        <v>-35036.405634409588</v>
      </c>
      <c r="L617" s="4">
        <f>IF(A617&gt;'Yield Curve'!A1231,L616,(1+VLOOKUP(A617,'Yield Curve'!A610:B1232,2,FALSE))^(1/12)-1)</f>
        <v>7.9741404289037643E-3</v>
      </c>
      <c r="M617" s="5">
        <f t="shared" si="88"/>
        <v>-277.86943241562398</v>
      </c>
    </row>
    <row r="618" spans="1:13" x14ac:dyDescent="0.25">
      <c r="A618" s="4">
        <v>610</v>
      </c>
      <c r="B618" s="4">
        <f t="shared" si="81"/>
        <v>95</v>
      </c>
      <c r="C618" s="4">
        <f t="shared" si="82"/>
        <v>625</v>
      </c>
      <c r="D618" s="4">
        <f>IF(B618&gt;'Mortality Table'!$A$118,D617,VLOOKUP(B618,'Mortality Table'!$A$2:$B$118,2,FALSE))</f>
        <v>0.41864000000000001</v>
      </c>
      <c r="E618" s="4">
        <f>IF(INT((C618-1)/12)+1&gt;'Lapse Table'!$A$11,E617,VLOOKUP(INT((C618-1)/12)+1,'Lapse Table'!$A$2:$B$11,2,FALSE))/12</f>
        <v>0</v>
      </c>
      <c r="F618" s="5">
        <f t="shared" si="89"/>
        <v>-4.5270556989541699</v>
      </c>
      <c r="G618" s="6">
        <f t="shared" si="83"/>
        <v>3.488666666666667E-2</v>
      </c>
      <c r="H618" s="6">
        <f t="shared" si="84"/>
        <v>0</v>
      </c>
      <c r="I618" s="7">
        <f t="shared" si="85"/>
        <v>-150.90185663180566</v>
      </c>
      <c r="J618" s="8">
        <f t="shared" si="86"/>
        <v>34886.666666666672</v>
      </c>
      <c r="K618" s="7">
        <f t="shared" si="87"/>
        <v>-35037.568523298476</v>
      </c>
      <c r="L618" s="4">
        <f>IF(A618&gt;'Yield Curve'!A1232,L617,(1+VLOOKUP(A618,'Yield Curve'!A611:B1233,2,FALSE))^(1/12)-1)</f>
        <v>7.9741404289037643E-3</v>
      </c>
      <c r="M618" s="5">
        <f t="shared" si="88"/>
        <v>-275.68034138893523</v>
      </c>
    </row>
    <row r="619" spans="1:13" x14ac:dyDescent="0.25">
      <c r="A619" s="4">
        <v>611</v>
      </c>
      <c r="B619" s="4">
        <f t="shared" si="81"/>
        <v>95</v>
      </c>
      <c r="C619" s="4">
        <f t="shared" si="82"/>
        <v>626</v>
      </c>
      <c r="D619" s="4">
        <f>IF(B619&gt;'Mortality Table'!$A$118,D618,VLOOKUP(B619,'Mortality Table'!$A$2:$B$118,2,FALSE))</f>
        <v>0.41864000000000001</v>
      </c>
      <c r="E619" s="4">
        <f>IF(INT((C619-1)/12)+1&gt;'Lapse Table'!$A$11,E618,VLOOKUP(INT((C619-1)/12)+1,'Lapse Table'!$A$2:$B$11,2,FALSE))/12</f>
        <v>0</v>
      </c>
      <c r="F619" s="5">
        <f t="shared" si="89"/>
        <v>-4.5619423656208369</v>
      </c>
      <c r="G619" s="6">
        <f t="shared" si="83"/>
        <v>3.488666666666667E-2</v>
      </c>
      <c r="H619" s="6">
        <f t="shared" si="84"/>
        <v>0</v>
      </c>
      <c r="I619" s="7">
        <f t="shared" si="85"/>
        <v>-152.06474552069457</v>
      </c>
      <c r="J619" s="8">
        <f t="shared" si="86"/>
        <v>34886.666666666672</v>
      </c>
      <c r="K619" s="7">
        <f t="shared" si="87"/>
        <v>-35038.731412187364</v>
      </c>
      <c r="L619" s="4">
        <f>IF(A619&gt;'Yield Curve'!A1233,L618,(1+VLOOKUP(A619,'Yield Curve'!A612:B1234,2,FALSE))^(1/12)-1)</f>
        <v>7.9741404289037643E-3</v>
      </c>
      <c r="M619" s="5">
        <f t="shared" si="88"/>
        <v>-273.50849600083012</v>
      </c>
    </row>
    <row r="620" spans="1:13" x14ac:dyDescent="0.25">
      <c r="A620" s="4">
        <v>612</v>
      </c>
      <c r="B620" s="4">
        <f t="shared" si="81"/>
        <v>96</v>
      </c>
      <c r="C620" s="4">
        <f t="shared" si="82"/>
        <v>627</v>
      </c>
      <c r="D620" s="4">
        <f>IF(B620&gt;'Mortality Table'!$A$118,D619,VLOOKUP(B620,'Mortality Table'!$A$2:$B$118,2,FALSE))</f>
        <v>0.44634000000000001</v>
      </c>
      <c r="E620" s="4">
        <f>IF(INT((C620-1)/12)+1&gt;'Lapse Table'!$A$11,E619,VLOOKUP(INT((C620-1)/12)+1,'Lapse Table'!$A$2:$B$11,2,FALSE))/12</f>
        <v>0</v>
      </c>
      <c r="F620" s="5">
        <f t="shared" si="89"/>
        <v>-4.5991373656208365</v>
      </c>
      <c r="G620" s="6">
        <f t="shared" si="83"/>
        <v>3.7194999999999999E-2</v>
      </c>
      <c r="H620" s="6">
        <f t="shared" si="84"/>
        <v>0</v>
      </c>
      <c r="I620" s="7">
        <f t="shared" si="85"/>
        <v>-153.30457885402788</v>
      </c>
      <c r="J620" s="8">
        <f t="shared" si="86"/>
        <v>37195</v>
      </c>
      <c r="K620" s="7">
        <f t="shared" si="87"/>
        <v>-37348.304578854026</v>
      </c>
      <c r="L620" s="4">
        <f>IF(A620&gt;'Yield Curve'!A1234,L619,(1+VLOOKUP(A620,'Yield Curve'!A613:B1235,2,FALSE))^(1/12)-1)</f>
        <v>7.9741404289037643E-3</v>
      </c>
      <c r="M620" s="5">
        <f t="shared" si="88"/>
        <v>-289.23040705215573</v>
      </c>
    </row>
    <row r="621" spans="1:13" x14ac:dyDescent="0.25">
      <c r="A621" s="4">
        <v>613</v>
      </c>
      <c r="B621" s="4">
        <f t="shared" si="81"/>
        <v>96</v>
      </c>
      <c r="C621" s="4">
        <f t="shared" si="82"/>
        <v>628</v>
      </c>
      <c r="D621" s="4">
        <f>IF(B621&gt;'Mortality Table'!$A$118,D620,VLOOKUP(B621,'Mortality Table'!$A$2:$B$118,2,FALSE))</f>
        <v>0.44634000000000001</v>
      </c>
      <c r="E621" s="4">
        <f>IF(INT((C621-1)/12)+1&gt;'Lapse Table'!$A$11,E620,VLOOKUP(INT((C621-1)/12)+1,'Lapse Table'!$A$2:$B$11,2,FALSE))/12</f>
        <v>0</v>
      </c>
      <c r="F621" s="5">
        <f t="shared" si="89"/>
        <v>-4.6363323656208362</v>
      </c>
      <c r="G621" s="6">
        <f t="shared" si="83"/>
        <v>3.7194999999999999E-2</v>
      </c>
      <c r="H621" s="6">
        <f t="shared" si="84"/>
        <v>0</v>
      </c>
      <c r="I621" s="7">
        <f t="shared" si="85"/>
        <v>-154.54441218736119</v>
      </c>
      <c r="J621" s="8">
        <f t="shared" si="86"/>
        <v>37195</v>
      </c>
      <c r="K621" s="7">
        <f t="shared" si="87"/>
        <v>-37349.544412187359</v>
      </c>
      <c r="L621" s="4">
        <f>IF(A621&gt;'Yield Curve'!A1235,L620,(1+VLOOKUP(A621,'Yield Curve'!A614:B1236,2,FALSE))^(1/12)-1)</f>
        <v>7.9741404289037643E-3</v>
      </c>
      <c r="M621" s="5">
        <f t="shared" si="88"/>
        <v>-286.95181442742643</v>
      </c>
    </row>
    <row r="622" spans="1:13" x14ac:dyDescent="0.25">
      <c r="A622" s="4">
        <v>614</v>
      </c>
      <c r="B622" s="4">
        <f t="shared" si="81"/>
        <v>96</v>
      </c>
      <c r="C622" s="4">
        <f t="shared" si="82"/>
        <v>629</v>
      </c>
      <c r="D622" s="4">
        <f>IF(B622&gt;'Mortality Table'!$A$118,D621,VLOOKUP(B622,'Mortality Table'!$A$2:$B$118,2,FALSE))</f>
        <v>0.44634000000000001</v>
      </c>
      <c r="E622" s="4">
        <f>IF(INT((C622-1)/12)+1&gt;'Lapse Table'!$A$11,E621,VLOOKUP(INT((C622-1)/12)+1,'Lapse Table'!$A$2:$B$11,2,FALSE))/12</f>
        <v>0</v>
      </c>
      <c r="F622" s="5">
        <f t="shared" si="89"/>
        <v>-4.6735273656208358</v>
      </c>
      <c r="G622" s="6">
        <f t="shared" si="83"/>
        <v>3.7194999999999999E-2</v>
      </c>
      <c r="H622" s="6">
        <f t="shared" si="84"/>
        <v>0</v>
      </c>
      <c r="I622" s="7">
        <f t="shared" si="85"/>
        <v>-155.78424552069453</v>
      </c>
      <c r="J622" s="8">
        <f t="shared" si="86"/>
        <v>37195</v>
      </c>
      <c r="K622" s="7">
        <f t="shared" si="87"/>
        <v>-37350.784245520692</v>
      </c>
      <c r="L622" s="4">
        <f>IF(A622&gt;'Yield Curve'!A1236,L621,(1+VLOOKUP(A622,'Yield Curve'!A615:B1237,2,FALSE))^(1/12)-1)</f>
        <v>7.9741404289037643E-3</v>
      </c>
      <c r="M622" s="5">
        <f t="shared" si="88"/>
        <v>-284.69117252118332</v>
      </c>
    </row>
    <row r="623" spans="1:13" x14ac:dyDescent="0.25">
      <c r="A623" s="4">
        <v>615</v>
      </c>
      <c r="B623" s="4">
        <f t="shared" si="81"/>
        <v>96</v>
      </c>
      <c r="C623" s="4">
        <f t="shared" si="82"/>
        <v>630</v>
      </c>
      <c r="D623" s="4">
        <f>IF(B623&gt;'Mortality Table'!$A$118,D622,VLOOKUP(B623,'Mortality Table'!$A$2:$B$118,2,FALSE))</f>
        <v>0.44634000000000001</v>
      </c>
      <c r="E623" s="4">
        <f>IF(INT((C623-1)/12)+1&gt;'Lapse Table'!$A$11,E622,VLOOKUP(INT((C623-1)/12)+1,'Lapse Table'!$A$2:$B$11,2,FALSE))/12</f>
        <v>0</v>
      </c>
      <c r="F623" s="5">
        <f t="shared" si="89"/>
        <v>-4.7107223656208355</v>
      </c>
      <c r="G623" s="6">
        <f t="shared" si="83"/>
        <v>3.7194999999999999E-2</v>
      </c>
      <c r="H623" s="6">
        <f t="shared" si="84"/>
        <v>0</v>
      </c>
      <c r="I623" s="7">
        <f t="shared" si="85"/>
        <v>-157.02407885402786</v>
      </c>
      <c r="J623" s="8">
        <f t="shared" si="86"/>
        <v>37195</v>
      </c>
      <c r="K623" s="7">
        <f t="shared" si="87"/>
        <v>-37352.024078854025</v>
      </c>
      <c r="L623" s="4">
        <f>IF(A623&gt;'Yield Curve'!A1237,L622,(1+VLOOKUP(A623,'Yield Curve'!A616:B1238,2,FALSE))^(1/12)-1)</f>
        <v>7.9741404289037643E-3</v>
      </c>
      <c r="M623" s="5">
        <f t="shared" si="88"/>
        <v>-282.44833992042794</v>
      </c>
    </row>
    <row r="624" spans="1:13" x14ac:dyDescent="0.25">
      <c r="A624" s="4">
        <v>616</v>
      </c>
      <c r="B624" s="4">
        <f t="shared" si="81"/>
        <v>96</v>
      </c>
      <c r="C624" s="4">
        <f t="shared" si="82"/>
        <v>631</v>
      </c>
      <c r="D624" s="4">
        <f>IF(B624&gt;'Mortality Table'!$A$118,D623,VLOOKUP(B624,'Mortality Table'!$A$2:$B$118,2,FALSE))</f>
        <v>0.44634000000000001</v>
      </c>
      <c r="E624" s="4">
        <f>IF(INT((C624-1)/12)+1&gt;'Lapse Table'!$A$11,E623,VLOOKUP(INT((C624-1)/12)+1,'Lapse Table'!$A$2:$B$11,2,FALSE))/12</f>
        <v>0</v>
      </c>
      <c r="F624" s="5">
        <f t="shared" si="89"/>
        <v>-4.7479173656208351</v>
      </c>
      <c r="G624" s="6">
        <f t="shared" si="83"/>
        <v>3.7194999999999999E-2</v>
      </c>
      <c r="H624" s="6">
        <f t="shared" si="84"/>
        <v>0</v>
      </c>
      <c r="I624" s="7">
        <f t="shared" si="85"/>
        <v>-158.26391218736117</v>
      </c>
      <c r="J624" s="8">
        <f t="shared" si="86"/>
        <v>37195</v>
      </c>
      <c r="K624" s="7">
        <f t="shared" si="87"/>
        <v>-37353.263912187358</v>
      </c>
      <c r="L624" s="4">
        <f>IF(A624&gt;'Yield Curve'!A1238,L623,(1+VLOOKUP(A624,'Yield Curve'!A617:B1239,2,FALSE))^(1/12)-1)</f>
        <v>7.9741404289037643E-3</v>
      </c>
      <c r="M624" s="5">
        <f t="shared" si="88"/>
        <v>-280.22317632617165</v>
      </c>
    </row>
    <row r="625" spans="1:13" x14ac:dyDescent="0.25">
      <c r="A625" s="4">
        <v>617</v>
      </c>
      <c r="B625" s="4">
        <f t="shared" si="81"/>
        <v>96</v>
      </c>
      <c r="C625" s="4">
        <f t="shared" si="82"/>
        <v>632</v>
      </c>
      <c r="D625" s="4">
        <f>IF(B625&gt;'Mortality Table'!$A$118,D624,VLOOKUP(B625,'Mortality Table'!$A$2:$B$118,2,FALSE))</f>
        <v>0.44634000000000001</v>
      </c>
      <c r="E625" s="4">
        <f>IF(INT((C625-1)/12)+1&gt;'Lapse Table'!$A$11,E624,VLOOKUP(INT((C625-1)/12)+1,'Lapse Table'!$A$2:$B$11,2,FALSE))/12</f>
        <v>0</v>
      </c>
      <c r="F625" s="5">
        <f t="shared" si="89"/>
        <v>-4.7851123656208348</v>
      </c>
      <c r="G625" s="6">
        <f t="shared" si="83"/>
        <v>3.7194999999999999E-2</v>
      </c>
      <c r="H625" s="6">
        <f t="shared" si="84"/>
        <v>0</v>
      </c>
      <c r="I625" s="7">
        <f t="shared" si="85"/>
        <v>-159.50374552069448</v>
      </c>
      <c r="J625" s="8">
        <f t="shared" si="86"/>
        <v>37195</v>
      </c>
      <c r="K625" s="7">
        <f t="shared" si="87"/>
        <v>-37354.503745520691</v>
      </c>
      <c r="L625" s="4">
        <f>IF(A625&gt;'Yield Curve'!A1239,L624,(1+VLOOKUP(A625,'Yield Curve'!A618:B1240,2,FALSE))^(1/12)-1)</f>
        <v>7.9741404289037643E-3</v>
      </c>
      <c r="M625" s="5">
        <f t="shared" si="88"/>
        <v>-278.01554254466043</v>
      </c>
    </row>
    <row r="626" spans="1:13" x14ac:dyDescent="0.25">
      <c r="A626" s="4">
        <v>618</v>
      </c>
      <c r="B626" s="4">
        <f t="shared" si="81"/>
        <v>96</v>
      </c>
      <c r="C626" s="4">
        <f t="shared" si="82"/>
        <v>633</v>
      </c>
      <c r="D626" s="4">
        <f>IF(B626&gt;'Mortality Table'!$A$118,D625,VLOOKUP(B626,'Mortality Table'!$A$2:$B$118,2,FALSE))</f>
        <v>0.44634000000000001</v>
      </c>
      <c r="E626" s="4">
        <f>IF(INT((C626-1)/12)+1&gt;'Lapse Table'!$A$11,E625,VLOOKUP(INT((C626-1)/12)+1,'Lapse Table'!$A$2:$B$11,2,FALSE))/12</f>
        <v>0</v>
      </c>
      <c r="F626" s="5">
        <f t="shared" si="89"/>
        <v>-4.8223073656208344</v>
      </c>
      <c r="G626" s="6">
        <f t="shared" si="83"/>
        <v>3.7194999999999999E-2</v>
      </c>
      <c r="H626" s="6">
        <f t="shared" si="84"/>
        <v>0</v>
      </c>
      <c r="I626" s="7">
        <f t="shared" si="85"/>
        <v>-160.74357885402782</v>
      </c>
      <c r="J626" s="8">
        <f t="shared" si="86"/>
        <v>37195</v>
      </c>
      <c r="K626" s="7">
        <f t="shared" si="87"/>
        <v>-37355.743578854024</v>
      </c>
      <c r="L626" s="4">
        <f>IF(A626&gt;'Yield Curve'!A1240,L625,(1+VLOOKUP(A626,'Yield Curve'!A619:B1241,2,FALSE))^(1/12)-1)</f>
        <v>7.9741404289037643E-3</v>
      </c>
      <c r="M626" s="5">
        <f t="shared" si="88"/>
        <v>-275.82530047866794</v>
      </c>
    </row>
    <row r="627" spans="1:13" x14ac:dyDescent="0.25">
      <c r="A627" s="4">
        <v>619</v>
      </c>
      <c r="B627" s="4">
        <f t="shared" si="81"/>
        <v>96</v>
      </c>
      <c r="C627" s="4">
        <f t="shared" si="82"/>
        <v>634</v>
      </c>
      <c r="D627" s="4">
        <f>IF(B627&gt;'Mortality Table'!$A$118,D626,VLOOKUP(B627,'Mortality Table'!$A$2:$B$118,2,FALSE))</f>
        <v>0.44634000000000001</v>
      </c>
      <c r="E627" s="4">
        <f>IF(INT((C627-1)/12)+1&gt;'Lapse Table'!$A$11,E626,VLOOKUP(INT((C627-1)/12)+1,'Lapse Table'!$A$2:$B$11,2,FALSE))/12</f>
        <v>0</v>
      </c>
      <c r="F627" s="5">
        <f t="shared" si="89"/>
        <v>-4.859502365620834</v>
      </c>
      <c r="G627" s="6">
        <f t="shared" si="83"/>
        <v>3.7194999999999999E-2</v>
      </c>
      <c r="H627" s="6">
        <f t="shared" si="84"/>
        <v>0</v>
      </c>
      <c r="I627" s="7">
        <f t="shared" si="85"/>
        <v>-161.98341218736115</v>
      </c>
      <c r="J627" s="8">
        <f t="shared" si="86"/>
        <v>37195</v>
      </c>
      <c r="K627" s="7">
        <f t="shared" si="87"/>
        <v>-37356.983412187365</v>
      </c>
      <c r="L627" s="4">
        <f>IF(A627&gt;'Yield Curve'!A1241,L626,(1+VLOOKUP(A627,'Yield Curve'!A620:B1242,2,FALSE))^(1/12)-1)</f>
        <v>7.9741404289037643E-3</v>
      </c>
      <c r="M627" s="5">
        <f t="shared" si="88"/>
        <v>-273.65231311885776</v>
      </c>
    </row>
    <row r="628" spans="1:13" x14ac:dyDescent="0.25">
      <c r="A628" s="4">
        <v>620</v>
      </c>
      <c r="B628" s="4">
        <f t="shared" si="81"/>
        <v>96</v>
      </c>
      <c r="C628" s="4">
        <f t="shared" si="82"/>
        <v>635</v>
      </c>
      <c r="D628" s="4">
        <f>IF(B628&gt;'Mortality Table'!$A$118,D627,VLOOKUP(B628,'Mortality Table'!$A$2:$B$118,2,FALSE))</f>
        <v>0.44634000000000001</v>
      </c>
      <c r="E628" s="4">
        <f>IF(INT((C628-1)/12)+1&gt;'Lapse Table'!$A$11,E627,VLOOKUP(INT((C628-1)/12)+1,'Lapse Table'!$A$2:$B$11,2,FALSE))/12</f>
        <v>0</v>
      </c>
      <c r="F628" s="5">
        <f t="shared" si="89"/>
        <v>-4.8966973656208337</v>
      </c>
      <c r="G628" s="6">
        <f t="shared" si="83"/>
        <v>3.7194999999999999E-2</v>
      </c>
      <c r="H628" s="6">
        <f t="shared" si="84"/>
        <v>0</v>
      </c>
      <c r="I628" s="7">
        <f t="shared" si="85"/>
        <v>-163.22324552069446</v>
      </c>
      <c r="J628" s="8">
        <f t="shared" si="86"/>
        <v>37195</v>
      </c>
      <c r="K628" s="7">
        <f t="shared" si="87"/>
        <v>-37358.223245520698</v>
      </c>
      <c r="L628" s="4">
        <f>IF(A628&gt;'Yield Curve'!A1242,L627,(1+VLOOKUP(A628,'Yield Curve'!A621:B1243,2,FALSE))^(1/12)-1)</f>
        <v>7.9741404289037643E-3</v>
      </c>
      <c r="M628" s="5">
        <f t="shared" si="88"/>
        <v>-271.49644453521302</v>
      </c>
    </row>
    <row r="629" spans="1:13" x14ac:dyDescent="0.25">
      <c r="A629" s="4">
        <v>621</v>
      </c>
      <c r="B629" s="4">
        <f t="shared" si="81"/>
        <v>96</v>
      </c>
      <c r="C629" s="4">
        <f t="shared" si="82"/>
        <v>636</v>
      </c>
      <c r="D629" s="4">
        <f>IF(B629&gt;'Mortality Table'!$A$118,D628,VLOOKUP(B629,'Mortality Table'!$A$2:$B$118,2,FALSE))</f>
        <v>0.44634000000000001</v>
      </c>
      <c r="E629" s="4">
        <f>IF(INT((C629-1)/12)+1&gt;'Lapse Table'!$A$11,E628,VLOOKUP(INT((C629-1)/12)+1,'Lapse Table'!$A$2:$B$11,2,FALSE))/12</f>
        <v>0</v>
      </c>
      <c r="F629" s="5">
        <f t="shared" si="89"/>
        <v>-4.9338923656208333</v>
      </c>
      <c r="G629" s="6">
        <f t="shared" si="83"/>
        <v>3.7194999999999999E-2</v>
      </c>
      <c r="H629" s="6">
        <f t="shared" si="84"/>
        <v>0</v>
      </c>
      <c r="I629" s="7">
        <f t="shared" si="85"/>
        <v>-164.46307885402777</v>
      </c>
      <c r="J629" s="8">
        <f t="shared" si="86"/>
        <v>37195</v>
      </c>
      <c r="K629" s="7">
        <f t="shared" si="87"/>
        <v>-37359.463078854031</v>
      </c>
      <c r="L629" s="4">
        <f>IF(A629&gt;'Yield Curve'!A1243,L628,(1+VLOOKUP(A629,'Yield Curve'!A622:B1244,2,FALSE))^(1/12)-1)</f>
        <v>7.9741404289037643E-3</v>
      </c>
      <c r="M629" s="5">
        <f t="shared" si="88"/>
        <v>-269.35755986853479</v>
      </c>
    </row>
    <row r="630" spans="1:13" x14ac:dyDescent="0.25">
      <c r="A630" s="4">
        <v>622</v>
      </c>
      <c r="B630" s="4">
        <f t="shared" si="81"/>
        <v>96</v>
      </c>
      <c r="C630" s="4">
        <f t="shared" si="82"/>
        <v>637</v>
      </c>
      <c r="D630" s="4">
        <f>IF(B630&gt;'Mortality Table'!$A$118,D629,VLOOKUP(B630,'Mortality Table'!$A$2:$B$118,2,FALSE))</f>
        <v>0.44634000000000001</v>
      </c>
      <c r="E630" s="4">
        <f>IF(INT((C630-1)/12)+1&gt;'Lapse Table'!$A$11,E629,VLOOKUP(INT((C630-1)/12)+1,'Lapse Table'!$A$2:$B$11,2,FALSE))/12</f>
        <v>0</v>
      </c>
      <c r="F630" s="5">
        <f t="shared" si="89"/>
        <v>-4.971087365620833</v>
      </c>
      <c r="G630" s="6">
        <f t="shared" si="83"/>
        <v>3.7194999999999999E-2</v>
      </c>
      <c r="H630" s="6">
        <f t="shared" si="84"/>
        <v>0</v>
      </c>
      <c r="I630" s="7">
        <f t="shared" si="85"/>
        <v>-165.70291218736111</v>
      </c>
      <c r="J630" s="8">
        <f t="shared" si="86"/>
        <v>37195</v>
      </c>
      <c r="K630" s="7">
        <f t="shared" si="87"/>
        <v>-37360.702912187364</v>
      </c>
      <c r="L630" s="4">
        <f>IF(A630&gt;'Yield Curve'!A1244,L629,(1+VLOOKUP(A630,'Yield Curve'!A623:B1245,2,FALSE))^(1/12)-1)</f>
        <v>7.9741404289037643E-3</v>
      </c>
      <c r="M630" s="5">
        <f t="shared" si="88"/>
        <v>-267.23552532200608</v>
      </c>
    </row>
    <row r="631" spans="1:13" x14ac:dyDescent="0.25">
      <c r="A631" s="4">
        <v>623</v>
      </c>
      <c r="B631" s="4">
        <f t="shared" si="81"/>
        <v>96</v>
      </c>
      <c r="C631" s="4">
        <f t="shared" si="82"/>
        <v>638</v>
      </c>
      <c r="D631" s="4">
        <f>IF(B631&gt;'Mortality Table'!$A$118,D630,VLOOKUP(B631,'Mortality Table'!$A$2:$B$118,2,FALSE))</f>
        <v>0.44634000000000001</v>
      </c>
      <c r="E631" s="4">
        <f>IF(INT((C631-1)/12)+1&gt;'Lapse Table'!$A$11,E630,VLOOKUP(INT((C631-1)/12)+1,'Lapse Table'!$A$2:$B$11,2,FALSE))/12</f>
        <v>0</v>
      </c>
      <c r="F631" s="5">
        <f t="shared" si="89"/>
        <v>-5.0082823656208326</v>
      </c>
      <c r="G631" s="6">
        <f t="shared" si="83"/>
        <v>3.7194999999999999E-2</v>
      </c>
      <c r="H631" s="6">
        <f t="shared" si="84"/>
        <v>0</v>
      </c>
      <c r="I631" s="7">
        <f t="shared" si="85"/>
        <v>-166.94274552069442</v>
      </c>
      <c r="J631" s="8">
        <f t="shared" si="86"/>
        <v>37195</v>
      </c>
      <c r="K631" s="7">
        <f t="shared" si="87"/>
        <v>-37361.942745520697</v>
      </c>
      <c r="L631" s="4">
        <f>IF(A631&gt;'Yield Curve'!A1245,L630,(1+VLOOKUP(A631,'Yield Curve'!A624:B1246,2,FALSE))^(1/12)-1)</f>
        <v>7.9741404289037643E-3</v>
      </c>
      <c r="M631" s="5">
        <f t="shared" si="88"/>
        <v>-265.13020815282266</v>
      </c>
    </row>
    <row r="632" spans="1:13" x14ac:dyDescent="0.25">
      <c r="A632" s="4">
        <v>624</v>
      </c>
      <c r="B632" s="4">
        <f t="shared" si="81"/>
        <v>97</v>
      </c>
      <c r="C632" s="4">
        <f t="shared" si="82"/>
        <v>639</v>
      </c>
      <c r="D632" s="4">
        <f>IF(B632&gt;'Mortality Table'!$A$118,D631,VLOOKUP(B632,'Mortality Table'!$A$2:$B$118,2,FALSE))</f>
        <v>0.47503000000000001</v>
      </c>
      <c r="E632" s="4">
        <f>IF(INT((C632-1)/12)+1&gt;'Lapse Table'!$A$11,E631,VLOOKUP(INT((C632-1)/12)+1,'Lapse Table'!$A$2:$B$11,2,FALSE))/12</f>
        <v>0</v>
      </c>
      <c r="F632" s="5">
        <f t="shared" si="89"/>
        <v>-5.0478681989541663</v>
      </c>
      <c r="G632" s="6">
        <f t="shared" si="83"/>
        <v>3.9585833333333334E-2</v>
      </c>
      <c r="H632" s="6">
        <f t="shared" si="84"/>
        <v>0</v>
      </c>
      <c r="I632" s="7">
        <f t="shared" si="85"/>
        <v>-168.26227329847219</v>
      </c>
      <c r="J632" s="8">
        <f t="shared" si="86"/>
        <v>39585.833333333336</v>
      </c>
      <c r="K632" s="7">
        <f t="shared" si="87"/>
        <v>-39754.09560663181</v>
      </c>
      <c r="L632" s="4">
        <f>IF(A632&gt;'Yield Curve'!A1246,L631,(1+VLOOKUP(A632,'Yield Curve'!A625:B1247,2,FALSE))^(1/12)-1)</f>
        <v>7.9741404289037643E-3</v>
      </c>
      <c r="M632" s="5">
        <f t="shared" si="88"/>
        <v>-279.87380330186647</v>
      </c>
    </row>
    <row r="633" spans="1:13" x14ac:dyDescent="0.25">
      <c r="A633" s="4">
        <v>625</v>
      </c>
      <c r="B633" s="4">
        <f t="shared" si="81"/>
        <v>97</v>
      </c>
      <c r="C633" s="4">
        <f t="shared" si="82"/>
        <v>640</v>
      </c>
      <c r="D633" s="4">
        <f>IF(B633&gt;'Mortality Table'!$A$118,D632,VLOOKUP(B633,'Mortality Table'!$A$2:$B$118,2,FALSE))</f>
        <v>0.47503000000000001</v>
      </c>
      <c r="E633" s="4">
        <f>IF(INT((C633-1)/12)+1&gt;'Lapse Table'!$A$11,E632,VLOOKUP(INT((C633-1)/12)+1,'Lapse Table'!$A$2:$B$11,2,FALSE))/12</f>
        <v>0</v>
      </c>
      <c r="F633" s="5">
        <f t="shared" si="89"/>
        <v>-5.0874540322874999</v>
      </c>
      <c r="G633" s="6">
        <f t="shared" si="83"/>
        <v>3.9585833333333334E-2</v>
      </c>
      <c r="H633" s="6">
        <f t="shared" si="84"/>
        <v>0</v>
      </c>
      <c r="I633" s="7">
        <f t="shared" si="85"/>
        <v>-169.58180107625</v>
      </c>
      <c r="J633" s="8">
        <f t="shared" si="86"/>
        <v>39585.833333333336</v>
      </c>
      <c r="K633" s="7">
        <f t="shared" si="87"/>
        <v>-39755.415134409588</v>
      </c>
      <c r="L633" s="4">
        <f>IF(A633&gt;'Yield Curve'!A1247,L632,(1+VLOOKUP(A633,'Yield Curve'!A626:B1248,2,FALSE))^(1/12)-1)</f>
        <v>7.9741404289037643E-3</v>
      </c>
      <c r="M633" s="5">
        <f t="shared" si="88"/>
        <v>-277.6689219658968</v>
      </c>
    </row>
    <row r="634" spans="1:13" x14ac:dyDescent="0.25">
      <c r="A634" s="4">
        <v>626</v>
      </c>
      <c r="B634" s="4">
        <f t="shared" si="81"/>
        <v>97</v>
      </c>
      <c r="C634" s="4">
        <f t="shared" si="82"/>
        <v>641</v>
      </c>
      <c r="D634" s="4">
        <f>IF(B634&gt;'Mortality Table'!$A$118,D633,VLOOKUP(B634,'Mortality Table'!$A$2:$B$118,2,FALSE))</f>
        <v>0.47503000000000001</v>
      </c>
      <c r="E634" s="4">
        <f>IF(INT((C634-1)/12)+1&gt;'Lapse Table'!$A$11,E633,VLOOKUP(INT((C634-1)/12)+1,'Lapse Table'!$A$2:$B$11,2,FALSE))/12</f>
        <v>0</v>
      </c>
      <c r="F634" s="5">
        <f t="shared" si="89"/>
        <v>-5.1270398656208336</v>
      </c>
      <c r="G634" s="6">
        <f t="shared" si="83"/>
        <v>3.9585833333333334E-2</v>
      </c>
      <c r="H634" s="6">
        <f t="shared" si="84"/>
        <v>0</v>
      </c>
      <c r="I634" s="7">
        <f t="shared" si="85"/>
        <v>-170.90132885402781</v>
      </c>
      <c r="J634" s="8">
        <f t="shared" si="86"/>
        <v>39585.833333333336</v>
      </c>
      <c r="K634" s="7">
        <f t="shared" si="87"/>
        <v>-39756.734662187366</v>
      </c>
      <c r="L634" s="4">
        <f>IF(A634&gt;'Yield Curve'!A1248,L633,(1+VLOOKUP(A634,'Yield Curve'!A627:B1249,2,FALSE))^(1/12)-1)</f>
        <v>7.9741404289037643E-3</v>
      </c>
      <c r="M634" s="5">
        <f t="shared" si="88"/>
        <v>-275.48141066138754</v>
      </c>
    </row>
    <row r="635" spans="1:13" x14ac:dyDescent="0.25">
      <c r="A635" s="4">
        <v>627</v>
      </c>
      <c r="B635" s="4">
        <f t="shared" si="81"/>
        <v>97</v>
      </c>
      <c r="C635" s="4">
        <f t="shared" si="82"/>
        <v>642</v>
      </c>
      <c r="D635" s="4">
        <f>IF(B635&gt;'Mortality Table'!$A$118,D634,VLOOKUP(B635,'Mortality Table'!$A$2:$B$118,2,FALSE))</f>
        <v>0.47503000000000001</v>
      </c>
      <c r="E635" s="4">
        <f>IF(INT((C635-1)/12)+1&gt;'Lapse Table'!$A$11,E634,VLOOKUP(INT((C635-1)/12)+1,'Lapse Table'!$A$2:$B$11,2,FALSE))/12</f>
        <v>0</v>
      </c>
      <c r="F635" s="5">
        <f t="shared" si="89"/>
        <v>-5.1666256989541672</v>
      </c>
      <c r="G635" s="6">
        <f t="shared" si="83"/>
        <v>3.9585833333333334E-2</v>
      </c>
      <c r="H635" s="6">
        <f t="shared" si="84"/>
        <v>0</v>
      </c>
      <c r="I635" s="7">
        <f t="shared" si="85"/>
        <v>-172.22085663180556</v>
      </c>
      <c r="J635" s="8">
        <f t="shared" si="86"/>
        <v>39585.833333333336</v>
      </c>
      <c r="K635" s="7">
        <f t="shared" si="87"/>
        <v>-39758.054189965143</v>
      </c>
      <c r="L635" s="4">
        <f>IF(A635&gt;'Yield Curve'!A1249,L634,(1+VLOOKUP(A635,'Yield Curve'!A628:B1250,2,FALSE))^(1/12)-1)</f>
        <v>7.9741404289037643E-3</v>
      </c>
      <c r="M635" s="5">
        <f t="shared" si="88"/>
        <v>-273.31113254982841</v>
      </c>
    </row>
    <row r="636" spans="1:13" x14ac:dyDescent="0.25">
      <c r="A636" s="4">
        <v>628</v>
      </c>
      <c r="B636" s="4">
        <f t="shared" si="81"/>
        <v>97</v>
      </c>
      <c r="C636" s="4">
        <f t="shared" si="82"/>
        <v>643</v>
      </c>
      <c r="D636" s="4">
        <f>IF(B636&gt;'Mortality Table'!$A$118,D635,VLOOKUP(B636,'Mortality Table'!$A$2:$B$118,2,FALSE))</f>
        <v>0.47503000000000001</v>
      </c>
      <c r="E636" s="4">
        <f>IF(INT((C636-1)/12)+1&gt;'Lapse Table'!$A$11,E635,VLOOKUP(INT((C636-1)/12)+1,'Lapse Table'!$A$2:$B$11,2,FALSE))/12</f>
        <v>0</v>
      </c>
      <c r="F636" s="5">
        <f t="shared" si="89"/>
        <v>-5.2062115322875009</v>
      </c>
      <c r="G636" s="6">
        <f t="shared" si="83"/>
        <v>3.9585833333333334E-2</v>
      </c>
      <c r="H636" s="6">
        <f t="shared" si="84"/>
        <v>0</v>
      </c>
      <c r="I636" s="7">
        <f t="shared" si="85"/>
        <v>-173.54038440958337</v>
      </c>
      <c r="J636" s="8">
        <f t="shared" si="86"/>
        <v>39585.833333333336</v>
      </c>
      <c r="K636" s="7">
        <f t="shared" si="87"/>
        <v>-39759.373717742921</v>
      </c>
      <c r="L636" s="4">
        <f>IF(A636&gt;'Yield Curve'!A1250,L635,(1+VLOOKUP(A636,'Yield Curve'!A629:B1251,2,FALSE))^(1/12)-1)</f>
        <v>7.9741404289037643E-3</v>
      </c>
      <c r="M636" s="5">
        <f t="shared" si="88"/>
        <v>-271.15795187068358</v>
      </c>
    </row>
    <row r="637" spans="1:13" x14ac:dyDescent="0.25">
      <c r="A637" s="4">
        <v>629</v>
      </c>
      <c r="B637" s="4">
        <f t="shared" si="81"/>
        <v>97</v>
      </c>
      <c r="C637" s="4">
        <f t="shared" si="82"/>
        <v>644</v>
      </c>
      <c r="D637" s="4">
        <f>IF(B637&gt;'Mortality Table'!$A$118,D636,VLOOKUP(B637,'Mortality Table'!$A$2:$B$118,2,FALSE))</f>
        <v>0.47503000000000001</v>
      </c>
      <c r="E637" s="4">
        <f>IF(INT((C637-1)/12)+1&gt;'Lapse Table'!$A$11,E636,VLOOKUP(INT((C637-1)/12)+1,'Lapse Table'!$A$2:$B$11,2,FALSE))/12</f>
        <v>0</v>
      </c>
      <c r="F637" s="5">
        <f t="shared" si="89"/>
        <v>-5.2457973656208345</v>
      </c>
      <c r="G637" s="6">
        <f t="shared" si="83"/>
        <v>3.9585833333333334E-2</v>
      </c>
      <c r="H637" s="6">
        <f t="shared" si="84"/>
        <v>0</v>
      </c>
      <c r="I637" s="7">
        <f t="shared" si="85"/>
        <v>-174.85991218736115</v>
      </c>
      <c r="J637" s="8">
        <f t="shared" si="86"/>
        <v>39585.833333333336</v>
      </c>
      <c r="K637" s="7">
        <f t="shared" si="87"/>
        <v>-39760.693245520699</v>
      </c>
      <c r="L637" s="4">
        <f>IF(A637&gt;'Yield Curve'!A1251,L636,(1+VLOOKUP(A637,'Yield Curve'!A630:B1252,2,FALSE))^(1/12)-1)</f>
        <v>7.9741404289037643E-3</v>
      </c>
      <c r="M637" s="5">
        <f t="shared" si="88"/>
        <v>-269.02173393289917</v>
      </c>
    </row>
    <row r="638" spans="1:13" x14ac:dyDescent="0.25">
      <c r="A638" s="4">
        <v>630</v>
      </c>
      <c r="B638" s="4">
        <f t="shared" si="81"/>
        <v>97</v>
      </c>
      <c r="C638" s="4">
        <f t="shared" si="82"/>
        <v>645</v>
      </c>
      <c r="D638" s="4">
        <f>IF(B638&gt;'Mortality Table'!$A$118,D637,VLOOKUP(B638,'Mortality Table'!$A$2:$B$118,2,FALSE))</f>
        <v>0.47503000000000001</v>
      </c>
      <c r="E638" s="4">
        <f>IF(INT((C638-1)/12)+1&gt;'Lapse Table'!$A$11,E637,VLOOKUP(INT((C638-1)/12)+1,'Lapse Table'!$A$2:$B$11,2,FALSE))/12</f>
        <v>0</v>
      </c>
      <c r="F638" s="5">
        <f t="shared" si="89"/>
        <v>-5.2853831989541682</v>
      </c>
      <c r="G638" s="6">
        <f t="shared" si="83"/>
        <v>3.9585833333333334E-2</v>
      </c>
      <c r="H638" s="6">
        <f t="shared" si="84"/>
        <v>0</v>
      </c>
      <c r="I638" s="7">
        <f t="shared" si="85"/>
        <v>-176.17943996513895</v>
      </c>
      <c r="J638" s="8">
        <f t="shared" si="86"/>
        <v>39585.833333333336</v>
      </c>
      <c r="K638" s="7">
        <f t="shared" si="87"/>
        <v>-39762.012773298477</v>
      </c>
      <c r="L638" s="4">
        <f>IF(A638&gt;'Yield Curve'!A1252,L637,(1+VLOOKUP(A638,'Yield Curve'!A631:B1253,2,FALSE))^(1/12)-1)</f>
        <v>7.9741404289037643E-3</v>
      </c>
      <c r="M638" s="5">
        <f t="shared" si="88"/>
        <v>-266.90234510647917</v>
      </c>
    </row>
    <row r="639" spans="1:13" x14ac:dyDescent="0.25">
      <c r="A639" s="4">
        <v>631</v>
      </c>
      <c r="B639" s="4">
        <f t="shared" si="81"/>
        <v>97</v>
      </c>
      <c r="C639" s="4">
        <f t="shared" si="82"/>
        <v>646</v>
      </c>
      <c r="D639" s="4">
        <f>IF(B639&gt;'Mortality Table'!$A$118,D638,VLOOKUP(B639,'Mortality Table'!$A$2:$B$118,2,FALSE))</f>
        <v>0.47503000000000001</v>
      </c>
      <c r="E639" s="4">
        <f>IF(INT((C639-1)/12)+1&gt;'Lapse Table'!$A$11,E638,VLOOKUP(INT((C639-1)/12)+1,'Lapse Table'!$A$2:$B$11,2,FALSE))/12</f>
        <v>0</v>
      </c>
      <c r="F639" s="5">
        <f t="shared" si="89"/>
        <v>-5.3249690322875018</v>
      </c>
      <c r="G639" s="6">
        <f t="shared" si="83"/>
        <v>3.9585833333333334E-2</v>
      </c>
      <c r="H639" s="6">
        <f t="shared" si="84"/>
        <v>0</v>
      </c>
      <c r="I639" s="7">
        <f t="shared" si="85"/>
        <v>-177.49896774291673</v>
      </c>
      <c r="J639" s="8">
        <f t="shared" si="86"/>
        <v>39585.833333333336</v>
      </c>
      <c r="K639" s="7">
        <f t="shared" si="87"/>
        <v>-39763.332301076254</v>
      </c>
      <c r="L639" s="4">
        <f>IF(A639&gt;'Yield Curve'!A1253,L638,(1+VLOOKUP(A639,'Yield Curve'!A632:B1254,2,FALSE))^(1/12)-1)</f>
        <v>7.9741404289037643E-3</v>
      </c>
      <c r="M639" s="5">
        <f t="shared" si="88"/>
        <v>-264.79965281412603</v>
      </c>
    </row>
    <row r="640" spans="1:13" x14ac:dyDescent="0.25">
      <c r="A640" s="4">
        <v>632</v>
      </c>
      <c r="B640" s="4">
        <f t="shared" si="81"/>
        <v>97</v>
      </c>
      <c r="C640" s="4">
        <f t="shared" si="82"/>
        <v>647</v>
      </c>
      <c r="D640" s="4">
        <f>IF(B640&gt;'Mortality Table'!$A$118,D639,VLOOKUP(B640,'Mortality Table'!$A$2:$B$118,2,FALSE))</f>
        <v>0.47503000000000001</v>
      </c>
      <c r="E640" s="4">
        <f>IF(INT((C640-1)/12)+1&gt;'Lapse Table'!$A$11,E639,VLOOKUP(INT((C640-1)/12)+1,'Lapse Table'!$A$2:$B$11,2,FALSE))/12</f>
        <v>0</v>
      </c>
      <c r="F640" s="5">
        <f t="shared" si="89"/>
        <v>-5.3645548656208355</v>
      </c>
      <c r="G640" s="6">
        <f t="shared" si="83"/>
        <v>3.9585833333333334E-2</v>
      </c>
      <c r="H640" s="6">
        <f t="shared" si="84"/>
        <v>0</v>
      </c>
      <c r="I640" s="7">
        <f t="shared" si="85"/>
        <v>-178.81849552069454</v>
      </c>
      <c r="J640" s="8">
        <f t="shared" si="86"/>
        <v>39585.833333333336</v>
      </c>
      <c r="K640" s="7">
        <f t="shared" si="87"/>
        <v>-39764.651828854032</v>
      </c>
      <c r="L640" s="4">
        <f>IF(A640&gt;'Yield Curve'!A1254,L639,(1+VLOOKUP(A640,'Yield Curve'!A633:B1255,2,FALSE))^(1/12)-1)</f>
        <v>7.9741404289037643E-3</v>
      </c>
      <c r="M640" s="5">
        <f t="shared" si="88"/>
        <v>-262.71352552294849</v>
      </c>
    </row>
    <row r="641" spans="1:13" x14ac:dyDescent="0.25">
      <c r="A641" s="4">
        <v>633</v>
      </c>
      <c r="B641" s="4">
        <f t="shared" si="81"/>
        <v>97</v>
      </c>
      <c r="C641" s="4">
        <f t="shared" si="82"/>
        <v>648</v>
      </c>
      <c r="D641" s="4">
        <f>IF(B641&gt;'Mortality Table'!$A$118,D640,VLOOKUP(B641,'Mortality Table'!$A$2:$B$118,2,FALSE))</f>
        <v>0.47503000000000001</v>
      </c>
      <c r="E641" s="4">
        <f>IF(INT((C641-1)/12)+1&gt;'Lapse Table'!$A$11,E640,VLOOKUP(INT((C641-1)/12)+1,'Lapse Table'!$A$2:$B$11,2,FALSE))/12</f>
        <v>0</v>
      </c>
      <c r="F641" s="5">
        <f t="shared" si="89"/>
        <v>-5.4041406989541692</v>
      </c>
      <c r="G641" s="6">
        <f t="shared" si="83"/>
        <v>3.9585833333333334E-2</v>
      </c>
      <c r="H641" s="6">
        <f t="shared" si="84"/>
        <v>0</v>
      </c>
      <c r="I641" s="7">
        <f t="shared" si="85"/>
        <v>-180.13802329847229</v>
      </c>
      <c r="J641" s="8">
        <f t="shared" si="86"/>
        <v>39585.833333333336</v>
      </c>
      <c r="K641" s="7">
        <f t="shared" si="87"/>
        <v>-39765.97135663181</v>
      </c>
      <c r="L641" s="4">
        <f>IF(A641&gt;'Yield Curve'!A1255,L640,(1+VLOOKUP(A641,'Yield Curve'!A634:B1256,2,FALSE))^(1/12)-1)</f>
        <v>7.9741404289037643E-3</v>
      </c>
      <c r="M641" s="5">
        <f t="shared" si="88"/>
        <v>-260.6438327362344</v>
      </c>
    </row>
    <row r="642" spans="1:13" x14ac:dyDescent="0.25">
      <c r="A642" s="4">
        <v>634</v>
      </c>
      <c r="B642" s="4">
        <f t="shared" si="81"/>
        <v>97</v>
      </c>
      <c r="C642" s="4">
        <f t="shared" si="82"/>
        <v>649</v>
      </c>
      <c r="D642" s="4">
        <f>IF(B642&gt;'Mortality Table'!$A$118,D641,VLOOKUP(B642,'Mortality Table'!$A$2:$B$118,2,FALSE))</f>
        <v>0.47503000000000001</v>
      </c>
      <c r="E642" s="4">
        <f>IF(INT((C642-1)/12)+1&gt;'Lapse Table'!$A$11,E641,VLOOKUP(INT((C642-1)/12)+1,'Lapse Table'!$A$2:$B$11,2,FALSE))/12</f>
        <v>0</v>
      </c>
      <c r="F642" s="5">
        <f t="shared" si="89"/>
        <v>-5.4437265322875028</v>
      </c>
      <c r="G642" s="6">
        <f t="shared" si="83"/>
        <v>3.9585833333333334E-2</v>
      </c>
      <c r="H642" s="6">
        <f t="shared" si="84"/>
        <v>0</v>
      </c>
      <c r="I642" s="7">
        <f t="shared" si="85"/>
        <v>-181.4575510762501</v>
      </c>
      <c r="J642" s="8">
        <f t="shared" si="86"/>
        <v>39585.833333333336</v>
      </c>
      <c r="K642" s="7">
        <f t="shared" si="87"/>
        <v>-39767.290884409587</v>
      </c>
      <c r="L642" s="4">
        <f>IF(A642&gt;'Yield Curve'!A1256,L641,(1+VLOOKUP(A642,'Yield Curve'!A635:B1257,2,FALSE))^(1/12)-1)</f>
        <v>7.9741404289037643E-3</v>
      </c>
      <c r="M642" s="5">
        <f t="shared" si="88"/>
        <v>-258.59044498528732</v>
      </c>
    </row>
    <row r="643" spans="1:13" x14ac:dyDescent="0.25">
      <c r="A643" s="4">
        <v>635</v>
      </c>
      <c r="B643" s="4">
        <f t="shared" si="81"/>
        <v>97</v>
      </c>
      <c r="C643" s="4">
        <f t="shared" si="82"/>
        <v>650</v>
      </c>
      <c r="D643" s="4">
        <f>IF(B643&gt;'Mortality Table'!$A$118,D642,VLOOKUP(B643,'Mortality Table'!$A$2:$B$118,2,FALSE))</f>
        <v>0.47503000000000001</v>
      </c>
      <c r="E643" s="4">
        <f>IF(INT((C643-1)/12)+1&gt;'Lapse Table'!$A$11,E642,VLOOKUP(INT((C643-1)/12)+1,'Lapse Table'!$A$2:$B$11,2,FALSE))/12</f>
        <v>0</v>
      </c>
      <c r="F643" s="5">
        <f t="shared" si="89"/>
        <v>-5.4833123656208365</v>
      </c>
      <c r="G643" s="6">
        <f t="shared" si="83"/>
        <v>3.9585833333333334E-2</v>
      </c>
      <c r="H643" s="6">
        <f t="shared" si="84"/>
        <v>0</v>
      </c>
      <c r="I643" s="7">
        <f t="shared" si="85"/>
        <v>-182.77707885402788</v>
      </c>
      <c r="J643" s="8">
        <f t="shared" si="86"/>
        <v>39585.833333333336</v>
      </c>
      <c r="K643" s="7">
        <f t="shared" si="87"/>
        <v>-39768.610412187365</v>
      </c>
      <c r="L643" s="4">
        <f>IF(A643&gt;'Yield Curve'!A1257,L642,(1+VLOOKUP(A643,'Yield Curve'!A636:B1258,2,FALSE))^(1/12)-1)</f>
        <v>7.9741404289037643E-3</v>
      </c>
      <c r="M643" s="5">
        <f t="shared" si="88"/>
        <v>-256.55323382132889</v>
      </c>
    </row>
    <row r="644" spans="1:13" x14ac:dyDescent="0.25">
      <c r="A644" s="4">
        <v>636</v>
      </c>
      <c r="B644" s="4">
        <f t="shared" si="81"/>
        <v>98</v>
      </c>
      <c r="C644" s="4">
        <f t="shared" si="82"/>
        <v>651</v>
      </c>
      <c r="D644" s="4">
        <f>IF(B644&gt;'Mortality Table'!$A$118,D643,VLOOKUP(B644,'Mortality Table'!$A$2:$B$118,2,FALSE))</f>
        <v>0.50461</v>
      </c>
      <c r="E644" s="4">
        <f>IF(INT((C644-1)/12)+1&gt;'Lapse Table'!$A$11,E643,VLOOKUP(INT((C644-1)/12)+1,'Lapse Table'!$A$2:$B$11,2,FALSE))/12</f>
        <v>0</v>
      </c>
      <c r="F644" s="5">
        <f t="shared" si="89"/>
        <v>-5.5253631989541701</v>
      </c>
      <c r="G644" s="6">
        <f t="shared" si="83"/>
        <v>4.2050833333333336E-2</v>
      </c>
      <c r="H644" s="6">
        <f t="shared" si="84"/>
        <v>0</v>
      </c>
      <c r="I644" s="7">
        <f t="shared" si="85"/>
        <v>-184.17877329847235</v>
      </c>
      <c r="J644" s="8">
        <f t="shared" si="86"/>
        <v>42050.833333333336</v>
      </c>
      <c r="K644" s="7">
        <f t="shared" si="87"/>
        <v>-42235.01210663181</v>
      </c>
      <c r="L644" s="4">
        <f>IF(A644&gt;'Yield Curve'!A1258,L643,(1+VLOOKUP(A644,'Yield Curve'!A637:B1259,2,FALSE))^(1/12)-1)</f>
        <v>7.9741404289037643E-3</v>
      </c>
      <c r="M644" s="5">
        <f t="shared" si="88"/>
        <v>-270.30887785174099</v>
      </c>
    </row>
    <row r="645" spans="1:13" x14ac:dyDescent="0.25">
      <c r="A645" s="4">
        <v>637</v>
      </c>
      <c r="B645" s="4">
        <f t="shared" si="81"/>
        <v>98</v>
      </c>
      <c r="C645" s="4">
        <f t="shared" si="82"/>
        <v>652</v>
      </c>
      <c r="D645" s="4">
        <f>IF(B645&gt;'Mortality Table'!$A$118,D644,VLOOKUP(B645,'Mortality Table'!$A$2:$B$118,2,FALSE))</f>
        <v>0.50461</v>
      </c>
      <c r="E645" s="4">
        <f>IF(INT((C645-1)/12)+1&gt;'Lapse Table'!$A$11,E644,VLOOKUP(INT((C645-1)/12)+1,'Lapse Table'!$A$2:$B$11,2,FALSE))/12</f>
        <v>0</v>
      </c>
      <c r="F645" s="5">
        <f t="shared" si="89"/>
        <v>-5.5674140322875036</v>
      </c>
      <c r="G645" s="6">
        <f t="shared" si="83"/>
        <v>4.2050833333333336E-2</v>
      </c>
      <c r="H645" s="6">
        <f t="shared" si="84"/>
        <v>0</v>
      </c>
      <c r="I645" s="7">
        <f t="shared" si="85"/>
        <v>-185.5804677429168</v>
      </c>
      <c r="J645" s="8">
        <f t="shared" si="86"/>
        <v>42050.833333333336</v>
      </c>
      <c r="K645" s="7">
        <f t="shared" si="87"/>
        <v>-42236.413801076254</v>
      </c>
      <c r="L645" s="4">
        <f>IF(A645&gt;'Yield Curve'!A1259,L644,(1+VLOOKUP(A645,'Yield Curve'!A638:B1260,2,FALSE))^(1/12)-1)</f>
        <v>7.9741404289037643E-3</v>
      </c>
      <c r="M645" s="5">
        <f t="shared" si="88"/>
        <v>-268.17934906591637</v>
      </c>
    </row>
    <row r="646" spans="1:13" x14ac:dyDescent="0.25">
      <c r="A646" s="4">
        <v>638</v>
      </c>
      <c r="B646" s="4">
        <f t="shared" si="81"/>
        <v>98</v>
      </c>
      <c r="C646" s="4">
        <f t="shared" si="82"/>
        <v>653</v>
      </c>
      <c r="D646" s="4">
        <f>IF(B646&gt;'Mortality Table'!$A$118,D645,VLOOKUP(B646,'Mortality Table'!$A$2:$B$118,2,FALSE))</f>
        <v>0.50461</v>
      </c>
      <c r="E646" s="4">
        <f>IF(INT((C646-1)/12)+1&gt;'Lapse Table'!$A$11,E645,VLOOKUP(INT((C646-1)/12)+1,'Lapse Table'!$A$2:$B$11,2,FALSE))/12</f>
        <v>0</v>
      </c>
      <c r="F646" s="5">
        <f t="shared" si="89"/>
        <v>-5.6094648656208372</v>
      </c>
      <c r="G646" s="6">
        <f t="shared" si="83"/>
        <v>4.2050833333333336E-2</v>
      </c>
      <c r="H646" s="6">
        <f t="shared" si="84"/>
        <v>0</v>
      </c>
      <c r="I646" s="7">
        <f t="shared" si="85"/>
        <v>-186.98216218736124</v>
      </c>
      <c r="J646" s="8">
        <f t="shared" si="86"/>
        <v>42050.833333333336</v>
      </c>
      <c r="K646" s="7">
        <f t="shared" si="87"/>
        <v>-42237.815495520699</v>
      </c>
      <c r="L646" s="4">
        <f>IF(A646&gt;'Yield Curve'!A1260,L645,(1+VLOOKUP(A646,'Yield Curve'!A639:B1261,2,FALSE))^(1/12)-1)</f>
        <v>7.9741404289037643E-3</v>
      </c>
      <c r="M646" s="5">
        <f t="shared" si="88"/>
        <v>-266.06659669407816</v>
      </c>
    </row>
    <row r="647" spans="1:13" x14ac:dyDescent="0.25">
      <c r="A647" s="4">
        <v>639</v>
      </c>
      <c r="B647" s="4">
        <f t="shared" si="81"/>
        <v>98</v>
      </c>
      <c r="C647" s="4">
        <f t="shared" si="82"/>
        <v>654</v>
      </c>
      <c r="D647" s="4">
        <f>IF(B647&gt;'Mortality Table'!$A$118,D646,VLOOKUP(B647,'Mortality Table'!$A$2:$B$118,2,FALSE))</f>
        <v>0.50461</v>
      </c>
      <c r="E647" s="4">
        <f>IF(INT((C647-1)/12)+1&gt;'Lapse Table'!$A$11,E646,VLOOKUP(INT((C647-1)/12)+1,'Lapse Table'!$A$2:$B$11,2,FALSE))/12</f>
        <v>0</v>
      </c>
      <c r="F647" s="5">
        <f t="shared" si="89"/>
        <v>-5.6515156989541708</v>
      </c>
      <c r="G647" s="6">
        <f t="shared" si="83"/>
        <v>4.2050833333333336E-2</v>
      </c>
      <c r="H647" s="6">
        <f t="shared" si="84"/>
        <v>0</v>
      </c>
      <c r="I647" s="7">
        <f t="shared" si="85"/>
        <v>-188.38385663180568</v>
      </c>
      <c r="J647" s="8">
        <f t="shared" si="86"/>
        <v>42050.833333333336</v>
      </c>
      <c r="K647" s="7">
        <f t="shared" si="87"/>
        <v>-42239.217189965144</v>
      </c>
      <c r="L647" s="4">
        <f>IF(A647&gt;'Yield Curve'!A1261,L646,(1+VLOOKUP(A647,'Yield Curve'!A640:B1262,2,FALSE))^(1/12)-1)</f>
        <v>7.9741404289037643E-3</v>
      </c>
      <c r="M647" s="5">
        <f t="shared" si="88"/>
        <v>-263.97048857407367</v>
      </c>
    </row>
    <row r="648" spans="1:13" x14ac:dyDescent="0.25">
      <c r="A648" s="4">
        <v>640</v>
      </c>
      <c r="B648" s="4">
        <f t="shared" si="81"/>
        <v>98</v>
      </c>
      <c r="C648" s="4">
        <f t="shared" si="82"/>
        <v>655</v>
      </c>
      <c r="D648" s="4">
        <f>IF(B648&gt;'Mortality Table'!$A$118,D647,VLOOKUP(B648,'Mortality Table'!$A$2:$B$118,2,FALSE))</f>
        <v>0.50461</v>
      </c>
      <c r="E648" s="4">
        <f>IF(INT((C648-1)/12)+1&gt;'Lapse Table'!$A$11,E647,VLOOKUP(INT((C648-1)/12)+1,'Lapse Table'!$A$2:$B$11,2,FALSE))/12</f>
        <v>0</v>
      </c>
      <c r="F648" s="5">
        <f t="shared" si="89"/>
        <v>-5.6935665322875044</v>
      </c>
      <c r="G648" s="6">
        <f t="shared" si="83"/>
        <v>4.2050833333333336E-2</v>
      </c>
      <c r="H648" s="6">
        <f t="shared" si="84"/>
        <v>0</v>
      </c>
      <c r="I648" s="7">
        <f t="shared" si="85"/>
        <v>-189.78555107625016</v>
      </c>
      <c r="J648" s="8">
        <f t="shared" si="86"/>
        <v>42050.833333333336</v>
      </c>
      <c r="K648" s="7">
        <f t="shared" si="87"/>
        <v>-42240.618884409589</v>
      </c>
      <c r="L648" s="4">
        <f>IF(A648&gt;'Yield Curve'!A1262,L647,(1+VLOOKUP(A648,'Yield Curve'!A641:B1263,2,FALSE))^(1/12)-1)</f>
        <v>7.9741404289037643E-3</v>
      </c>
      <c r="M648" s="5">
        <f t="shared" si="88"/>
        <v>-261.89089358488565</v>
      </c>
    </row>
    <row r="649" spans="1:13" x14ac:dyDescent="0.25">
      <c r="A649" s="4">
        <v>641</v>
      </c>
      <c r="B649" s="4">
        <f t="shared" si="81"/>
        <v>98</v>
      </c>
      <c r="C649" s="4">
        <f t="shared" si="82"/>
        <v>656</v>
      </c>
      <c r="D649" s="4">
        <f>IF(B649&gt;'Mortality Table'!$A$118,D648,VLOOKUP(B649,'Mortality Table'!$A$2:$B$118,2,FALSE))</f>
        <v>0.50461</v>
      </c>
      <c r="E649" s="4">
        <f>IF(INT((C649-1)/12)+1&gt;'Lapse Table'!$A$11,E648,VLOOKUP(INT((C649-1)/12)+1,'Lapse Table'!$A$2:$B$11,2,FALSE))/12</f>
        <v>0</v>
      </c>
      <c r="F649" s="5">
        <f t="shared" si="89"/>
        <v>-5.735617365620838</v>
      </c>
      <c r="G649" s="6">
        <f t="shared" si="83"/>
        <v>4.2050833333333336E-2</v>
      </c>
      <c r="H649" s="6">
        <f t="shared" si="84"/>
        <v>0</v>
      </c>
      <c r="I649" s="7">
        <f t="shared" si="85"/>
        <v>-191.18724552069457</v>
      </c>
      <c r="J649" s="8">
        <f t="shared" si="86"/>
        <v>42050.833333333336</v>
      </c>
      <c r="K649" s="7">
        <f t="shared" si="87"/>
        <v>-42242.020578854033</v>
      </c>
      <c r="L649" s="4">
        <f>IF(A649&gt;'Yield Curve'!A1263,L648,(1+VLOOKUP(A649,'Yield Curve'!A642:B1264,2,FALSE))^(1/12)-1)</f>
        <v>7.9741404289037643E-3</v>
      </c>
      <c r="M649" s="5">
        <f t="shared" si="88"/>
        <v>-259.82768163843116</v>
      </c>
    </row>
    <row r="650" spans="1:13" x14ac:dyDescent="0.25">
      <c r="A650" s="4">
        <v>642</v>
      </c>
      <c r="B650" s="4">
        <f t="shared" ref="B650:B713" si="90">INT($B$3+A650/12)</f>
        <v>98</v>
      </c>
      <c r="C650" s="4">
        <f t="shared" ref="C650:C713" si="91">$B$4+A650</f>
        <v>657</v>
      </c>
      <c r="D650" s="4">
        <f>IF(B650&gt;'Mortality Table'!$A$118,D649,VLOOKUP(B650,'Mortality Table'!$A$2:$B$118,2,FALSE))</f>
        <v>0.50461</v>
      </c>
      <c r="E650" s="4">
        <f>IF(INT((C650-1)/12)+1&gt;'Lapse Table'!$A$11,E649,VLOOKUP(INT((C650-1)/12)+1,'Lapse Table'!$A$2:$B$11,2,FALSE))/12</f>
        <v>0</v>
      </c>
      <c r="F650" s="5">
        <f t="shared" si="89"/>
        <v>-5.7776681989541716</v>
      </c>
      <c r="G650" s="6">
        <f t="shared" ref="G650:G713" si="92">D650/12*(1-0.5*E650)</f>
        <v>4.2050833333333336E-2</v>
      </c>
      <c r="H650" s="6">
        <f t="shared" ref="H650:H713" si="93">E650*(1-0.5*D650)</f>
        <v>0</v>
      </c>
      <c r="I650" s="7">
        <f t="shared" ref="I650:I713" si="94">F650*$B$5/12</f>
        <v>-192.58893996513905</v>
      </c>
      <c r="J650" s="8">
        <f t="shared" ref="J650:J713" si="95">$B$6*G650</f>
        <v>42050.833333333336</v>
      </c>
      <c r="K650" s="7">
        <f t="shared" ref="K650:K713" si="96">I650-J650</f>
        <v>-42243.422273298478</v>
      </c>
      <c r="L650" s="4">
        <f>IF(A650&gt;'Yield Curve'!A1264,L649,(1+VLOOKUP(A650,'Yield Curve'!A643:B1265,2,FALSE))^(1/12)-1)</f>
        <v>7.9741404289037643E-3</v>
      </c>
      <c r="M650" s="5">
        <f t="shared" ref="M650:M713" si="97">K650*(1+L650)^-A650</f>
        <v>-257.78072367142448</v>
      </c>
    </row>
    <row r="651" spans="1:13" x14ac:dyDescent="0.25">
      <c r="A651" s="4">
        <v>643</v>
      </c>
      <c r="B651" s="4">
        <f t="shared" si="90"/>
        <v>98</v>
      </c>
      <c r="C651" s="4">
        <f t="shared" si="91"/>
        <v>658</v>
      </c>
      <c r="D651" s="4">
        <f>IF(B651&gt;'Mortality Table'!$A$118,D650,VLOOKUP(B651,'Mortality Table'!$A$2:$B$118,2,FALSE))</f>
        <v>0.50461</v>
      </c>
      <c r="E651" s="4">
        <f>IF(INT((C651-1)/12)+1&gt;'Lapse Table'!$A$11,E650,VLOOKUP(INT((C651-1)/12)+1,'Lapse Table'!$A$2:$B$11,2,FALSE))/12</f>
        <v>0</v>
      </c>
      <c r="F651" s="5">
        <f t="shared" ref="F651:F714" si="98">F650-G651-H651</f>
        <v>-5.8197190322875052</v>
      </c>
      <c r="G651" s="6">
        <f t="shared" si="92"/>
        <v>4.2050833333333336E-2</v>
      </c>
      <c r="H651" s="6">
        <f t="shared" si="93"/>
        <v>0</v>
      </c>
      <c r="I651" s="7">
        <f t="shared" si="94"/>
        <v>-193.99063440958352</v>
      </c>
      <c r="J651" s="8">
        <f t="shared" si="95"/>
        <v>42050.833333333336</v>
      </c>
      <c r="K651" s="7">
        <f t="shared" si="96"/>
        <v>-42244.823967742923</v>
      </c>
      <c r="L651" s="4">
        <f>IF(A651&gt;'Yield Curve'!A1265,L650,(1+VLOOKUP(A651,'Yield Curve'!A644:B1266,2,FALSE))^(1/12)-1)</f>
        <v>7.9741404289037643E-3</v>
      </c>
      <c r="M651" s="5">
        <f t="shared" si="97"/>
        <v>-255.74989163730388</v>
      </c>
    </row>
    <row r="652" spans="1:13" x14ac:dyDescent="0.25">
      <c r="A652" s="4">
        <v>644</v>
      </c>
      <c r="B652" s="4">
        <f t="shared" si="90"/>
        <v>98</v>
      </c>
      <c r="C652" s="4">
        <f t="shared" si="91"/>
        <v>659</v>
      </c>
      <c r="D652" s="4">
        <f>IF(B652&gt;'Mortality Table'!$A$118,D651,VLOOKUP(B652,'Mortality Table'!$A$2:$B$118,2,FALSE))</f>
        <v>0.50461</v>
      </c>
      <c r="E652" s="4">
        <f>IF(INT((C652-1)/12)+1&gt;'Lapse Table'!$A$11,E651,VLOOKUP(INT((C652-1)/12)+1,'Lapse Table'!$A$2:$B$11,2,FALSE))/12</f>
        <v>0</v>
      </c>
      <c r="F652" s="5">
        <f t="shared" si="98"/>
        <v>-5.8617698656208388</v>
      </c>
      <c r="G652" s="6">
        <f t="shared" si="92"/>
        <v>4.2050833333333336E-2</v>
      </c>
      <c r="H652" s="6">
        <f t="shared" si="93"/>
        <v>0</v>
      </c>
      <c r="I652" s="7">
        <f t="shared" si="94"/>
        <v>-195.39232885402797</v>
      </c>
      <c r="J652" s="8">
        <f t="shared" si="95"/>
        <v>42050.833333333336</v>
      </c>
      <c r="K652" s="7">
        <f t="shared" si="96"/>
        <v>-42246.22566218736</v>
      </c>
      <c r="L652" s="4">
        <f>IF(A652&gt;'Yield Curve'!A1266,L651,(1+VLOOKUP(A652,'Yield Curve'!A645:B1267,2,FALSE))^(1/12)-1)</f>
        <v>7.9741404289037643E-3</v>
      </c>
      <c r="M652" s="5">
        <f t="shared" si="97"/>
        <v>-253.73505849822249</v>
      </c>
    </row>
    <row r="653" spans="1:13" x14ac:dyDescent="0.25">
      <c r="A653" s="4">
        <v>645</v>
      </c>
      <c r="B653" s="4">
        <f t="shared" si="90"/>
        <v>98</v>
      </c>
      <c r="C653" s="4">
        <f t="shared" si="91"/>
        <v>660</v>
      </c>
      <c r="D653" s="4">
        <f>IF(B653&gt;'Mortality Table'!$A$118,D652,VLOOKUP(B653,'Mortality Table'!$A$2:$B$118,2,FALSE))</f>
        <v>0.50461</v>
      </c>
      <c r="E653" s="4">
        <f>IF(INT((C653-1)/12)+1&gt;'Lapse Table'!$A$11,E652,VLOOKUP(INT((C653-1)/12)+1,'Lapse Table'!$A$2:$B$11,2,FALSE))/12</f>
        <v>0</v>
      </c>
      <c r="F653" s="5">
        <f t="shared" si="98"/>
        <v>-5.9038206989541724</v>
      </c>
      <c r="G653" s="6">
        <f t="shared" si="92"/>
        <v>4.2050833333333336E-2</v>
      </c>
      <c r="H653" s="6">
        <f t="shared" si="93"/>
        <v>0</v>
      </c>
      <c r="I653" s="7">
        <f t="shared" si="94"/>
        <v>-196.79402329847241</v>
      </c>
      <c r="J653" s="8">
        <f t="shared" si="95"/>
        <v>42050.833333333336</v>
      </c>
      <c r="K653" s="7">
        <f t="shared" si="96"/>
        <v>-42247.627356631805</v>
      </c>
      <c r="L653" s="4">
        <f>IF(A653&gt;'Yield Curve'!A1267,L652,(1+VLOOKUP(A653,'Yield Curve'!A646:B1268,2,FALSE))^(1/12)-1)</f>
        <v>7.9741404289037643E-3</v>
      </c>
      <c r="M653" s="5">
        <f t="shared" si="97"/>
        <v>-251.7360982171023</v>
      </c>
    </row>
    <row r="654" spans="1:13" x14ac:dyDescent="0.25">
      <c r="A654" s="4">
        <v>646</v>
      </c>
      <c r="B654" s="4">
        <f t="shared" si="90"/>
        <v>98</v>
      </c>
      <c r="C654" s="4">
        <f t="shared" si="91"/>
        <v>661</v>
      </c>
      <c r="D654" s="4">
        <f>IF(B654&gt;'Mortality Table'!$A$118,D653,VLOOKUP(B654,'Mortality Table'!$A$2:$B$118,2,FALSE))</f>
        <v>0.50461</v>
      </c>
      <c r="E654" s="4">
        <f>IF(INT((C654-1)/12)+1&gt;'Lapse Table'!$A$11,E653,VLOOKUP(INT((C654-1)/12)+1,'Lapse Table'!$A$2:$B$11,2,FALSE))/12</f>
        <v>0</v>
      </c>
      <c r="F654" s="5">
        <f t="shared" si="98"/>
        <v>-5.945871532287506</v>
      </c>
      <c r="G654" s="6">
        <f t="shared" si="92"/>
        <v>4.2050833333333336E-2</v>
      </c>
      <c r="H654" s="6">
        <f t="shared" si="93"/>
        <v>0</v>
      </c>
      <c r="I654" s="7">
        <f t="shared" si="94"/>
        <v>-198.19571774291686</v>
      </c>
      <c r="J654" s="8">
        <f t="shared" si="95"/>
        <v>42050.833333333336</v>
      </c>
      <c r="K654" s="7">
        <f t="shared" si="96"/>
        <v>-42249.02905107625</v>
      </c>
      <c r="L654" s="4">
        <f>IF(A654&gt;'Yield Curve'!A1268,L653,(1+VLOOKUP(A654,'Yield Curve'!A647:B1269,2,FALSE))^(1/12)-1)</f>
        <v>7.9741404289037643E-3</v>
      </c>
      <c r="M654" s="5">
        <f t="shared" si="97"/>
        <v>-249.75288574975025</v>
      </c>
    </row>
    <row r="655" spans="1:13" x14ac:dyDescent="0.25">
      <c r="A655" s="4">
        <v>647</v>
      </c>
      <c r="B655" s="4">
        <f t="shared" si="90"/>
        <v>98</v>
      </c>
      <c r="C655" s="4">
        <f t="shared" si="91"/>
        <v>662</v>
      </c>
      <c r="D655" s="4">
        <f>IF(B655&gt;'Mortality Table'!$A$118,D654,VLOOKUP(B655,'Mortality Table'!$A$2:$B$118,2,FALSE))</f>
        <v>0.50461</v>
      </c>
      <c r="E655" s="4">
        <f>IF(INT((C655-1)/12)+1&gt;'Lapse Table'!$A$11,E654,VLOOKUP(INT((C655-1)/12)+1,'Lapse Table'!$A$2:$B$11,2,FALSE))/12</f>
        <v>0</v>
      </c>
      <c r="F655" s="5">
        <f t="shared" si="98"/>
        <v>-5.9879223656208396</v>
      </c>
      <c r="G655" s="6">
        <f t="shared" si="92"/>
        <v>4.2050833333333336E-2</v>
      </c>
      <c r="H655" s="6">
        <f t="shared" si="93"/>
        <v>0</v>
      </c>
      <c r="I655" s="7">
        <f t="shared" si="94"/>
        <v>-199.59741218736133</v>
      </c>
      <c r="J655" s="8">
        <f t="shared" si="95"/>
        <v>42050.833333333336</v>
      </c>
      <c r="K655" s="7">
        <f t="shared" si="96"/>
        <v>-42250.430745520694</v>
      </c>
      <c r="L655" s="4">
        <f>IF(A655&gt;'Yield Curve'!A1269,L654,(1+VLOOKUP(A655,'Yield Curve'!A648:B1270,2,FALSE))^(1/12)-1)</f>
        <v>7.9741404289037643E-3</v>
      </c>
      <c r="M655" s="5">
        <f t="shared" si="97"/>
        <v>-247.78529703703654</v>
      </c>
    </row>
    <row r="656" spans="1:13" x14ac:dyDescent="0.25">
      <c r="A656" s="4">
        <v>648</v>
      </c>
      <c r="B656" s="4">
        <f t="shared" si="90"/>
        <v>99</v>
      </c>
      <c r="C656" s="4">
        <f t="shared" si="91"/>
        <v>663</v>
      </c>
      <c r="D656" s="4">
        <f>IF(B656&gt;'Mortality Table'!$A$118,D655,VLOOKUP(B656,'Mortality Table'!$A$2:$B$118,2,FALSE))</f>
        <v>0.53495999999999999</v>
      </c>
      <c r="E656" s="4">
        <f>IF(INT((C656-1)/12)+1&gt;'Lapse Table'!$A$11,E655,VLOOKUP(INT((C656-1)/12)+1,'Lapse Table'!$A$2:$B$11,2,FALSE))/12</f>
        <v>0</v>
      </c>
      <c r="F656" s="5">
        <f t="shared" si="98"/>
        <v>-6.0325023656208394</v>
      </c>
      <c r="G656" s="6">
        <f t="shared" si="92"/>
        <v>4.4580000000000002E-2</v>
      </c>
      <c r="H656" s="6">
        <f t="shared" si="93"/>
        <v>0</v>
      </c>
      <c r="I656" s="7">
        <f t="shared" si="94"/>
        <v>-201.08341218736132</v>
      </c>
      <c r="J656" s="8">
        <f t="shared" si="95"/>
        <v>44580</v>
      </c>
      <c r="K656" s="7">
        <f t="shared" si="96"/>
        <v>-44781.083412187363</v>
      </c>
      <c r="L656" s="4">
        <f>IF(A656&gt;'Yield Curve'!A1270,L655,(1+VLOOKUP(A656,'Yield Curve'!A649:B1271,2,FALSE))^(1/12)-1)</f>
        <v>7.9741404289037643E-3</v>
      </c>
      <c r="M656" s="5">
        <f t="shared" si="97"/>
        <v>-260.549112354557</v>
      </c>
    </row>
    <row r="657" spans="1:13" x14ac:dyDescent="0.25">
      <c r="A657" s="4">
        <v>649</v>
      </c>
      <c r="B657" s="4">
        <f t="shared" si="90"/>
        <v>99</v>
      </c>
      <c r="C657" s="4">
        <f t="shared" si="91"/>
        <v>664</v>
      </c>
      <c r="D657" s="4">
        <f>IF(B657&gt;'Mortality Table'!$A$118,D656,VLOOKUP(B657,'Mortality Table'!$A$2:$B$118,2,FALSE))</f>
        <v>0.53495999999999999</v>
      </c>
      <c r="E657" s="4">
        <f>IF(INT((C657-1)/12)+1&gt;'Lapse Table'!$A$11,E656,VLOOKUP(INT((C657-1)/12)+1,'Lapse Table'!$A$2:$B$11,2,FALSE))/12</f>
        <v>0</v>
      </c>
      <c r="F657" s="5">
        <f t="shared" si="98"/>
        <v>-6.0770823656208393</v>
      </c>
      <c r="G657" s="6">
        <f t="shared" si="92"/>
        <v>4.4580000000000002E-2</v>
      </c>
      <c r="H657" s="6">
        <f t="shared" si="93"/>
        <v>0</v>
      </c>
      <c r="I657" s="7">
        <f t="shared" si="94"/>
        <v>-202.56941218736131</v>
      </c>
      <c r="J657" s="8">
        <f t="shared" si="95"/>
        <v>44580</v>
      </c>
      <c r="K657" s="7">
        <f t="shared" si="96"/>
        <v>-44782.56941218736</v>
      </c>
      <c r="L657" s="4">
        <f>IF(A657&gt;'Yield Curve'!A1271,L656,(1+VLOOKUP(A657,'Yield Curve'!A650:B1272,2,FALSE))^(1/12)-1)</f>
        <v>7.9741404289037643E-3</v>
      </c>
      <c r="M657" s="5">
        <f t="shared" si="97"/>
        <v>-258.49647116483669</v>
      </c>
    </row>
    <row r="658" spans="1:13" x14ac:dyDescent="0.25">
      <c r="A658" s="4">
        <v>650</v>
      </c>
      <c r="B658" s="4">
        <f t="shared" si="90"/>
        <v>99</v>
      </c>
      <c r="C658" s="4">
        <f t="shared" si="91"/>
        <v>665</v>
      </c>
      <c r="D658" s="4">
        <f>IF(B658&gt;'Mortality Table'!$A$118,D657,VLOOKUP(B658,'Mortality Table'!$A$2:$B$118,2,FALSE))</f>
        <v>0.53495999999999999</v>
      </c>
      <c r="E658" s="4">
        <f>IF(INT((C658-1)/12)+1&gt;'Lapse Table'!$A$11,E657,VLOOKUP(INT((C658-1)/12)+1,'Lapse Table'!$A$2:$B$11,2,FALSE))/12</f>
        <v>0</v>
      </c>
      <c r="F658" s="5">
        <f t="shared" si="98"/>
        <v>-6.1216623656208391</v>
      </c>
      <c r="G658" s="6">
        <f t="shared" si="92"/>
        <v>4.4580000000000002E-2</v>
      </c>
      <c r="H658" s="6">
        <f t="shared" si="93"/>
        <v>0</v>
      </c>
      <c r="I658" s="7">
        <f t="shared" si="94"/>
        <v>-204.0554121873613</v>
      </c>
      <c r="J658" s="8">
        <f t="shared" si="95"/>
        <v>44580</v>
      </c>
      <c r="K658" s="7">
        <f t="shared" si="96"/>
        <v>-44784.055412187365</v>
      </c>
      <c r="L658" s="4">
        <f>IF(A658&gt;'Yield Curve'!A1272,L657,(1+VLOOKUP(A658,'Yield Curve'!A651:B1273,2,FALSE))^(1/12)-1)</f>
        <v>7.9741404289037643E-3</v>
      </c>
      <c r="M658" s="5">
        <f t="shared" si="97"/>
        <v>-256.46000067798656</v>
      </c>
    </row>
    <row r="659" spans="1:13" x14ac:dyDescent="0.25">
      <c r="A659" s="4">
        <v>651</v>
      </c>
      <c r="B659" s="4">
        <f t="shared" si="90"/>
        <v>99</v>
      </c>
      <c r="C659" s="4">
        <f t="shared" si="91"/>
        <v>666</v>
      </c>
      <c r="D659" s="4">
        <f>IF(B659&gt;'Mortality Table'!$A$118,D658,VLOOKUP(B659,'Mortality Table'!$A$2:$B$118,2,FALSE))</f>
        <v>0.53495999999999999</v>
      </c>
      <c r="E659" s="4">
        <f>IF(INT((C659-1)/12)+1&gt;'Lapse Table'!$A$11,E658,VLOOKUP(INT((C659-1)/12)+1,'Lapse Table'!$A$2:$B$11,2,FALSE))/12</f>
        <v>0</v>
      </c>
      <c r="F659" s="5">
        <f t="shared" si="98"/>
        <v>-6.1662423656208389</v>
      </c>
      <c r="G659" s="6">
        <f t="shared" si="92"/>
        <v>4.4580000000000002E-2</v>
      </c>
      <c r="H659" s="6">
        <f t="shared" si="93"/>
        <v>0</v>
      </c>
      <c r="I659" s="7">
        <f t="shared" si="94"/>
        <v>-205.54141218736129</v>
      </c>
      <c r="J659" s="8">
        <f t="shared" si="95"/>
        <v>44580</v>
      </c>
      <c r="K659" s="7">
        <f t="shared" si="96"/>
        <v>-44785.541412187362</v>
      </c>
      <c r="L659" s="4">
        <f>IF(A659&gt;'Yield Curve'!A1273,L658,(1+VLOOKUP(A659,'Yield Curve'!A652:B1274,2,FALSE))^(1/12)-1)</f>
        <v>7.9741404289037643E-3</v>
      </c>
      <c r="M659" s="5">
        <f t="shared" si="97"/>
        <v>-254.43957350348757</v>
      </c>
    </row>
    <row r="660" spans="1:13" x14ac:dyDescent="0.25">
      <c r="A660" s="4">
        <v>652</v>
      </c>
      <c r="B660" s="4">
        <f t="shared" si="90"/>
        <v>99</v>
      </c>
      <c r="C660" s="4">
        <f t="shared" si="91"/>
        <v>667</v>
      </c>
      <c r="D660" s="4">
        <f>IF(B660&gt;'Mortality Table'!$A$118,D659,VLOOKUP(B660,'Mortality Table'!$A$2:$B$118,2,FALSE))</f>
        <v>0.53495999999999999</v>
      </c>
      <c r="E660" s="4">
        <f>IF(INT((C660-1)/12)+1&gt;'Lapse Table'!$A$11,E659,VLOOKUP(INT((C660-1)/12)+1,'Lapse Table'!$A$2:$B$11,2,FALSE))/12</f>
        <v>0</v>
      </c>
      <c r="F660" s="5">
        <f t="shared" si="98"/>
        <v>-6.2108223656208388</v>
      </c>
      <c r="G660" s="6">
        <f t="shared" si="92"/>
        <v>4.4580000000000002E-2</v>
      </c>
      <c r="H660" s="6">
        <f t="shared" si="93"/>
        <v>0</v>
      </c>
      <c r="I660" s="7">
        <f t="shared" si="94"/>
        <v>-207.02741218736128</v>
      </c>
      <c r="J660" s="8">
        <f t="shared" si="95"/>
        <v>44580</v>
      </c>
      <c r="K660" s="7">
        <f t="shared" si="96"/>
        <v>-44787.027412187359</v>
      </c>
      <c r="L660" s="4">
        <f>IF(A660&gt;'Yield Curve'!A1274,L659,(1+VLOOKUP(A660,'Yield Curve'!A653:B1275,2,FALSE))^(1/12)-1)</f>
        <v>7.9741404289037643E-3</v>
      </c>
      <c r="M660" s="5">
        <f t="shared" si="97"/>
        <v>-252.43506325436729</v>
      </c>
    </row>
    <row r="661" spans="1:13" x14ac:dyDescent="0.25">
      <c r="A661" s="4">
        <v>653</v>
      </c>
      <c r="B661" s="4">
        <f t="shared" si="90"/>
        <v>99</v>
      </c>
      <c r="C661" s="4">
        <f t="shared" si="91"/>
        <v>668</v>
      </c>
      <c r="D661" s="4">
        <f>IF(B661&gt;'Mortality Table'!$A$118,D660,VLOOKUP(B661,'Mortality Table'!$A$2:$B$118,2,FALSE))</f>
        <v>0.53495999999999999</v>
      </c>
      <c r="E661" s="4">
        <f>IF(INT((C661-1)/12)+1&gt;'Lapse Table'!$A$11,E660,VLOOKUP(INT((C661-1)/12)+1,'Lapse Table'!$A$2:$B$11,2,FALSE))/12</f>
        <v>0</v>
      </c>
      <c r="F661" s="5">
        <f t="shared" si="98"/>
        <v>-6.2554023656208386</v>
      </c>
      <c r="G661" s="6">
        <f t="shared" si="92"/>
        <v>4.4580000000000002E-2</v>
      </c>
      <c r="H661" s="6">
        <f t="shared" si="93"/>
        <v>0</v>
      </c>
      <c r="I661" s="7">
        <f t="shared" si="94"/>
        <v>-208.5134121873613</v>
      </c>
      <c r="J661" s="8">
        <f t="shared" si="95"/>
        <v>44580</v>
      </c>
      <c r="K661" s="7">
        <f t="shared" si="96"/>
        <v>-44788.513412187363</v>
      </c>
      <c r="L661" s="4">
        <f>IF(A661&gt;'Yield Curve'!A1275,L660,(1+VLOOKUP(A661,'Yield Curve'!A654:B1276,2,FALSE))^(1/12)-1)</f>
        <v>7.9741404289037643E-3</v>
      </c>
      <c r="M661" s="5">
        <f t="shared" si="97"/>
        <v>-250.4463445392947</v>
      </c>
    </row>
    <row r="662" spans="1:13" x14ac:dyDescent="0.25">
      <c r="A662" s="4">
        <v>654</v>
      </c>
      <c r="B662" s="4">
        <f t="shared" si="90"/>
        <v>99</v>
      </c>
      <c r="C662" s="4">
        <f t="shared" si="91"/>
        <v>669</v>
      </c>
      <c r="D662" s="4">
        <f>IF(B662&gt;'Mortality Table'!$A$118,D661,VLOOKUP(B662,'Mortality Table'!$A$2:$B$118,2,FALSE))</f>
        <v>0.53495999999999999</v>
      </c>
      <c r="E662" s="4">
        <f>IF(INT((C662-1)/12)+1&gt;'Lapse Table'!$A$11,E661,VLOOKUP(INT((C662-1)/12)+1,'Lapse Table'!$A$2:$B$11,2,FALSE))/12</f>
        <v>0</v>
      </c>
      <c r="F662" s="5">
        <f t="shared" si="98"/>
        <v>-6.2999823656208385</v>
      </c>
      <c r="G662" s="6">
        <f t="shared" si="92"/>
        <v>4.4580000000000002E-2</v>
      </c>
      <c r="H662" s="6">
        <f t="shared" si="93"/>
        <v>0</v>
      </c>
      <c r="I662" s="7">
        <f t="shared" si="94"/>
        <v>-209.99941218736129</v>
      </c>
      <c r="J662" s="8">
        <f t="shared" si="95"/>
        <v>44580</v>
      </c>
      <c r="K662" s="7">
        <f t="shared" si="96"/>
        <v>-44789.999412187361</v>
      </c>
      <c r="L662" s="4">
        <f>IF(A662&gt;'Yield Curve'!A1276,L661,(1+VLOOKUP(A662,'Yield Curve'!A655:B1277,2,FALSE))^(1/12)-1)</f>
        <v>7.9741404289037643E-3</v>
      </c>
      <c r="M662" s="5">
        <f t="shared" si="97"/>
        <v>-248.47329295473665</v>
      </c>
    </row>
    <row r="663" spans="1:13" x14ac:dyDescent="0.25">
      <c r="A663" s="4">
        <v>655</v>
      </c>
      <c r="B663" s="4">
        <f t="shared" si="90"/>
        <v>99</v>
      </c>
      <c r="C663" s="4">
        <f t="shared" si="91"/>
        <v>670</v>
      </c>
      <c r="D663" s="4">
        <f>IF(B663&gt;'Mortality Table'!$A$118,D662,VLOOKUP(B663,'Mortality Table'!$A$2:$B$118,2,FALSE))</f>
        <v>0.53495999999999999</v>
      </c>
      <c r="E663" s="4">
        <f>IF(INT((C663-1)/12)+1&gt;'Lapse Table'!$A$11,E662,VLOOKUP(INT((C663-1)/12)+1,'Lapse Table'!$A$2:$B$11,2,FALSE))/12</f>
        <v>0</v>
      </c>
      <c r="F663" s="5">
        <f t="shared" si="98"/>
        <v>-6.3445623656208383</v>
      </c>
      <c r="G663" s="6">
        <f t="shared" si="92"/>
        <v>4.4580000000000002E-2</v>
      </c>
      <c r="H663" s="6">
        <f t="shared" si="93"/>
        <v>0</v>
      </c>
      <c r="I663" s="7">
        <f t="shared" si="94"/>
        <v>-211.48541218736128</v>
      </c>
      <c r="J663" s="8">
        <f t="shared" si="95"/>
        <v>44580</v>
      </c>
      <c r="K663" s="7">
        <f t="shared" si="96"/>
        <v>-44791.485412187358</v>
      </c>
      <c r="L663" s="4">
        <f>IF(A663&gt;'Yield Curve'!A1277,L662,(1+VLOOKUP(A663,'Yield Curve'!A656:B1278,2,FALSE))^(1/12)-1)</f>
        <v>7.9741404289037643E-3</v>
      </c>
      <c r="M663" s="5">
        <f t="shared" si="97"/>
        <v>-246.51578507717639</v>
      </c>
    </row>
    <row r="664" spans="1:13" x14ac:dyDescent="0.25">
      <c r="A664" s="4">
        <v>656</v>
      </c>
      <c r="B664" s="4">
        <f t="shared" si="90"/>
        <v>99</v>
      </c>
      <c r="C664" s="4">
        <f t="shared" si="91"/>
        <v>671</v>
      </c>
      <c r="D664" s="4">
        <f>IF(B664&gt;'Mortality Table'!$A$118,D663,VLOOKUP(B664,'Mortality Table'!$A$2:$B$118,2,FALSE))</f>
        <v>0.53495999999999999</v>
      </c>
      <c r="E664" s="4">
        <f>IF(INT((C664-1)/12)+1&gt;'Lapse Table'!$A$11,E663,VLOOKUP(INT((C664-1)/12)+1,'Lapse Table'!$A$2:$B$11,2,FALSE))/12</f>
        <v>0</v>
      </c>
      <c r="F664" s="5">
        <f t="shared" si="98"/>
        <v>-6.3891423656208381</v>
      </c>
      <c r="G664" s="6">
        <f t="shared" si="92"/>
        <v>4.4580000000000002E-2</v>
      </c>
      <c r="H664" s="6">
        <f t="shared" si="93"/>
        <v>0</v>
      </c>
      <c r="I664" s="7">
        <f t="shared" si="94"/>
        <v>-212.97141218736127</v>
      </c>
      <c r="J664" s="8">
        <f t="shared" si="95"/>
        <v>44580</v>
      </c>
      <c r="K664" s="7">
        <f t="shared" si="96"/>
        <v>-44792.971412187362</v>
      </c>
      <c r="L664" s="4">
        <f>IF(A664&gt;'Yield Curve'!A1278,L663,(1+VLOOKUP(A664,'Yield Curve'!A657:B1279,2,FALSE))^(1/12)-1)</f>
        <v>7.9741404289037643E-3</v>
      </c>
      <c r="M664" s="5">
        <f t="shared" si="97"/>
        <v>-244.57369845539381</v>
      </c>
    </row>
    <row r="665" spans="1:13" x14ac:dyDescent="0.25">
      <c r="A665" s="4">
        <v>657</v>
      </c>
      <c r="B665" s="4">
        <f t="shared" si="90"/>
        <v>99</v>
      </c>
      <c r="C665" s="4">
        <f t="shared" si="91"/>
        <v>672</v>
      </c>
      <c r="D665" s="4">
        <f>IF(B665&gt;'Mortality Table'!$A$118,D664,VLOOKUP(B665,'Mortality Table'!$A$2:$B$118,2,FALSE))</f>
        <v>0.53495999999999999</v>
      </c>
      <c r="E665" s="4">
        <f>IF(INT((C665-1)/12)+1&gt;'Lapse Table'!$A$11,E664,VLOOKUP(INT((C665-1)/12)+1,'Lapse Table'!$A$2:$B$11,2,FALSE))/12</f>
        <v>0</v>
      </c>
      <c r="F665" s="5">
        <f t="shared" si="98"/>
        <v>-6.433722365620838</v>
      </c>
      <c r="G665" s="6">
        <f t="shared" si="92"/>
        <v>4.4580000000000002E-2</v>
      </c>
      <c r="H665" s="6">
        <f t="shared" si="93"/>
        <v>0</v>
      </c>
      <c r="I665" s="7">
        <f t="shared" si="94"/>
        <v>-214.45741218736126</v>
      </c>
      <c r="J665" s="8">
        <f t="shared" si="95"/>
        <v>44580</v>
      </c>
      <c r="K665" s="7">
        <f t="shared" si="96"/>
        <v>-44794.457412187359</v>
      </c>
      <c r="L665" s="4">
        <f>IF(A665&gt;'Yield Curve'!A1279,L664,(1+VLOOKUP(A665,'Yield Curve'!A658:B1280,2,FALSE))^(1/12)-1)</f>
        <v>7.9741404289037643E-3</v>
      </c>
      <c r="M665" s="5">
        <f t="shared" si="97"/>
        <v>-242.6469116028056</v>
      </c>
    </row>
    <row r="666" spans="1:13" x14ac:dyDescent="0.25">
      <c r="A666" s="4">
        <v>658</v>
      </c>
      <c r="B666" s="4">
        <f t="shared" si="90"/>
        <v>99</v>
      </c>
      <c r="C666" s="4">
        <f t="shared" si="91"/>
        <v>673</v>
      </c>
      <c r="D666" s="4">
        <f>IF(B666&gt;'Mortality Table'!$A$118,D665,VLOOKUP(B666,'Mortality Table'!$A$2:$B$118,2,FALSE))</f>
        <v>0.53495999999999999</v>
      </c>
      <c r="E666" s="4">
        <f>IF(INT((C666-1)/12)+1&gt;'Lapse Table'!$A$11,E665,VLOOKUP(INT((C666-1)/12)+1,'Lapse Table'!$A$2:$B$11,2,FALSE))/12</f>
        <v>0</v>
      </c>
      <c r="F666" s="5">
        <f t="shared" si="98"/>
        <v>-6.4783023656208378</v>
      </c>
      <c r="G666" s="6">
        <f t="shared" si="92"/>
        <v>4.4580000000000002E-2</v>
      </c>
      <c r="H666" s="6">
        <f t="shared" si="93"/>
        <v>0</v>
      </c>
      <c r="I666" s="7">
        <f t="shared" si="94"/>
        <v>-215.94341218736125</v>
      </c>
      <c r="J666" s="8">
        <f t="shared" si="95"/>
        <v>44580</v>
      </c>
      <c r="K666" s="7">
        <f t="shared" si="96"/>
        <v>-44795.943412187364</v>
      </c>
      <c r="L666" s="4">
        <f>IF(A666&gt;'Yield Curve'!A1280,L665,(1+VLOOKUP(A666,'Yield Curve'!A659:B1281,2,FALSE))^(1/12)-1)</f>
        <v>7.9741404289037643E-3</v>
      </c>
      <c r="M666" s="5">
        <f t="shared" si="97"/>
        <v>-240.73530398986662</v>
      </c>
    </row>
    <row r="667" spans="1:13" x14ac:dyDescent="0.25">
      <c r="A667" s="4">
        <v>659</v>
      </c>
      <c r="B667" s="4">
        <f t="shared" si="90"/>
        <v>99</v>
      </c>
      <c r="C667" s="4">
        <f t="shared" si="91"/>
        <v>674</v>
      </c>
      <c r="D667" s="4">
        <f>IF(B667&gt;'Mortality Table'!$A$118,D666,VLOOKUP(B667,'Mortality Table'!$A$2:$B$118,2,FALSE))</f>
        <v>0.53495999999999999</v>
      </c>
      <c r="E667" s="4">
        <f>IF(INT((C667-1)/12)+1&gt;'Lapse Table'!$A$11,E666,VLOOKUP(INT((C667-1)/12)+1,'Lapse Table'!$A$2:$B$11,2,FALSE))/12</f>
        <v>0</v>
      </c>
      <c r="F667" s="5">
        <f t="shared" si="98"/>
        <v>-6.5228823656208377</v>
      </c>
      <c r="G667" s="6">
        <f t="shared" si="92"/>
        <v>4.4580000000000002E-2</v>
      </c>
      <c r="H667" s="6">
        <f t="shared" si="93"/>
        <v>0</v>
      </c>
      <c r="I667" s="7">
        <f t="shared" si="94"/>
        <v>-217.42941218736124</v>
      </c>
      <c r="J667" s="8">
        <f t="shared" si="95"/>
        <v>44580</v>
      </c>
      <c r="K667" s="7">
        <f t="shared" si="96"/>
        <v>-44797.429412187361</v>
      </c>
      <c r="L667" s="4">
        <f>IF(A667&gt;'Yield Curve'!A1281,L666,(1+VLOOKUP(A667,'Yield Curve'!A660:B1282,2,FALSE))^(1/12)-1)</f>
        <v>7.9741404289037643E-3</v>
      </c>
      <c r="M667" s="5">
        <f t="shared" si="97"/>
        <v>-238.83875603653044</v>
      </c>
    </row>
    <row r="668" spans="1:13" x14ac:dyDescent="0.25">
      <c r="A668" s="4">
        <v>660</v>
      </c>
      <c r="B668" s="4">
        <f t="shared" si="90"/>
        <v>100</v>
      </c>
      <c r="C668" s="4">
        <f t="shared" si="91"/>
        <v>675</v>
      </c>
      <c r="D668" s="4">
        <f>IF(B668&gt;'Mortality Table'!$A$118,D667,VLOOKUP(B668,'Mortality Table'!$A$2:$B$118,2,FALSE))</f>
        <v>0.56591999999999998</v>
      </c>
      <c r="E668" s="4">
        <f>IF(INT((C668-1)/12)+1&gt;'Lapse Table'!$A$11,E667,VLOOKUP(INT((C668-1)/12)+1,'Lapse Table'!$A$2:$B$11,2,FALSE))/12</f>
        <v>0</v>
      </c>
      <c r="F668" s="5">
        <f t="shared" si="98"/>
        <v>-6.5700423656208375</v>
      </c>
      <c r="G668" s="6">
        <f t="shared" si="92"/>
        <v>4.7160000000000001E-2</v>
      </c>
      <c r="H668" s="6">
        <f t="shared" si="93"/>
        <v>0</v>
      </c>
      <c r="I668" s="7">
        <f t="shared" si="94"/>
        <v>-219.00141218736124</v>
      </c>
      <c r="J668" s="8">
        <f t="shared" si="95"/>
        <v>47160</v>
      </c>
      <c r="K668" s="7">
        <f t="shared" si="96"/>
        <v>-47379.001412187361</v>
      </c>
      <c r="L668" s="4">
        <f>IF(A668&gt;'Yield Curve'!A1282,L667,(1+VLOOKUP(A668,'Yield Curve'!A661:B1283,2,FALSE))^(1/12)-1)</f>
        <v>7.9741404289037643E-3</v>
      </c>
      <c r="M668" s="5">
        <f t="shared" si="97"/>
        <v>-250.60412732689903</v>
      </c>
    </row>
    <row r="669" spans="1:13" x14ac:dyDescent="0.25">
      <c r="A669" s="4">
        <v>661</v>
      </c>
      <c r="B669" s="4">
        <f t="shared" si="90"/>
        <v>100</v>
      </c>
      <c r="C669" s="4">
        <f t="shared" si="91"/>
        <v>676</v>
      </c>
      <c r="D669" s="4">
        <f>IF(B669&gt;'Mortality Table'!$A$118,D668,VLOOKUP(B669,'Mortality Table'!$A$2:$B$118,2,FALSE))</f>
        <v>0.56591999999999998</v>
      </c>
      <c r="E669" s="4">
        <f>IF(INT((C669-1)/12)+1&gt;'Lapse Table'!$A$11,E668,VLOOKUP(INT((C669-1)/12)+1,'Lapse Table'!$A$2:$B$11,2,FALSE))/12</f>
        <v>0</v>
      </c>
      <c r="F669" s="5">
        <f t="shared" si="98"/>
        <v>-6.6172023656208374</v>
      </c>
      <c r="G669" s="6">
        <f t="shared" si="92"/>
        <v>4.7160000000000001E-2</v>
      </c>
      <c r="H669" s="6">
        <f t="shared" si="93"/>
        <v>0</v>
      </c>
      <c r="I669" s="7">
        <f t="shared" si="94"/>
        <v>-220.57341218736124</v>
      </c>
      <c r="J669" s="8">
        <f t="shared" si="95"/>
        <v>47160</v>
      </c>
      <c r="K669" s="7">
        <f t="shared" si="96"/>
        <v>-47380.573412187361</v>
      </c>
      <c r="L669" s="4">
        <f>IF(A669&gt;'Yield Curve'!A1283,L668,(1+VLOOKUP(A669,'Yield Curve'!A662:B1284,2,FALSE))^(1/12)-1)</f>
        <v>7.9741404289037643E-3</v>
      </c>
      <c r="M669" s="5">
        <f t="shared" si="97"/>
        <v>-248.62983298228926</v>
      </c>
    </row>
    <row r="670" spans="1:13" x14ac:dyDescent="0.25">
      <c r="A670" s="4">
        <v>662</v>
      </c>
      <c r="B670" s="4">
        <f t="shared" si="90"/>
        <v>100</v>
      </c>
      <c r="C670" s="4">
        <f t="shared" si="91"/>
        <v>677</v>
      </c>
      <c r="D670" s="4">
        <f>IF(B670&gt;'Mortality Table'!$A$118,D669,VLOOKUP(B670,'Mortality Table'!$A$2:$B$118,2,FALSE))</f>
        <v>0.56591999999999998</v>
      </c>
      <c r="E670" s="4">
        <f>IF(INT((C670-1)/12)+1&gt;'Lapse Table'!$A$11,E669,VLOOKUP(INT((C670-1)/12)+1,'Lapse Table'!$A$2:$B$11,2,FALSE))/12</f>
        <v>0</v>
      </c>
      <c r="F670" s="5">
        <f t="shared" si="98"/>
        <v>-6.6643623656208373</v>
      </c>
      <c r="G670" s="6">
        <f t="shared" si="92"/>
        <v>4.7160000000000001E-2</v>
      </c>
      <c r="H670" s="6">
        <f t="shared" si="93"/>
        <v>0</v>
      </c>
      <c r="I670" s="7">
        <f t="shared" si="94"/>
        <v>-222.14541218736125</v>
      </c>
      <c r="J670" s="8">
        <f t="shared" si="95"/>
        <v>47160</v>
      </c>
      <c r="K670" s="7">
        <f t="shared" si="96"/>
        <v>-47382.145412187361</v>
      </c>
      <c r="L670" s="4">
        <f>IF(A670&gt;'Yield Curve'!A1284,L669,(1+VLOOKUP(A670,'Yield Curve'!A663:B1285,2,FALSE))^(1/12)-1)</f>
        <v>7.9741404289037643E-3</v>
      </c>
      <c r="M670" s="5">
        <f t="shared" si="97"/>
        <v>-246.67109213296089</v>
      </c>
    </row>
    <row r="671" spans="1:13" x14ac:dyDescent="0.25">
      <c r="A671" s="4">
        <v>663</v>
      </c>
      <c r="B671" s="4">
        <f t="shared" si="90"/>
        <v>100</v>
      </c>
      <c r="C671" s="4">
        <f t="shared" si="91"/>
        <v>678</v>
      </c>
      <c r="D671" s="4">
        <f>IF(B671&gt;'Mortality Table'!$A$118,D670,VLOOKUP(B671,'Mortality Table'!$A$2:$B$118,2,FALSE))</f>
        <v>0.56591999999999998</v>
      </c>
      <c r="E671" s="4">
        <f>IF(INT((C671-1)/12)+1&gt;'Lapse Table'!$A$11,E670,VLOOKUP(INT((C671-1)/12)+1,'Lapse Table'!$A$2:$B$11,2,FALSE))/12</f>
        <v>0</v>
      </c>
      <c r="F671" s="5">
        <f t="shared" si="98"/>
        <v>-6.7115223656208371</v>
      </c>
      <c r="G671" s="6">
        <f t="shared" si="92"/>
        <v>4.7160000000000001E-2</v>
      </c>
      <c r="H671" s="6">
        <f t="shared" si="93"/>
        <v>0</v>
      </c>
      <c r="I671" s="7">
        <f t="shared" si="94"/>
        <v>-223.71741218736125</v>
      </c>
      <c r="J671" s="8">
        <f t="shared" si="95"/>
        <v>47160</v>
      </c>
      <c r="K671" s="7">
        <f t="shared" si="96"/>
        <v>-47383.717412187361</v>
      </c>
      <c r="L671" s="4">
        <f>IF(A671&gt;'Yield Curve'!A1285,L670,(1+VLOOKUP(A671,'Yield Curve'!A664:B1286,2,FALSE))^(1/12)-1)</f>
        <v>7.9741404289037643E-3</v>
      </c>
      <c r="M671" s="5">
        <f t="shared" si="97"/>
        <v>-244.72778225060011</v>
      </c>
    </row>
    <row r="672" spans="1:13" x14ac:dyDescent="0.25">
      <c r="A672" s="4">
        <v>664</v>
      </c>
      <c r="B672" s="4">
        <f t="shared" si="90"/>
        <v>100</v>
      </c>
      <c r="C672" s="4">
        <f t="shared" si="91"/>
        <v>679</v>
      </c>
      <c r="D672" s="4">
        <f>IF(B672&gt;'Mortality Table'!$A$118,D671,VLOOKUP(B672,'Mortality Table'!$A$2:$B$118,2,FALSE))</f>
        <v>0.56591999999999998</v>
      </c>
      <c r="E672" s="4">
        <f>IF(INT((C672-1)/12)+1&gt;'Lapse Table'!$A$11,E671,VLOOKUP(INT((C672-1)/12)+1,'Lapse Table'!$A$2:$B$11,2,FALSE))/12</f>
        <v>0</v>
      </c>
      <c r="F672" s="5">
        <f t="shared" si="98"/>
        <v>-6.758682365620837</v>
      </c>
      <c r="G672" s="6">
        <f t="shared" si="92"/>
        <v>4.7160000000000001E-2</v>
      </c>
      <c r="H672" s="6">
        <f t="shared" si="93"/>
        <v>0</v>
      </c>
      <c r="I672" s="7">
        <f t="shared" si="94"/>
        <v>-225.28941218736122</v>
      </c>
      <c r="J672" s="8">
        <f t="shared" si="95"/>
        <v>47160</v>
      </c>
      <c r="K672" s="7">
        <f t="shared" si="96"/>
        <v>-47385.289412187361</v>
      </c>
      <c r="L672" s="4">
        <f>IF(A672&gt;'Yield Curve'!A1286,L671,(1+VLOOKUP(A672,'Yield Curve'!A665:B1287,2,FALSE))^(1/12)-1)</f>
        <v>7.9741404289037643E-3</v>
      </c>
      <c r="M672" s="5">
        <f t="shared" si="97"/>
        <v>-242.79978177213746</v>
      </c>
    </row>
    <row r="673" spans="1:13" x14ac:dyDescent="0.25">
      <c r="A673" s="4">
        <v>665</v>
      </c>
      <c r="B673" s="4">
        <f t="shared" si="90"/>
        <v>100</v>
      </c>
      <c r="C673" s="4">
        <f t="shared" si="91"/>
        <v>680</v>
      </c>
      <c r="D673" s="4">
        <f>IF(B673&gt;'Mortality Table'!$A$118,D672,VLOOKUP(B673,'Mortality Table'!$A$2:$B$118,2,FALSE))</f>
        <v>0.56591999999999998</v>
      </c>
      <c r="E673" s="4">
        <f>IF(INT((C673-1)/12)+1&gt;'Lapse Table'!$A$11,E672,VLOOKUP(INT((C673-1)/12)+1,'Lapse Table'!$A$2:$B$11,2,FALSE))/12</f>
        <v>0</v>
      </c>
      <c r="F673" s="5">
        <f t="shared" si="98"/>
        <v>-6.8058423656208369</v>
      </c>
      <c r="G673" s="6">
        <f t="shared" si="92"/>
        <v>4.7160000000000001E-2</v>
      </c>
      <c r="H673" s="6">
        <f t="shared" si="93"/>
        <v>0</v>
      </c>
      <c r="I673" s="7">
        <f t="shared" si="94"/>
        <v>-226.86141218736122</v>
      </c>
      <c r="J673" s="8">
        <f t="shared" si="95"/>
        <v>47160</v>
      </c>
      <c r="K673" s="7">
        <f t="shared" si="96"/>
        <v>-47386.861412187362</v>
      </c>
      <c r="L673" s="4">
        <f>IF(A673&gt;'Yield Curve'!A1287,L672,(1+VLOOKUP(A673,'Yield Curve'!A666:B1288,2,FALSE))^(1/12)-1)</f>
        <v>7.9741404289037643E-3</v>
      </c>
      <c r="M673" s="5">
        <f t="shared" si="97"/>
        <v>-240.88697009214394</v>
      </c>
    </row>
    <row r="674" spans="1:13" x14ac:dyDescent="0.25">
      <c r="A674" s="4">
        <v>666</v>
      </c>
      <c r="B674" s="4">
        <f t="shared" si="90"/>
        <v>100</v>
      </c>
      <c r="C674" s="4">
        <f t="shared" si="91"/>
        <v>681</v>
      </c>
      <c r="D674" s="4">
        <f>IF(B674&gt;'Mortality Table'!$A$118,D673,VLOOKUP(B674,'Mortality Table'!$A$2:$B$118,2,FALSE))</f>
        <v>0.56591999999999998</v>
      </c>
      <c r="E674" s="4">
        <f>IF(INT((C674-1)/12)+1&gt;'Lapse Table'!$A$11,E673,VLOOKUP(INT((C674-1)/12)+1,'Lapse Table'!$A$2:$B$11,2,FALSE))/12</f>
        <v>0</v>
      </c>
      <c r="F674" s="5">
        <f t="shared" si="98"/>
        <v>-6.8530023656208368</v>
      </c>
      <c r="G674" s="6">
        <f t="shared" si="92"/>
        <v>4.7160000000000001E-2</v>
      </c>
      <c r="H674" s="6">
        <f t="shared" si="93"/>
        <v>0</v>
      </c>
      <c r="I674" s="7">
        <f t="shared" si="94"/>
        <v>-228.43341218736123</v>
      </c>
      <c r="J674" s="8">
        <f t="shared" si="95"/>
        <v>47160</v>
      </c>
      <c r="K674" s="7">
        <f t="shared" si="96"/>
        <v>-47388.433412187362</v>
      </c>
      <c r="L674" s="4">
        <f>IF(A674&gt;'Yield Curve'!A1288,L673,(1+VLOOKUP(A674,'Yield Curve'!A667:B1289,2,FALSE))^(1/12)-1)</f>
        <v>7.9741404289037643E-3</v>
      </c>
      <c r="M674" s="5">
        <f t="shared" si="97"/>
        <v>-238.9892275552869</v>
      </c>
    </row>
    <row r="675" spans="1:13" x14ac:dyDescent="0.25">
      <c r="A675" s="4">
        <v>667</v>
      </c>
      <c r="B675" s="4">
        <f t="shared" si="90"/>
        <v>100</v>
      </c>
      <c r="C675" s="4">
        <f t="shared" si="91"/>
        <v>682</v>
      </c>
      <c r="D675" s="4">
        <f>IF(B675&gt;'Mortality Table'!$A$118,D674,VLOOKUP(B675,'Mortality Table'!$A$2:$B$118,2,FALSE))</f>
        <v>0.56591999999999998</v>
      </c>
      <c r="E675" s="4">
        <f>IF(INT((C675-1)/12)+1&gt;'Lapse Table'!$A$11,E674,VLOOKUP(INT((C675-1)/12)+1,'Lapse Table'!$A$2:$B$11,2,FALSE))/12</f>
        <v>0</v>
      </c>
      <c r="F675" s="5">
        <f t="shared" si="98"/>
        <v>-6.9001623656208366</v>
      </c>
      <c r="G675" s="6">
        <f t="shared" si="92"/>
        <v>4.7160000000000001E-2</v>
      </c>
      <c r="H675" s="6">
        <f t="shared" si="93"/>
        <v>0</v>
      </c>
      <c r="I675" s="7">
        <f t="shared" si="94"/>
        <v>-230.00541218736123</v>
      </c>
      <c r="J675" s="8">
        <f t="shared" si="95"/>
        <v>47160</v>
      </c>
      <c r="K675" s="7">
        <f t="shared" si="96"/>
        <v>-47390.005412187362</v>
      </c>
      <c r="L675" s="4">
        <f>IF(A675&gt;'Yield Curve'!A1289,L674,(1+VLOOKUP(A675,'Yield Curve'!A668:B1290,2,FALSE))^(1/12)-1)</f>
        <v>7.9741404289037643E-3</v>
      </c>
      <c r="M675" s="5">
        <f t="shared" si="97"/>
        <v>-237.10643544884596</v>
      </c>
    </row>
    <row r="676" spans="1:13" x14ac:dyDescent="0.25">
      <c r="A676" s="4">
        <v>668</v>
      </c>
      <c r="B676" s="4">
        <f t="shared" si="90"/>
        <v>100</v>
      </c>
      <c r="C676" s="4">
        <f t="shared" si="91"/>
        <v>683</v>
      </c>
      <c r="D676" s="4">
        <f>IF(B676&gt;'Mortality Table'!$A$118,D675,VLOOKUP(B676,'Mortality Table'!$A$2:$B$118,2,FALSE))</f>
        <v>0.56591999999999998</v>
      </c>
      <c r="E676" s="4">
        <f>IF(INT((C676-1)/12)+1&gt;'Lapse Table'!$A$11,E675,VLOOKUP(INT((C676-1)/12)+1,'Lapse Table'!$A$2:$B$11,2,FALSE))/12</f>
        <v>0</v>
      </c>
      <c r="F676" s="5">
        <f t="shared" si="98"/>
        <v>-6.9473223656208365</v>
      </c>
      <c r="G676" s="6">
        <f t="shared" si="92"/>
        <v>4.7160000000000001E-2</v>
      </c>
      <c r="H676" s="6">
        <f t="shared" si="93"/>
        <v>0</v>
      </c>
      <c r="I676" s="7">
        <f t="shared" si="94"/>
        <v>-231.57741218736123</v>
      </c>
      <c r="J676" s="8">
        <f t="shared" si="95"/>
        <v>47160</v>
      </c>
      <c r="K676" s="7">
        <f t="shared" si="96"/>
        <v>-47391.577412187362</v>
      </c>
      <c r="L676" s="4">
        <f>IF(A676&gt;'Yield Curve'!A1290,L675,(1+VLOOKUP(A676,'Yield Curve'!A669:B1291,2,FALSE))^(1/12)-1)</f>
        <v>7.9741404289037643E-3</v>
      </c>
      <c r="M676" s="5">
        <f t="shared" si="97"/>
        <v>-235.2384759952871</v>
      </c>
    </row>
    <row r="677" spans="1:13" x14ac:dyDescent="0.25">
      <c r="A677" s="4">
        <v>669</v>
      </c>
      <c r="B677" s="4">
        <f t="shared" si="90"/>
        <v>100</v>
      </c>
      <c r="C677" s="4">
        <f t="shared" si="91"/>
        <v>684</v>
      </c>
      <c r="D677" s="4">
        <f>IF(B677&gt;'Mortality Table'!$A$118,D676,VLOOKUP(B677,'Mortality Table'!$A$2:$B$118,2,FALSE))</f>
        <v>0.56591999999999998</v>
      </c>
      <c r="E677" s="4">
        <f>IF(INT((C677-1)/12)+1&gt;'Lapse Table'!$A$11,E676,VLOOKUP(INT((C677-1)/12)+1,'Lapse Table'!$A$2:$B$11,2,FALSE))/12</f>
        <v>0</v>
      </c>
      <c r="F677" s="5">
        <f t="shared" si="98"/>
        <v>-6.9944823656208364</v>
      </c>
      <c r="G677" s="6">
        <f t="shared" si="92"/>
        <v>4.7160000000000001E-2</v>
      </c>
      <c r="H677" s="6">
        <f t="shared" si="93"/>
        <v>0</v>
      </c>
      <c r="I677" s="7">
        <f t="shared" si="94"/>
        <v>-233.14941218736121</v>
      </c>
      <c r="J677" s="8">
        <f t="shared" si="95"/>
        <v>47160</v>
      </c>
      <c r="K677" s="7">
        <f t="shared" si="96"/>
        <v>-47393.149412187362</v>
      </c>
      <c r="L677" s="4">
        <f>IF(A677&gt;'Yield Curve'!A1291,L676,(1+VLOOKUP(A677,'Yield Curve'!A670:B1292,2,FALSE))^(1/12)-1)</f>
        <v>7.9741404289037643E-3</v>
      </c>
      <c r="M677" s="5">
        <f t="shared" si="97"/>
        <v>-233.38523234489591</v>
      </c>
    </row>
    <row r="678" spans="1:13" x14ac:dyDescent="0.25">
      <c r="A678" s="4">
        <v>670</v>
      </c>
      <c r="B678" s="4">
        <f t="shared" si="90"/>
        <v>100</v>
      </c>
      <c r="C678" s="4">
        <f t="shared" si="91"/>
        <v>685</v>
      </c>
      <c r="D678" s="4">
        <f>IF(B678&gt;'Mortality Table'!$A$118,D677,VLOOKUP(B678,'Mortality Table'!$A$2:$B$118,2,FALSE))</f>
        <v>0.56591999999999998</v>
      </c>
      <c r="E678" s="4">
        <f>IF(INT((C678-1)/12)+1&gt;'Lapse Table'!$A$11,E677,VLOOKUP(INT((C678-1)/12)+1,'Lapse Table'!$A$2:$B$11,2,FALSE))/12</f>
        <v>0</v>
      </c>
      <c r="F678" s="5">
        <f t="shared" si="98"/>
        <v>-7.0416423656208362</v>
      </c>
      <c r="G678" s="6">
        <f t="shared" si="92"/>
        <v>4.7160000000000001E-2</v>
      </c>
      <c r="H678" s="6">
        <f t="shared" si="93"/>
        <v>0</v>
      </c>
      <c r="I678" s="7">
        <f t="shared" si="94"/>
        <v>-234.72141218736121</v>
      </c>
      <c r="J678" s="8">
        <f t="shared" si="95"/>
        <v>47160</v>
      </c>
      <c r="K678" s="7">
        <f t="shared" si="96"/>
        <v>-47394.721412187362</v>
      </c>
      <c r="L678" s="4">
        <f>IF(A678&gt;'Yield Curve'!A1292,L677,(1+VLOOKUP(A678,'Yield Curve'!A671:B1293,2,FALSE))^(1/12)-1)</f>
        <v>7.9741404289037643E-3</v>
      </c>
      <c r="M678" s="5">
        <f t="shared" si="97"/>
        <v>-231.54658856846859</v>
      </c>
    </row>
    <row r="679" spans="1:13" x14ac:dyDescent="0.25">
      <c r="A679" s="4">
        <v>671</v>
      </c>
      <c r="B679" s="4">
        <f t="shared" si="90"/>
        <v>100</v>
      </c>
      <c r="C679" s="4">
        <f t="shared" si="91"/>
        <v>686</v>
      </c>
      <c r="D679" s="4">
        <f>IF(B679&gt;'Mortality Table'!$A$118,D678,VLOOKUP(B679,'Mortality Table'!$A$2:$B$118,2,FALSE))</f>
        <v>0.56591999999999998</v>
      </c>
      <c r="E679" s="4">
        <f>IF(INT((C679-1)/12)+1&gt;'Lapse Table'!$A$11,E678,VLOOKUP(INT((C679-1)/12)+1,'Lapse Table'!$A$2:$B$11,2,FALSE))/12</f>
        <v>0</v>
      </c>
      <c r="F679" s="5">
        <f t="shared" si="98"/>
        <v>-7.0888023656208361</v>
      </c>
      <c r="G679" s="6">
        <f t="shared" si="92"/>
        <v>4.7160000000000001E-2</v>
      </c>
      <c r="H679" s="6">
        <f t="shared" si="93"/>
        <v>0</v>
      </c>
      <c r="I679" s="7">
        <f t="shared" si="94"/>
        <v>-236.29341218736121</v>
      </c>
      <c r="J679" s="8">
        <f t="shared" si="95"/>
        <v>47160</v>
      </c>
      <c r="K679" s="7">
        <f t="shared" si="96"/>
        <v>-47396.293412187362</v>
      </c>
      <c r="L679" s="4">
        <f>IF(A679&gt;'Yield Curve'!A1293,L678,(1+VLOOKUP(A679,'Yield Curve'!A672:B1294,2,FALSE))^(1/12)-1)</f>
        <v>7.9741404289037643E-3</v>
      </c>
      <c r="M679" s="5">
        <f t="shared" si="97"/>
        <v>-229.72242965006035</v>
      </c>
    </row>
    <row r="680" spans="1:13" x14ac:dyDescent="0.25">
      <c r="A680" s="4">
        <v>672</v>
      </c>
      <c r="B680" s="4">
        <f t="shared" si="90"/>
        <v>101</v>
      </c>
      <c r="C680" s="4">
        <f t="shared" si="91"/>
        <v>687</v>
      </c>
      <c r="D680" s="4">
        <f>IF(B680&gt;'Mortality Table'!$A$118,D679,VLOOKUP(B680,'Mortality Table'!$A$2:$B$118,2,FALSE))</f>
        <v>0.59733000000000003</v>
      </c>
      <c r="E680" s="4">
        <f>IF(INT((C680-1)/12)+1&gt;'Lapse Table'!$A$11,E679,VLOOKUP(INT((C680-1)/12)+1,'Lapse Table'!$A$2:$B$11,2,FALSE))/12</f>
        <v>0</v>
      </c>
      <c r="F680" s="5">
        <f t="shared" si="98"/>
        <v>-7.1385798656208364</v>
      </c>
      <c r="G680" s="6">
        <f t="shared" si="92"/>
        <v>4.9777500000000002E-2</v>
      </c>
      <c r="H680" s="6">
        <f t="shared" si="93"/>
        <v>0</v>
      </c>
      <c r="I680" s="7">
        <f t="shared" si="94"/>
        <v>-237.9526621873612</v>
      </c>
      <c r="J680" s="8">
        <f t="shared" si="95"/>
        <v>49777.5</v>
      </c>
      <c r="K680" s="7">
        <f t="shared" si="96"/>
        <v>-50015.452662187359</v>
      </c>
      <c r="L680" s="4">
        <f>IF(A680&gt;'Yield Curve'!A1294,L679,(1+VLOOKUP(A680,'Yield Curve'!A673:B1295,2,FALSE))^(1/12)-1)</f>
        <v>7.9741404289037643E-3</v>
      </c>
      <c r="M680" s="5">
        <f t="shared" si="97"/>
        <v>-240.49931008318208</v>
      </c>
    </row>
    <row r="681" spans="1:13" x14ac:dyDescent="0.25">
      <c r="A681" s="4">
        <v>673</v>
      </c>
      <c r="B681" s="4">
        <f t="shared" si="90"/>
        <v>101</v>
      </c>
      <c r="C681" s="4">
        <f t="shared" si="91"/>
        <v>688</v>
      </c>
      <c r="D681" s="4">
        <f>IF(B681&gt;'Mortality Table'!$A$118,D680,VLOOKUP(B681,'Mortality Table'!$A$2:$B$118,2,FALSE))</f>
        <v>0.59733000000000003</v>
      </c>
      <c r="E681" s="4">
        <f>IF(INT((C681-1)/12)+1&gt;'Lapse Table'!$A$11,E680,VLOOKUP(INT((C681-1)/12)+1,'Lapse Table'!$A$2:$B$11,2,FALSE))/12</f>
        <v>0</v>
      </c>
      <c r="F681" s="5">
        <f t="shared" si="98"/>
        <v>-7.1883573656208366</v>
      </c>
      <c r="G681" s="6">
        <f t="shared" si="92"/>
        <v>4.9777500000000002E-2</v>
      </c>
      <c r="H681" s="6">
        <f t="shared" si="93"/>
        <v>0</v>
      </c>
      <c r="I681" s="7">
        <f t="shared" si="94"/>
        <v>-239.61191218736121</v>
      </c>
      <c r="J681" s="8">
        <f t="shared" si="95"/>
        <v>49777.5</v>
      </c>
      <c r="K681" s="7">
        <f t="shared" si="96"/>
        <v>-50017.111912187363</v>
      </c>
      <c r="L681" s="4">
        <f>IF(A681&gt;'Yield Curve'!A1295,L680,(1+VLOOKUP(A681,'Yield Curve'!A674:B1296,2,FALSE))^(1/12)-1)</f>
        <v>7.9741404289037643E-3</v>
      </c>
      <c r="M681" s="5">
        <f t="shared" si="97"/>
        <v>-238.60462182558206</v>
      </c>
    </row>
    <row r="682" spans="1:13" x14ac:dyDescent="0.25">
      <c r="A682" s="4">
        <v>674</v>
      </c>
      <c r="B682" s="4">
        <f t="shared" si="90"/>
        <v>101</v>
      </c>
      <c r="C682" s="4">
        <f t="shared" si="91"/>
        <v>689</v>
      </c>
      <c r="D682" s="4">
        <f>IF(B682&gt;'Mortality Table'!$A$118,D681,VLOOKUP(B682,'Mortality Table'!$A$2:$B$118,2,FALSE))</f>
        <v>0.59733000000000003</v>
      </c>
      <c r="E682" s="4">
        <f>IF(INT((C682-1)/12)+1&gt;'Lapse Table'!$A$11,E681,VLOOKUP(INT((C682-1)/12)+1,'Lapse Table'!$A$2:$B$11,2,FALSE))/12</f>
        <v>0</v>
      </c>
      <c r="F682" s="5">
        <f t="shared" si="98"/>
        <v>-7.2381348656208369</v>
      </c>
      <c r="G682" s="6">
        <f t="shared" si="92"/>
        <v>4.9777500000000002E-2</v>
      </c>
      <c r="H682" s="6">
        <f t="shared" si="93"/>
        <v>0</v>
      </c>
      <c r="I682" s="7">
        <f t="shared" si="94"/>
        <v>-241.27116218736123</v>
      </c>
      <c r="J682" s="8">
        <f t="shared" si="95"/>
        <v>49777.5</v>
      </c>
      <c r="K682" s="7">
        <f t="shared" si="96"/>
        <v>-50018.77116218736</v>
      </c>
      <c r="L682" s="4">
        <f>IF(A682&gt;'Yield Curve'!A1296,L681,(1+VLOOKUP(A682,'Yield Curve'!A675:B1297,2,FALSE))^(1/12)-1)</f>
        <v>7.9741404289037643E-3</v>
      </c>
      <c r="M682" s="5">
        <f t="shared" si="97"/>
        <v>-236.72485993487641</v>
      </c>
    </row>
    <row r="683" spans="1:13" x14ac:dyDescent="0.25">
      <c r="A683" s="4">
        <v>675</v>
      </c>
      <c r="B683" s="4">
        <f t="shared" si="90"/>
        <v>101</v>
      </c>
      <c r="C683" s="4">
        <f t="shared" si="91"/>
        <v>690</v>
      </c>
      <c r="D683" s="4">
        <f>IF(B683&gt;'Mortality Table'!$A$118,D682,VLOOKUP(B683,'Mortality Table'!$A$2:$B$118,2,FALSE))</f>
        <v>0.59733000000000003</v>
      </c>
      <c r="E683" s="4">
        <f>IF(INT((C683-1)/12)+1&gt;'Lapse Table'!$A$11,E682,VLOOKUP(INT((C683-1)/12)+1,'Lapse Table'!$A$2:$B$11,2,FALSE))/12</f>
        <v>0</v>
      </c>
      <c r="F683" s="5">
        <f t="shared" si="98"/>
        <v>-7.2879123656208371</v>
      </c>
      <c r="G683" s="6">
        <f t="shared" si="92"/>
        <v>4.9777500000000002E-2</v>
      </c>
      <c r="H683" s="6">
        <f t="shared" si="93"/>
        <v>0</v>
      </c>
      <c r="I683" s="7">
        <f t="shared" si="94"/>
        <v>-242.93041218736121</v>
      </c>
      <c r="J683" s="8">
        <f t="shared" si="95"/>
        <v>49777.5</v>
      </c>
      <c r="K683" s="7">
        <f t="shared" si="96"/>
        <v>-50020.430412187365</v>
      </c>
      <c r="L683" s="4">
        <f>IF(A683&gt;'Yield Curve'!A1297,L682,(1+VLOOKUP(A683,'Yield Curve'!A676:B1298,2,FALSE))^(1/12)-1)</f>
        <v>7.9741404289037643E-3</v>
      </c>
      <c r="M683" s="5">
        <f t="shared" si="97"/>
        <v>-234.85990682311564</v>
      </c>
    </row>
    <row r="684" spans="1:13" x14ac:dyDescent="0.25">
      <c r="A684" s="4">
        <v>676</v>
      </c>
      <c r="B684" s="4">
        <f t="shared" si="90"/>
        <v>101</v>
      </c>
      <c r="C684" s="4">
        <f t="shared" si="91"/>
        <v>691</v>
      </c>
      <c r="D684" s="4">
        <f>IF(B684&gt;'Mortality Table'!$A$118,D683,VLOOKUP(B684,'Mortality Table'!$A$2:$B$118,2,FALSE))</f>
        <v>0.59733000000000003</v>
      </c>
      <c r="E684" s="4">
        <f>IF(INT((C684-1)/12)+1&gt;'Lapse Table'!$A$11,E683,VLOOKUP(INT((C684-1)/12)+1,'Lapse Table'!$A$2:$B$11,2,FALSE))/12</f>
        <v>0</v>
      </c>
      <c r="F684" s="5">
        <f t="shared" si="98"/>
        <v>-7.3376898656208374</v>
      </c>
      <c r="G684" s="6">
        <f t="shared" si="92"/>
        <v>4.9777500000000002E-2</v>
      </c>
      <c r="H684" s="6">
        <f t="shared" si="93"/>
        <v>0</v>
      </c>
      <c r="I684" s="7">
        <f t="shared" si="94"/>
        <v>-244.58966218736123</v>
      </c>
      <c r="J684" s="8">
        <f t="shared" si="95"/>
        <v>49777.5</v>
      </c>
      <c r="K684" s="7">
        <f t="shared" si="96"/>
        <v>-50022.089662187362</v>
      </c>
      <c r="L684" s="4">
        <f>IF(A684&gt;'Yield Curve'!A1298,L683,(1+VLOOKUP(A684,'Yield Curve'!A677:B1299,2,FALSE))^(1/12)-1)</f>
        <v>7.9741404289037643E-3</v>
      </c>
      <c r="M684" s="5">
        <f t="shared" si="97"/>
        <v>-233.0096458286757</v>
      </c>
    </row>
    <row r="685" spans="1:13" x14ac:dyDescent="0.25">
      <c r="A685" s="4">
        <v>677</v>
      </c>
      <c r="B685" s="4">
        <f t="shared" si="90"/>
        <v>101</v>
      </c>
      <c r="C685" s="4">
        <f t="shared" si="91"/>
        <v>692</v>
      </c>
      <c r="D685" s="4">
        <f>IF(B685&gt;'Mortality Table'!$A$118,D684,VLOOKUP(B685,'Mortality Table'!$A$2:$B$118,2,FALSE))</f>
        <v>0.59733000000000003</v>
      </c>
      <c r="E685" s="4">
        <f>IF(INT((C685-1)/12)+1&gt;'Lapse Table'!$A$11,E684,VLOOKUP(INT((C685-1)/12)+1,'Lapse Table'!$A$2:$B$11,2,FALSE))/12</f>
        <v>0</v>
      </c>
      <c r="F685" s="5">
        <f t="shared" si="98"/>
        <v>-7.3874673656208376</v>
      </c>
      <c r="G685" s="6">
        <f t="shared" si="92"/>
        <v>4.9777500000000002E-2</v>
      </c>
      <c r="H685" s="6">
        <f t="shared" si="93"/>
        <v>0</v>
      </c>
      <c r="I685" s="7">
        <f t="shared" si="94"/>
        <v>-246.24891218736127</v>
      </c>
      <c r="J685" s="8">
        <f t="shared" si="95"/>
        <v>49777.5</v>
      </c>
      <c r="K685" s="7">
        <f t="shared" si="96"/>
        <v>-50023.748912187359</v>
      </c>
      <c r="L685" s="4">
        <f>IF(A685&gt;'Yield Curve'!A1299,L684,(1+VLOOKUP(A685,'Yield Curve'!A678:B1300,2,FALSE))^(1/12)-1)</f>
        <v>7.9741404289037643E-3</v>
      </c>
      <c r="M685" s="5">
        <f t="shared" si="97"/>
        <v>-231.17396120896166</v>
      </c>
    </row>
    <row r="686" spans="1:13" x14ac:dyDescent="0.25">
      <c r="A686" s="4">
        <v>678</v>
      </c>
      <c r="B686" s="4">
        <f t="shared" si="90"/>
        <v>101</v>
      </c>
      <c r="C686" s="4">
        <f t="shared" si="91"/>
        <v>693</v>
      </c>
      <c r="D686" s="4">
        <f>IF(B686&gt;'Mortality Table'!$A$118,D685,VLOOKUP(B686,'Mortality Table'!$A$2:$B$118,2,FALSE))</f>
        <v>0.59733000000000003</v>
      </c>
      <c r="E686" s="4">
        <f>IF(INT((C686-1)/12)+1&gt;'Lapse Table'!$A$11,E685,VLOOKUP(INT((C686-1)/12)+1,'Lapse Table'!$A$2:$B$11,2,FALSE))/12</f>
        <v>0</v>
      </c>
      <c r="F686" s="5">
        <f t="shared" si="98"/>
        <v>-7.4372448656208379</v>
      </c>
      <c r="G686" s="6">
        <f t="shared" si="92"/>
        <v>4.9777500000000002E-2</v>
      </c>
      <c r="H686" s="6">
        <f t="shared" si="93"/>
        <v>0</v>
      </c>
      <c r="I686" s="7">
        <f t="shared" si="94"/>
        <v>-247.90816218736128</v>
      </c>
      <c r="J686" s="8">
        <f t="shared" si="95"/>
        <v>49777.5</v>
      </c>
      <c r="K686" s="7">
        <f t="shared" si="96"/>
        <v>-50025.408162187363</v>
      </c>
      <c r="L686" s="4">
        <f>IF(A686&gt;'Yield Curve'!A1300,L685,(1+VLOOKUP(A686,'Yield Curve'!A679:B1301,2,FALSE))^(1/12)-1)</f>
        <v>7.9741404289037643E-3</v>
      </c>
      <c r="M686" s="5">
        <f t="shared" si="97"/>
        <v>-229.35273813316749</v>
      </c>
    </row>
    <row r="687" spans="1:13" x14ac:dyDescent="0.25">
      <c r="A687" s="4">
        <v>679</v>
      </c>
      <c r="B687" s="4">
        <f t="shared" si="90"/>
        <v>101</v>
      </c>
      <c r="C687" s="4">
        <f t="shared" si="91"/>
        <v>694</v>
      </c>
      <c r="D687" s="4">
        <f>IF(B687&gt;'Mortality Table'!$A$118,D686,VLOOKUP(B687,'Mortality Table'!$A$2:$B$118,2,FALSE))</f>
        <v>0.59733000000000003</v>
      </c>
      <c r="E687" s="4">
        <f>IF(INT((C687-1)/12)+1&gt;'Lapse Table'!$A$11,E686,VLOOKUP(INT((C687-1)/12)+1,'Lapse Table'!$A$2:$B$11,2,FALSE))/12</f>
        <v>0</v>
      </c>
      <c r="F687" s="5">
        <f t="shared" si="98"/>
        <v>-7.4870223656208381</v>
      </c>
      <c r="G687" s="6">
        <f t="shared" si="92"/>
        <v>4.9777500000000002E-2</v>
      </c>
      <c r="H687" s="6">
        <f t="shared" si="93"/>
        <v>0</v>
      </c>
      <c r="I687" s="7">
        <f t="shared" si="94"/>
        <v>-249.56741218736127</v>
      </c>
      <c r="J687" s="8">
        <f t="shared" si="95"/>
        <v>49777.5</v>
      </c>
      <c r="K687" s="7">
        <f t="shared" si="96"/>
        <v>-50027.06741218736</v>
      </c>
      <c r="L687" s="4">
        <f>IF(A687&gt;'Yield Curve'!A1301,L686,(1+VLOOKUP(A687,'Yield Curve'!A680:B1302,2,FALSE))^(1/12)-1)</f>
        <v>7.9741404289037643E-3</v>
      </c>
      <c r="M687" s="5">
        <f t="shared" si="97"/>
        <v>-227.54586267509333</v>
      </c>
    </row>
    <row r="688" spans="1:13" x14ac:dyDescent="0.25">
      <c r="A688" s="4">
        <v>680</v>
      </c>
      <c r="B688" s="4">
        <f t="shared" si="90"/>
        <v>101</v>
      </c>
      <c r="C688" s="4">
        <f t="shared" si="91"/>
        <v>695</v>
      </c>
      <c r="D688" s="4">
        <f>IF(B688&gt;'Mortality Table'!$A$118,D687,VLOOKUP(B688,'Mortality Table'!$A$2:$B$118,2,FALSE))</f>
        <v>0.59733000000000003</v>
      </c>
      <c r="E688" s="4">
        <f>IF(INT((C688-1)/12)+1&gt;'Lapse Table'!$A$11,E687,VLOOKUP(INT((C688-1)/12)+1,'Lapse Table'!$A$2:$B$11,2,FALSE))/12</f>
        <v>0</v>
      </c>
      <c r="F688" s="5">
        <f t="shared" si="98"/>
        <v>-7.5367998656208384</v>
      </c>
      <c r="G688" s="6">
        <f t="shared" si="92"/>
        <v>4.9777500000000002E-2</v>
      </c>
      <c r="H688" s="6">
        <f t="shared" si="93"/>
        <v>0</v>
      </c>
      <c r="I688" s="7">
        <f t="shared" si="94"/>
        <v>-251.22666218736128</v>
      </c>
      <c r="J688" s="8">
        <f t="shared" si="95"/>
        <v>49777.5</v>
      </c>
      <c r="K688" s="7">
        <f t="shared" si="96"/>
        <v>-50028.726662187364</v>
      </c>
      <c r="L688" s="4">
        <f>IF(A688&gt;'Yield Curve'!A1302,L687,(1+VLOOKUP(A688,'Yield Curve'!A681:B1303,2,FALSE))^(1/12)-1)</f>
        <v>7.9741404289037643E-3</v>
      </c>
      <c r="M688" s="5">
        <f t="shared" si="97"/>
        <v>-225.75322180601938</v>
      </c>
    </row>
    <row r="689" spans="1:13" x14ac:dyDescent="0.25">
      <c r="A689" s="4">
        <v>681</v>
      </c>
      <c r="B689" s="4">
        <f t="shared" si="90"/>
        <v>101</v>
      </c>
      <c r="C689" s="4">
        <f t="shared" si="91"/>
        <v>696</v>
      </c>
      <c r="D689" s="4">
        <f>IF(B689&gt;'Mortality Table'!$A$118,D688,VLOOKUP(B689,'Mortality Table'!$A$2:$B$118,2,FALSE))</f>
        <v>0.59733000000000003</v>
      </c>
      <c r="E689" s="4">
        <f>IF(INT((C689-1)/12)+1&gt;'Lapse Table'!$A$11,E688,VLOOKUP(INT((C689-1)/12)+1,'Lapse Table'!$A$2:$B$11,2,FALSE))/12</f>
        <v>0</v>
      </c>
      <c r="F689" s="5">
        <f t="shared" si="98"/>
        <v>-7.5865773656208386</v>
      </c>
      <c r="G689" s="6">
        <f t="shared" si="92"/>
        <v>4.9777500000000002E-2</v>
      </c>
      <c r="H689" s="6">
        <f t="shared" si="93"/>
        <v>0</v>
      </c>
      <c r="I689" s="7">
        <f t="shared" si="94"/>
        <v>-252.8859121873613</v>
      </c>
      <c r="J689" s="8">
        <f t="shared" si="95"/>
        <v>49777.5</v>
      </c>
      <c r="K689" s="7">
        <f t="shared" si="96"/>
        <v>-50030.385912187361</v>
      </c>
      <c r="L689" s="4">
        <f>IF(A689&gt;'Yield Curve'!A1303,L688,(1+VLOOKUP(A689,'Yield Curve'!A682:B1304,2,FALSE))^(1/12)-1)</f>
        <v>7.9741404289037643E-3</v>
      </c>
      <c r="M689" s="5">
        <f t="shared" si="97"/>
        <v>-223.97470338763625</v>
      </c>
    </row>
    <row r="690" spans="1:13" x14ac:dyDescent="0.25">
      <c r="A690" s="4">
        <v>682</v>
      </c>
      <c r="B690" s="4">
        <f t="shared" si="90"/>
        <v>101</v>
      </c>
      <c r="C690" s="4">
        <f t="shared" si="91"/>
        <v>697</v>
      </c>
      <c r="D690" s="4">
        <f>IF(B690&gt;'Mortality Table'!$A$118,D689,VLOOKUP(B690,'Mortality Table'!$A$2:$B$118,2,FALSE))</f>
        <v>0.59733000000000003</v>
      </c>
      <c r="E690" s="4">
        <f>IF(INT((C690-1)/12)+1&gt;'Lapse Table'!$A$11,E689,VLOOKUP(INT((C690-1)/12)+1,'Lapse Table'!$A$2:$B$11,2,FALSE))/12</f>
        <v>0</v>
      </c>
      <c r="F690" s="5">
        <f t="shared" si="98"/>
        <v>-7.6363548656208389</v>
      </c>
      <c r="G690" s="6">
        <f t="shared" si="92"/>
        <v>4.9777500000000002E-2</v>
      </c>
      <c r="H690" s="6">
        <f t="shared" si="93"/>
        <v>0</v>
      </c>
      <c r="I690" s="7">
        <f t="shared" si="94"/>
        <v>-254.54516218736129</v>
      </c>
      <c r="J690" s="8">
        <f t="shared" si="95"/>
        <v>49777.5</v>
      </c>
      <c r="K690" s="7">
        <f t="shared" si="96"/>
        <v>-50032.045162187358</v>
      </c>
      <c r="L690" s="4">
        <f>IF(A690&gt;'Yield Curve'!A1304,L689,(1+VLOOKUP(A690,'Yield Curve'!A683:B1305,2,FALSE))^(1/12)-1)</f>
        <v>7.9741404289037643E-3</v>
      </c>
      <c r="M690" s="5">
        <f t="shared" si="97"/>
        <v>-222.2101961650304</v>
      </c>
    </row>
    <row r="691" spans="1:13" x14ac:dyDescent="0.25">
      <c r="A691" s="4">
        <v>683</v>
      </c>
      <c r="B691" s="4">
        <f t="shared" si="90"/>
        <v>101</v>
      </c>
      <c r="C691" s="4">
        <f t="shared" si="91"/>
        <v>698</v>
      </c>
      <c r="D691" s="4">
        <f>IF(B691&gt;'Mortality Table'!$A$118,D690,VLOOKUP(B691,'Mortality Table'!$A$2:$B$118,2,FALSE))</f>
        <v>0.59733000000000003</v>
      </c>
      <c r="E691" s="4">
        <f>IF(INT((C691-1)/12)+1&gt;'Lapse Table'!$A$11,E690,VLOOKUP(INT((C691-1)/12)+1,'Lapse Table'!$A$2:$B$11,2,FALSE))/12</f>
        <v>0</v>
      </c>
      <c r="F691" s="5">
        <f t="shared" si="98"/>
        <v>-7.6861323656208391</v>
      </c>
      <c r="G691" s="6">
        <f t="shared" si="92"/>
        <v>4.9777500000000002E-2</v>
      </c>
      <c r="H691" s="6">
        <f t="shared" si="93"/>
        <v>0</v>
      </c>
      <c r="I691" s="7">
        <f t="shared" si="94"/>
        <v>-256.2044121873613</v>
      </c>
      <c r="J691" s="8">
        <f t="shared" si="95"/>
        <v>49777.5</v>
      </c>
      <c r="K691" s="7">
        <f t="shared" si="96"/>
        <v>-50033.704412187362</v>
      </c>
      <c r="L691" s="4">
        <f>IF(A691&gt;'Yield Curve'!A1305,L690,(1+VLOOKUP(A691,'Yield Curve'!A684:B1306,2,FALSE))^(1/12)-1)</f>
        <v>7.9741404289037643E-3</v>
      </c>
      <c r="M691" s="5">
        <f t="shared" si="97"/>
        <v>-220.45958975972499</v>
      </c>
    </row>
    <row r="692" spans="1:13" x14ac:dyDescent="0.25">
      <c r="A692" s="4">
        <v>684</v>
      </c>
      <c r="B692" s="4">
        <f t="shared" si="90"/>
        <v>102</v>
      </c>
      <c r="C692" s="4">
        <f t="shared" si="91"/>
        <v>699</v>
      </c>
      <c r="D692" s="4">
        <f>IF(B692&gt;'Mortality Table'!$A$118,D691,VLOOKUP(B692,'Mortality Table'!$A$2:$B$118,2,FALSE))</f>
        <v>0.59733000000000003</v>
      </c>
      <c r="E692" s="4">
        <f>IF(INT((C692-1)/12)+1&gt;'Lapse Table'!$A$11,E691,VLOOKUP(INT((C692-1)/12)+1,'Lapse Table'!$A$2:$B$11,2,FALSE))/12</f>
        <v>0</v>
      </c>
      <c r="F692" s="5">
        <f t="shared" si="98"/>
        <v>-7.7359098656208394</v>
      </c>
      <c r="G692" s="6">
        <f t="shared" si="92"/>
        <v>4.9777500000000002E-2</v>
      </c>
      <c r="H692" s="6">
        <f t="shared" si="93"/>
        <v>0</v>
      </c>
      <c r="I692" s="7">
        <f t="shared" si="94"/>
        <v>-257.86366218736129</v>
      </c>
      <c r="J692" s="8">
        <f t="shared" si="95"/>
        <v>49777.5</v>
      </c>
      <c r="K692" s="7">
        <f t="shared" si="96"/>
        <v>-50035.363662187359</v>
      </c>
      <c r="L692" s="4">
        <f>IF(A692&gt;'Yield Curve'!A1306,L691,(1+VLOOKUP(A692,'Yield Curve'!A685:B1307,2,FALSE))^(1/12)-1)</f>
        <v>7.9741404289037643E-3</v>
      </c>
      <c r="M692" s="5">
        <f t="shared" si="97"/>
        <v>-218.72277466277586</v>
      </c>
    </row>
    <row r="693" spans="1:13" x14ac:dyDescent="0.25">
      <c r="A693" s="4">
        <v>685</v>
      </c>
      <c r="B693" s="4">
        <f t="shared" si="90"/>
        <v>102</v>
      </c>
      <c r="C693" s="4">
        <f t="shared" si="91"/>
        <v>700</v>
      </c>
      <c r="D693" s="4">
        <f>IF(B693&gt;'Mortality Table'!$A$118,D692,VLOOKUP(B693,'Mortality Table'!$A$2:$B$118,2,FALSE))</f>
        <v>0.59733000000000003</v>
      </c>
      <c r="E693" s="4">
        <f>IF(INT((C693-1)/12)+1&gt;'Lapse Table'!$A$11,E692,VLOOKUP(INT((C693-1)/12)+1,'Lapse Table'!$A$2:$B$11,2,FALSE))/12</f>
        <v>0</v>
      </c>
      <c r="F693" s="5">
        <f t="shared" si="98"/>
        <v>-7.7856873656208396</v>
      </c>
      <c r="G693" s="6">
        <f t="shared" si="92"/>
        <v>4.9777500000000002E-2</v>
      </c>
      <c r="H693" s="6">
        <f t="shared" si="93"/>
        <v>0</v>
      </c>
      <c r="I693" s="7">
        <f t="shared" si="94"/>
        <v>-259.52291218736133</v>
      </c>
      <c r="J693" s="8">
        <f t="shared" si="95"/>
        <v>49777.5</v>
      </c>
      <c r="K693" s="7">
        <f t="shared" si="96"/>
        <v>-50037.022912187364</v>
      </c>
      <c r="L693" s="4">
        <f>IF(A693&gt;'Yield Curve'!A1307,L692,(1+VLOOKUP(A693,'Yield Curve'!A686:B1308,2,FALSE))^(1/12)-1)</f>
        <v>7.9741404289037643E-3</v>
      </c>
      <c r="M693" s="5">
        <f t="shared" si="97"/>
        <v>-216.9996422279219</v>
      </c>
    </row>
    <row r="694" spans="1:13" x14ac:dyDescent="0.25">
      <c r="A694" s="4">
        <v>686</v>
      </c>
      <c r="B694" s="4">
        <f t="shared" si="90"/>
        <v>102</v>
      </c>
      <c r="C694" s="4">
        <f t="shared" si="91"/>
        <v>701</v>
      </c>
      <c r="D694" s="4">
        <f>IF(B694&gt;'Mortality Table'!$A$118,D693,VLOOKUP(B694,'Mortality Table'!$A$2:$B$118,2,FALSE))</f>
        <v>0.59733000000000003</v>
      </c>
      <c r="E694" s="4">
        <f>IF(INT((C694-1)/12)+1&gt;'Lapse Table'!$A$11,E693,VLOOKUP(INT((C694-1)/12)+1,'Lapse Table'!$A$2:$B$11,2,FALSE))/12</f>
        <v>0</v>
      </c>
      <c r="F694" s="5">
        <f t="shared" si="98"/>
        <v>-7.8354648656208399</v>
      </c>
      <c r="G694" s="6">
        <f t="shared" si="92"/>
        <v>4.9777500000000002E-2</v>
      </c>
      <c r="H694" s="6">
        <f t="shared" si="93"/>
        <v>0</v>
      </c>
      <c r="I694" s="7">
        <f t="shared" si="94"/>
        <v>-261.18216218736131</v>
      </c>
      <c r="J694" s="8">
        <f t="shared" si="95"/>
        <v>49777.5</v>
      </c>
      <c r="K694" s="7">
        <f t="shared" si="96"/>
        <v>-50038.682162187361</v>
      </c>
      <c r="L694" s="4">
        <f>IF(A694&gt;'Yield Curve'!A1308,L693,(1+VLOOKUP(A694,'Yield Curve'!A687:B1309,2,FALSE))^(1/12)-1)</f>
        <v>7.9741404289037643E-3</v>
      </c>
      <c r="M694" s="5">
        <f t="shared" si="97"/>
        <v>-215.29008466478857</v>
      </c>
    </row>
    <row r="695" spans="1:13" x14ac:dyDescent="0.25">
      <c r="A695" s="4">
        <v>687</v>
      </c>
      <c r="B695" s="4">
        <f t="shared" si="90"/>
        <v>102</v>
      </c>
      <c r="C695" s="4">
        <f t="shared" si="91"/>
        <v>702</v>
      </c>
      <c r="D695" s="4">
        <f>IF(B695&gt;'Mortality Table'!$A$118,D694,VLOOKUP(B695,'Mortality Table'!$A$2:$B$118,2,FALSE))</f>
        <v>0.59733000000000003</v>
      </c>
      <c r="E695" s="4">
        <f>IF(INT((C695-1)/12)+1&gt;'Lapse Table'!$A$11,E694,VLOOKUP(INT((C695-1)/12)+1,'Lapse Table'!$A$2:$B$11,2,FALSE))/12</f>
        <v>0</v>
      </c>
      <c r="F695" s="5">
        <f t="shared" si="98"/>
        <v>-7.8852423656208401</v>
      </c>
      <c r="G695" s="6">
        <f t="shared" si="92"/>
        <v>4.9777500000000002E-2</v>
      </c>
      <c r="H695" s="6">
        <f t="shared" si="93"/>
        <v>0</v>
      </c>
      <c r="I695" s="7">
        <f t="shared" si="94"/>
        <v>-262.84141218736136</v>
      </c>
      <c r="J695" s="8">
        <f t="shared" si="95"/>
        <v>49777.5</v>
      </c>
      <c r="K695" s="7">
        <f t="shared" si="96"/>
        <v>-50040.341412187365</v>
      </c>
      <c r="L695" s="4">
        <f>IF(A695&gt;'Yield Curve'!A1309,L694,(1+VLOOKUP(A695,'Yield Curve'!A688:B1310,2,FALSE))^(1/12)-1)</f>
        <v>7.9741404289037643E-3</v>
      </c>
      <c r="M695" s="5">
        <f t="shared" si="97"/>
        <v>-213.59399503214615</v>
      </c>
    </row>
    <row r="696" spans="1:13" x14ac:dyDescent="0.25">
      <c r="A696" s="4">
        <v>688</v>
      </c>
      <c r="B696" s="4">
        <f t="shared" si="90"/>
        <v>102</v>
      </c>
      <c r="C696" s="4">
        <f t="shared" si="91"/>
        <v>703</v>
      </c>
      <c r="D696" s="4">
        <f>IF(B696&gt;'Mortality Table'!$A$118,D695,VLOOKUP(B696,'Mortality Table'!$A$2:$B$118,2,FALSE))</f>
        <v>0.59733000000000003</v>
      </c>
      <c r="E696" s="4">
        <f>IF(INT((C696-1)/12)+1&gt;'Lapse Table'!$A$11,E695,VLOOKUP(INT((C696-1)/12)+1,'Lapse Table'!$A$2:$B$11,2,FALSE))/12</f>
        <v>0</v>
      </c>
      <c r="F696" s="5">
        <f t="shared" si="98"/>
        <v>-7.9350198656208404</v>
      </c>
      <c r="G696" s="6">
        <f t="shared" si="92"/>
        <v>4.9777500000000002E-2</v>
      </c>
      <c r="H696" s="6">
        <f t="shared" si="93"/>
        <v>0</v>
      </c>
      <c r="I696" s="7">
        <f t="shared" si="94"/>
        <v>-264.50066218736134</v>
      </c>
      <c r="J696" s="8">
        <f t="shared" si="95"/>
        <v>49777.5</v>
      </c>
      <c r="K696" s="7">
        <f t="shared" si="96"/>
        <v>-50042.000662187362</v>
      </c>
      <c r="L696" s="4">
        <f>IF(A696&gt;'Yield Curve'!A1310,L695,(1+VLOOKUP(A696,'Yield Curve'!A689:B1311,2,FALSE))^(1/12)-1)</f>
        <v>7.9741404289037643E-3</v>
      </c>
      <c r="M696" s="5">
        <f t="shared" si="97"/>
        <v>-211.91126723122022</v>
      </c>
    </row>
    <row r="697" spans="1:13" x14ac:dyDescent="0.25">
      <c r="A697" s="4">
        <v>689</v>
      </c>
      <c r="B697" s="4">
        <f t="shared" si="90"/>
        <v>102</v>
      </c>
      <c r="C697" s="4">
        <f t="shared" si="91"/>
        <v>704</v>
      </c>
      <c r="D697" s="4">
        <f>IF(B697&gt;'Mortality Table'!$A$118,D696,VLOOKUP(B697,'Mortality Table'!$A$2:$B$118,2,FALSE))</f>
        <v>0.59733000000000003</v>
      </c>
      <c r="E697" s="4">
        <f>IF(INT((C697-1)/12)+1&gt;'Lapse Table'!$A$11,E696,VLOOKUP(INT((C697-1)/12)+1,'Lapse Table'!$A$2:$B$11,2,FALSE))/12</f>
        <v>0</v>
      </c>
      <c r="F697" s="5">
        <f t="shared" si="98"/>
        <v>-7.9847973656208406</v>
      </c>
      <c r="G697" s="6">
        <f t="shared" si="92"/>
        <v>4.9777500000000002E-2</v>
      </c>
      <c r="H697" s="6">
        <f t="shared" si="93"/>
        <v>0</v>
      </c>
      <c r="I697" s="7">
        <f t="shared" si="94"/>
        <v>-266.15991218736139</v>
      </c>
      <c r="J697" s="8">
        <f t="shared" si="95"/>
        <v>49777.5</v>
      </c>
      <c r="K697" s="7">
        <f t="shared" si="96"/>
        <v>-50043.659912187359</v>
      </c>
      <c r="L697" s="4">
        <f>IF(A697&gt;'Yield Curve'!A1311,L696,(1+VLOOKUP(A697,'Yield Curve'!A690:B1312,2,FALSE))^(1/12)-1)</f>
        <v>7.9741404289037643E-3</v>
      </c>
      <c r="M697" s="5">
        <f t="shared" si="97"/>
        <v>-210.24179599905528</v>
      </c>
    </row>
    <row r="698" spans="1:13" x14ac:dyDescent="0.25">
      <c r="A698" s="4">
        <v>690</v>
      </c>
      <c r="B698" s="4">
        <f t="shared" si="90"/>
        <v>102</v>
      </c>
      <c r="C698" s="4">
        <f t="shared" si="91"/>
        <v>705</v>
      </c>
      <c r="D698" s="4">
        <f>IF(B698&gt;'Mortality Table'!$A$118,D697,VLOOKUP(B698,'Mortality Table'!$A$2:$B$118,2,FALSE))</f>
        <v>0.59733000000000003</v>
      </c>
      <c r="E698" s="4">
        <f>IF(INT((C698-1)/12)+1&gt;'Lapse Table'!$A$11,E697,VLOOKUP(INT((C698-1)/12)+1,'Lapse Table'!$A$2:$B$11,2,FALSE))/12</f>
        <v>0</v>
      </c>
      <c r="F698" s="5">
        <f t="shared" si="98"/>
        <v>-8.03457486562084</v>
      </c>
      <c r="G698" s="6">
        <f t="shared" si="92"/>
        <v>4.9777500000000002E-2</v>
      </c>
      <c r="H698" s="6">
        <f t="shared" si="93"/>
        <v>0</v>
      </c>
      <c r="I698" s="7">
        <f t="shared" si="94"/>
        <v>-267.81916218736131</v>
      </c>
      <c r="J698" s="8">
        <f t="shared" si="95"/>
        <v>49777.5</v>
      </c>
      <c r="K698" s="7">
        <f t="shared" si="96"/>
        <v>-50045.319162187363</v>
      </c>
      <c r="L698" s="4">
        <f>IF(A698&gt;'Yield Curve'!A1312,L697,(1+VLOOKUP(A698,'Yield Curve'!A691:B1313,2,FALSE))^(1/12)-1)</f>
        <v>7.9741404289037643E-3</v>
      </c>
      <c r="M698" s="5">
        <f t="shared" si="97"/>
        <v>-208.5854769019306</v>
      </c>
    </row>
    <row r="699" spans="1:13" x14ac:dyDescent="0.25">
      <c r="A699" s="4">
        <v>691</v>
      </c>
      <c r="B699" s="4">
        <f t="shared" si="90"/>
        <v>102</v>
      </c>
      <c r="C699" s="4">
        <f t="shared" si="91"/>
        <v>706</v>
      </c>
      <c r="D699" s="4">
        <f>IF(B699&gt;'Mortality Table'!$A$118,D698,VLOOKUP(B699,'Mortality Table'!$A$2:$B$118,2,FALSE))</f>
        <v>0.59733000000000003</v>
      </c>
      <c r="E699" s="4">
        <f>IF(INT((C699-1)/12)+1&gt;'Lapse Table'!$A$11,E698,VLOOKUP(INT((C699-1)/12)+1,'Lapse Table'!$A$2:$B$11,2,FALSE))/12</f>
        <v>0</v>
      </c>
      <c r="F699" s="5">
        <f t="shared" si="98"/>
        <v>-8.0843523656208394</v>
      </c>
      <c r="G699" s="6">
        <f t="shared" si="92"/>
        <v>4.9777500000000002E-2</v>
      </c>
      <c r="H699" s="6">
        <f t="shared" si="93"/>
        <v>0</v>
      </c>
      <c r="I699" s="7">
        <f t="shared" si="94"/>
        <v>-269.4784121873613</v>
      </c>
      <c r="J699" s="8">
        <f t="shared" si="95"/>
        <v>49777.5</v>
      </c>
      <c r="K699" s="7">
        <f t="shared" si="96"/>
        <v>-50046.97841218736</v>
      </c>
      <c r="L699" s="4">
        <f>IF(A699&gt;'Yield Curve'!A1313,L698,(1+VLOOKUP(A699,'Yield Curve'!A692:B1314,2,FALSE))^(1/12)-1)</f>
        <v>7.9741404289037643E-3</v>
      </c>
      <c r="M699" s="5">
        <f t="shared" si="97"/>
        <v>-206.94220632882744</v>
      </c>
    </row>
    <row r="700" spans="1:13" x14ac:dyDescent="0.25">
      <c r="A700" s="4">
        <v>692</v>
      </c>
      <c r="B700" s="4">
        <f t="shared" si="90"/>
        <v>102</v>
      </c>
      <c r="C700" s="4">
        <f t="shared" si="91"/>
        <v>707</v>
      </c>
      <c r="D700" s="4">
        <f>IF(B700&gt;'Mortality Table'!$A$118,D699,VLOOKUP(B700,'Mortality Table'!$A$2:$B$118,2,FALSE))</f>
        <v>0.59733000000000003</v>
      </c>
      <c r="E700" s="4">
        <f>IF(INT((C700-1)/12)+1&gt;'Lapse Table'!$A$11,E699,VLOOKUP(INT((C700-1)/12)+1,'Lapse Table'!$A$2:$B$11,2,FALSE))/12</f>
        <v>0</v>
      </c>
      <c r="F700" s="5">
        <f t="shared" si="98"/>
        <v>-8.1341298656208387</v>
      </c>
      <c r="G700" s="6">
        <f t="shared" si="92"/>
        <v>4.9777500000000002E-2</v>
      </c>
      <c r="H700" s="6">
        <f t="shared" si="93"/>
        <v>0</v>
      </c>
      <c r="I700" s="7">
        <f t="shared" si="94"/>
        <v>-271.13766218736129</v>
      </c>
      <c r="J700" s="8">
        <f t="shared" si="95"/>
        <v>49777.5</v>
      </c>
      <c r="K700" s="7">
        <f t="shared" si="96"/>
        <v>-50048.637662187364</v>
      </c>
      <c r="L700" s="4">
        <f>IF(A700&gt;'Yield Curve'!A1314,L699,(1+VLOOKUP(A700,'Yield Curve'!A693:B1315,2,FALSE))^(1/12)-1)</f>
        <v>7.9741404289037643E-3</v>
      </c>
      <c r="M700" s="5">
        <f t="shared" si="97"/>
        <v>-205.31188148494834</v>
      </c>
    </row>
    <row r="701" spans="1:13" x14ac:dyDescent="0.25">
      <c r="A701" s="4">
        <v>693</v>
      </c>
      <c r="B701" s="4">
        <f t="shared" si="90"/>
        <v>102</v>
      </c>
      <c r="C701" s="4">
        <f t="shared" si="91"/>
        <v>708</v>
      </c>
      <c r="D701" s="4">
        <f>IF(B701&gt;'Mortality Table'!$A$118,D700,VLOOKUP(B701,'Mortality Table'!$A$2:$B$118,2,FALSE))</f>
        <v>0.59733000000000003</v>
      </c>
      <c r="E701" s="4">
        <f>IF(INT((C701-1)/12)+1&gt;'Lapse Table'!$A$11,E700,VLOOKUP(INT((C701-1)/12)+1,'Lapse Table'!$A$2:$B$11,2,FALSE))/12</f>
        <v>0</v>
      </c>
      <c r="F701" s="5">
        <f t="shared" si="98"/>
        <v>-8.1839073656208381</v>
      </c>
      <c r="G701" s="6">
        <f t="shared" si="92"/>
        <v>4.9777500000000002E-2</v>
      </c>
      <c r="H701" s="6">
        <f t="shared" si="93"/>
        <v>0</v>
      </c>
      <c r="I701" s="7">
        <f t="shared" si="94"/>
        <v>-272.79691218736127</v>
      </c>
      <c r="J701" s="8">
        <f t="shared" si="95"/>
        <v>49777.5</v>
      </c>
      <c r="K701" s="7">
        <f t="shared" si="96"/>
        <v>-50050.296912187361</v>
      </c>
      <c r="L701" s="4">
        <f>IF(A701&gt;'Yield Curve'!A1315,L700,(1+VLOOKUP(A701,'Yield Curve'!A694:B1316,2,FALSE))^(1/12)-1)</f>
        <v>7.9741404289037643E-3</v>
      </c>
      <c r="M701" s="5">
        <f t="shared" si="97"/>
        <v>-203.69440038528739</v>
      </c>
    </row>
    <row r="702" spans="1:13" x14ac:dyDescent="0.25">
      <c r="A702" s="4">
        <v>694</v>
      </c>
      <c r="B702" s="4">
        <f t="shared" si="90"/>
        <v>102</v>
      </c>
      <c r="C702" s="4">
        <f t="shared" si="91"/>
        <v>709</v>
      </c>
      <c r="D702" s="4">
        <f>IF(B702&gt;'Mortality Table'!$A$118,D701,VLOOKUP(B702,'Mortality Table'!$A$2:$B$118,2,FALSE))</f>
        <v>0.59733000000000003</v>
      </c>
      <c r="E702" s="4">
        <f>IF(INT((C702-1)/12)+1&gt;'Lapse Table'!$A$11,E701,VLOOKUP(INT((C702-1)/12)+1,'Lapse Table'!$A$2:$B$11,2,FALSE))/12</f>
        <v>0</v>
      </c>
      <c r="F702" s="5">
        <f t="shared" si="98"/>
        <v>-8.2336848656208375</v>
      </c>
      <c r="G702" s="6">
        <f t="shared" si="92"/>
        <v>4.9777500000000002E-2</v>
      </c>
      <c r="H702" s="6">
        <f t="shared" si="93"/>
        <v>0</v>
      </c>
      <c r="I702" s="7">
        <f t="shared" si="94"/>
        <v>-274.45616218736126</v>
      </c>
      <c r="J702" s="8">
        <f t="shared" si="95"/>
        <v>49777.5</v>
      </c>
      <c r="K702" s="7">
        <f t="shared" si="96"/>
        <v>-50051.956162187358</v>
      </c>
      <c r="L702" s="4">
        <f>IF(A702&gt;'Yield Curve'!A1316,L701,(1+VLOOKUP(A702,'Yield Curve'!A695:B1317,2,FALSE))^(1/12)-1)</f>
        <v>7.9741404289037643E-3</v>
      </c>
      <c r="M702" s="5">
        <f t="shared" si="97"/>
        <v>-202.08966184825101</v>
      </c>
    </row>
    <row r="703" spans="1:13" x14ac:dyDescent="0.25">
      <c r="A703" s="4">
        <v>695</v>
      </c>
      <c r="B703" s="4">
        <f t="shared" si="90"/>
        <v>102</v>
      </c>
      <c r="C703" s="4">
        <f t="shared" si="91"/>
        <v>710</v>
      </c>
      <c r="D703" s="4">
        <f>IF(B703&gt;'Mortality Table'!$A$118,D702,VLOOKUP(B703,'Mortality Table'!$A$2:$B$118,2,FALSE))</f>
        <v>0.59733000000000003</v>
      </c>
      <c r="E703" s="4">
        <f>IF(INT((C703-1)/12)+1&gt;'Lapse Table'!$A$11,E702,VLOOKUP(INT((C703-1)/12)+1,'Lapse Table'!$A$2:$B$11,2,FALSE))/12</f>
        <v>0</v>
      </c>
      <c r="F703" s="5">
        <f t="shared" si="98"/>
        <v>-8.2834623656208368</v>
      </c>
      <c r="G703" s="6">
        <f t="shared" si="92"/>
        <v>4.9777500000000002E-2</v>
      </c>
      <c r="H703" s="6">
        <f t="shared" si="93"/>
        <v>0</v>
      </c>
      <c r="I703" s="7">
        <f t="shared" si="94"/>
        <v>-276.11541218736124</v>
      </c>
      <c r="J703" s="8">
        <f t="shared" si="95"/>
        <v>49777.5</v>
      </c>
      <c r="K703" s="7">
        <f t="shared" si="96"/>
        <v>-50053.615412187362</v>
      </c>
      <c r="L703" s="4">
        <f>IF(A703&gt;'Yield Curve'!A1317,L702,(1+VLOOKUP(A703,'Yield Curve'!A696:B1318,2,FALSE))^(1/12)-1)</f>
        <v>7.9741404289037643E-3</v>
      </c>
      <c r="M703" s="5">
        <f t="shared" si="97"/>
        <v>-200.49756548932862</v>
      </c>
    </row>
    <row r="704" spans="1:13" x14ac:dyDescent="0.25">
      <c r="A704" s="4">
        <v>696</v>
      </c>
      <c r="B704" s="4">
        <f t="shared" si="90"/>
        <v>103</v>
      </c>
      <c r="C704" s="4">
        <f t="shared" si="91"/>
        <v>711</v>
      </c>
      <c r="D704" s="4">
        <f>IF(B704&gt;'Mortality Table'!$A$118,D703,VLOOKUP(B704,'Mortality Table'!$A$2:$B$118,2,FALSE))</f>
        <v>0.59733000000000003</v>
      </c>
      <c r="E704" s="4">
        <f>IF(INT((C704-1)/12)+1&gt;'Lapse Table'!$A$11,E703,VLOOKUP(INT((C704-1)/12)+1,'Lapse Table'!$A$2:$B$11,2,FALSE))/12</f>
        <v>0</v>
      </c>
      <c r="F704" s="5">
        <f t="shared" si="98"/>
        <v>-8.3332398656208362</v>
      </c>
      <c r="G704" s="6">
        <f t="shared" si="92"/>
        <v>4.9777500000000002E-2</v>
      </c>
      <c r="H704" s="6">
        <f t="shared" si="93"/>
        <v>0</v>
      </c>
      <c r="I704" s="7">
        <f t="shared" si="94"/>
        <v>-277.77466218736123</v>
      </c>
      <c r="J704" s="8">
        <f t="shared" si="95"/>
        <v>49777.5</v>
      </c>
      <c r="K704" s="7">
        <f t="shared" si="96"/>
        <v>-50055.274662187359</v>
      </c>
      <c r="L704" s="4">
        <f>IF(A704&gt;'Yield Curve'!A1318,L703,(1+VLOOKUP(A704,'Yield Curve'!A697:B1319,2,FALSE))^(1/12)-1)</f>
        <v>7.9741404289037643E-3</v>
      </c>
      <c r="M704" s="5">
        <f t="shared" si="97"/>
        <v>-198.91801171481393</v>
      </c>
    </row>
    <row r="705" spans="1:13" x14ac:dyDescent="0.25">
      <c r="A705" s="4">
        <v>697</v>
      </c>
      <c r="B705" s="4">
        <f t="shared" si="90"/>
        <v>103</v>
      </c>
      <c r="C705" s="4">
        <f t="shared" si="91"/>
        <v>712</v>
      </c>
      <c r="D705" s="4">
        <f>IF(B705&gt;'Mortality Table'!$A$118,D704,VLOOKUP(B705,'Mortality Table'!$A$2:$B$118,2,FALSE))</f>
        <v>0.59733000000000003</v>
      </c>
      <c r="E705" s="4">
        <f>IF(INT((C705-1)/12)+1&gt;'Lapse Table'!$A$11,E704,VLOOKUP(INT((C705-1)/12)+1,'Lapse Table'!$A$2:$B$11,2,FALSE))/12</f>
        <v>0</v>
      </c>
      <c r="F705" s="5">
        <f t="shared" si="98"/>
        <v>-8.3830173656208355</v>
      </c>
      <c r="G705" s="6">
        <f t="shared" si="92"/>
        <v>4.9777500000000002E-2</v>
      </c>
      <c r="H705" s="6">
        <f t="shared" si="93"/>
        <v>0</v>
      </c>
      <c r="I705" s="7">
        <f t="shared" si="94"/>
        <v>-279.43391218736116</v>
      </c>
      <c r="J705" s="8">
        <f t="shared" si="95"/>
        <v>49777.5</v>
      </c>
      <c r="K705" s="7">
        <f t="shared" si="96"/>
        <v>-50056.933912187364</v>
      </c>
      <c r="L705" s="4">
        <f>IF(A705&gt;'Yield Curve'!A1319,L704,(1+VLOOKUP(A705,'Yield Curve'!A698:B1320,2,FALSE))^(1/12)-1)</f>
        <v>7.9741404289037643E-3</v>
      </c>
      <c r="M705" s="5">
        <f t="shared" si="97"/>
        <v>-197.35090171557528</v>
      </c>
    </row>
    <row r="706" spans="1:13" x14ac:dyDescent="0.25">
      <c r="A706" s="4">
        <v>698</v>
      </c>
      <c r="B706" s="4">
        <f t="shared" si="90"/>
        <v>103</v>
      </c>
      <c r="C706" s="4">
        <f t="shared" si="91"/>
        <v>713</v>
      </c>
      <c r="D706" s="4">
        <f>IF(B706&gt;'Mortality Table'!$A$118,D705,VLOOKUP(B706,'Mortality Table'!$A$2:$B$118,2,FALSE))</f>
        <v>0.59733000000000003</v>
      </c>
      <c r="E706" s="4">
        <f>IF(INT((C706-1)/12)+1&gt;'Lapse Table'!$A$11,E705,VLOOKUP(INT((C706-1)/12)+1,'Lapse Table'!$A$2:$B$11,2,FALSE))/12</f>
        <v>0</v>
      </c>
      <c r="F706" s="5">
        <f t="shared" si="98"/>
        <v>-8.4327948656208349</v>
      </c>
      <c r="G706" s="6">
        <f t="shared" si="92"/>
        <v>4.9777500000000002E-2</v>
      </c>
      <c r="H706" s="6">
        <f t="shared" si="93"/>
        <v>0</v>
      </c>
      <c r="I706" s="7">
        <f t="shared" si="94"/>
        <v>-281.0931621873612</v>
      </c>
      <c r="J706" s="8">
        <f t="shared" si="95"/>
        <v>49777.5</v>
      </c>
      <c r="K706" s="7">
        <f t="shared" si="96"/>
        <v>-50058.593162187361</v>
      </c>
      <c r="L706" s="4">
        <f>IF(A706&gt;'Yield Curve'!A1320,L705,(1+VLOOKUP(A706,'Yield Curve'!A699:B1321,2,FALSE))^(1/12)-1)</f>
        <v>7.9741404289037643E-3</v>
      </c>
      <c r="M706" s="5">
        <f t="shared" si="97"/>
        <v>-195.79613746087463</v>
      </c>
    </row>
    <row r="707" spans="1:13" x14ac:dyDescent="0.25">
      <c r="A707" s="4">
        <v>699</v>
      </c>
      <c r="B707" s="4">
        <f t="shared" si="90"/>
        <v>103</v>
      </c>
      <c r="C707" s="4">
        <f t="shared" si="91"/>
        <v>714</v>
      </c>
      <c r="D707" s="4">
        <f>IF(B707&gt;'Mortality Table'!$A$118,D706,VLOOKUP(B707,'Mortality Table'!$A$2:$B$118,2,FALSE))</f>
        <v>0.59733000000000003</v>
      </c>
      <c r="E707" s="4">
        <f>IF(INT((C707-1)/12)+1&gt;'Lapse Table'!$A$11,E706,VLOOKUP(INT((C707-1)/12)+1,'Lapse Table'!$A$2:$B$11,2,FALSE))/12</f>
        <v>0</v>
      </c>
      <c r="F707" s="5">
        <f t="shared" si="98"/>
        <v>-8.4825723656208343</v>
      </c>
      <c r="G707" s="6">
        <f t="shared" si="92"/>
        <v>4.9777500000000002E-2</v>
      </c>
      <c r="H707" s="6">
        <f t="shared" si="93"/>
        <v>0</v>
      </c>
      <c r="I707" s="7">
        <f t="shared" si="94"/>
        <v>-282.75241218736113</v>
      </c>
      <c r="J707" s="8">
        <f t="shared" si="95"/>
        <v>49777.5</v>
      </c>
      <c r="K707" s="7">
        <f t="shared" si="96"/>
        <v>-50060.252412187358</v>
      </c>
      <c r="L707" s="4">
        <f>IF(A707&gt;'Yield Curve'!A1321,L706,(1+VLOOKUP(A707,'Yield Curve'!A700:B1322,2,FALSE))^(1/12)-1)</f>
        <v>7.9741404289037643E-3</v>
      </c>
      <c r="M707" s="5">
        <f t="shared" si="97"/>
        <v>-194.25362169223621</v>
      </c>
    </row>
    <row r="708" spans="1:13" x14ac:dyDescent="0.25">
      <c r="A708" s="4">
        <v>700</v>
      </c>
      <c r="B708" s="4">
        <f t="shared" si="90"/>
        <v>103</v>
      </c>
      <c r="C708" s="4">
        <f t="shared" si="91"/>
        <v>715</v>
      </c>
      <c r="D708" s="4">
        <f>IF(B708&gt;'Mortality Table'!$A$118,D707,VLOOKUP(B708,'Mortality Table'!$A$2:$B$118,2,FALSE))</f>
        <v>0.59733000000000003</v>
      </c>
      <c r="E708" s="4">
        <f>IF(INT((C708-1)/12)+1&gt;'Lapse Table'!$A$11,E707,VLOOKUP(INT((C708-1)/12)+1,'Lapse Table'!$A$2:$B$11,2,FALSE))/12</f>
        <v>0</v>
      </c>
      <c r="F708" s="5">
        <f t="shared" si="98"/>
        <v>-8.5323498656208336</v>
      </c>
      <c r="G708" s="6">
        <f t="shared" si="92"/>
        <v>4.9777500000000002E-2</v>
      </c>
      <c r="H708" s="6">
        <f t="shared" si="93"/>
        <v>0</v>
      </c>
      <c r="I708" s="7">
        <f t="shared" si="94"/>
        <v>-284.41166218736112</v>
      </c>
      <c r="J708" s="8">
        <f t="shared" si="95"/>
        <v>49777.5</v>
      </c>
      <c r="K708" s="7">
        <f t="shared" si="96"/>
        <v>-50061.911662187362</v>
      </c>
      <c r="L708" s="4">
        <f>IF(A708&gt;'Yield Curve'!A1322,L707,(1+VLOOKUP(A708,'Yield Curve'!A701:B1323,2,FALSE))^(1/12)-1)</f>
        <v>7.9741404289037643E-3</v>
      </c>
      <c r="M708" s="5">
        <f t="shared" si="97"/>
        <v>-192.72325791736262</v>
      </c>
    </row>
    <row r="709" spans="1:13" x14ac:dyDescent="0.25">
      <c r="A709" s="4">
        <v>701</v>
      </c>
      <c r="B709" s="4">
        <f t="shared" si="90"/>
        <v>103</v>
      </c>
      <c r="C709" s="4">
        <f t="shared" si="91"/>
        <v>716</v>
      </c>
      <c r="D709" s="4">
        <f>IF(B709&gt;'Mortality Table'!$A$118,D708,VLOOKUP(B709,'Mortality Table'!$A$2:$B$118,2,FALSE))</f>
        <v>0.59733000000000003</v>
      </c>
      <c r="E709" s="4">
        <f>IF(INT((C709-1)/12)+1&gt;'Lapse Table'!$A$11,E708,VLOOKUP(INT((C709-1)/12)+1,'Lapse Table'!$A$2:$B$11,2,FALSE))/12</f>
        <v>0</v>
      </c>
      <c r="F709" s="5">
        <f t="shared" si="98"/>
        <v>-8.582127365620833</v>
      </c>
      <c r="G709" s="6">
        <f t="shared" si="92"/>
        <v>4.9777500000000002E-2</v>
      </c>
      <c r="H709" s="6">
        <f t="shared" si="93"/>
        <v>0</v>
      </c>
      <c r="I709" s="7">
        <f t="shared" si="94"/>
        <v>-286.0709121873611</v>
      </c>
      <c r="J709" s="8">
        <f t="shared" si="95"/>
        <v>49777.5</v>
      </c>
      <c r="K709" s="7">
        <f t="shared" si="96"/>
        <v>-50063.570912187359</v>
      </c>
      <c r="L709" s="4">
        <f>IF(A709&gt;'Yield Curve'!A1323,L708,(1+VLOOKUP(A709,'Yield Curve'!A702:B1324,2,FALSE))^(1/12)-1)</f>
        <v>7.9741404289037643E-3</v>
      </c>
      <c r="M709" s="5">
        <f t="shared" si="97"/>
        <v>-191.20495040409924</v>
      </c>
    </row>
    <row r="710" spans="1:13" x14ac:dyDescent="0.25">
      <c r="A710" s="4">
        <v>702</v>
      </c>
      <c r="B710" s="4">
        <f t="shared" si="90"/>
        <v>103</v>
      </c>
      <c r="C710" s="4">
        <f t="shared" si="91"/>
        <v>717</v>
      </c>
      <c r="D710" s="4">
        <f>IF(B710&gt;'Mortality Table'!$A$118,D709,VLOOKUP(B710,'Mortality Table'!$A$2:$B$118,2,FALSE))</f>
        <v>0.59733000000000003</v>
      </c>
      <c r="E710" s="4">
        <f>IF(INT((C710-1)/12)+1&gt;'Lapse Table'!$A$11,E709,VLOOKUP(INT((C710-1)/12)+1,'Lapse Table'!$A$2:$B$11,2,FALSE))/12</f>
        <v>0</v>
      </c>
      <c r="F710" s="5">
        <f t="shared" si="98"/>
        <v>-8.6319048656208324</v>
      </c>
      <c r="G710" s="6">
        <f t="shared" si="92"/>
        <v>4.9777500000000002E-2</v>
      </c>
      <c r="H710" s="6">
        <f t="shared" si="93"/>
        <v>0</v>
      </c>
      <c r="I710" s="7">
        <f t="shared" si="94"/>
        <v>-287.73016218736109</v>
      </c>
      <c r="J710" s="8">
        <f t="shared" si="95"/>
        <v>49777.5</v>
      </c>
      <c r="K710" s="7">
        <f t="shared" si="96"/>
        <v>-50065.230162187363</v>
      </c>
      <c r="L710" s="4">
        <f>IF(A710&gt;'Yield Curve'!A1324,L709,(1+VLOOKUP(A710,'Yield Curve'!A703:B1325,2,FALSE))^(1/12)-1)</f>
        <v>7.9741404289037643E-3</v>
      </c>
      <c r="M710" s="5">
        <f t="shared" si="97"/>
        <v>-189.69860417444625</v>
      </c>
    </row>
    <row r="711" spans="1:13" x14ac:dyDescent="0.25">
      <c r="A711" s="4">
        <v>703</v>
      </c>
      <c r="B711" s="4">
        <f t="shared" si="90"/>
        <v>103</v>
      </c>
      <c r="C711" s="4">
        <f t="shared" si="91"/>
        <v>718</v>
      </c>
      <c r="D711" s="4">
        <f>IF(B711&gt;'Mortality Table'!$A$118,D710,VLOOKUP(B711,'Mortality Table'!$A$2:$B$118,2,FALSE))</f>
        <v>0.59733000000000003</v>
      </c>
      <c r="E711" s="4">
        <f>IF(INT((C711-1)/12)+1&gt;'Lapse Table'!$A$11,E710,VLOOKUP(INT((C711-1)/12)+1,'Lapse Table'!$A$2:$B$11,2,FALSE))/12</f>
        <v>0</v>
      </c>
      <c r="F711" s="5">
        <f t="shared" si="98"/>
        <v>-8.6816823656208317</v>
      </c>
      <c r="G711" s="6">
        <f t="shared" si="92"/>
        <v>4.9777500000000002E-2</v>
      </c>
      <c r="H711" s="6">
        <f t="shared" si="93"/>
        <v>0</v>
      </c>
      <c r="I711" s="7">
        <f t="shared" si="94"/>
        <v>-289.38941218736107</v>
      </c>
      <c r="J711" s="8">
        <f t="shared" si="95"/>
        <v>49777.5</v>
      </c>
      <c r="K711" s="7">
        <f t="shared" si="96"/>
        <v>-50066.88941218736</v>
      </c>
      <c r="L711" s="4">
        <f>IF(A711&gt;'Yield Curve'!A1325,L710,(1+VLOOKUP(A711,'Yield Curve'!A704:B1326,2,FALSE))^(1/12)-1)</f>
        <v>7.9741404289037643E-3</v>
      </c>
      <c r="M711" s="5">
        <f t="shared" si="97"/>
        <v>-188.20412499861749</v>
      </c>
    </row>
    <row r="712" spans="1:13" x14ac:dyDescent="0.25">
      <c r="A712" s="4">
        <v>704</v>
      </c>
      <c r="B712" s="4">
        <f t="shared" si="90"/>
        <v>103</v>
      </c>
      <c r="C712" s="4">
        <f t="shared" si="91"/>
        <v>719</v>
      </c>
      <c r="D712" s="4">
        <f>IF(B712&gt;'Mortality Table'!$A$118,D711,VLOOKUP(B712,'Mortality Table'!$A$2:$B$118,2,FALSE))</f>
        <v>0.59733000000000003</v>
      </c>
      <c r="E712" s="4">
        <f>IF(INT((C712-1)/12)+1&gt;'Lapse Table'!$A$11,E711,VLOOKUP(INT((C712-1)/12)+1,'Lapse Table'!$A$2:$B$11,2,FALSE))/12</f>
        <v>0</v>
      </c>
      <c r="F712" s="5">
        <f t="shared" si="98"/>
        <v>-8.7314598656208311</v>
      </c>
      <c r="G712" s="6">
        <f t="shared" si="92"/>
        <v>4.9777500000000002E-2</v>
      </c>
      <c r="H712" s="6">
        <f t="shared" si="93"/>
        <v>0</v>
      </c>
      <c r="I712" s="7">
        <f t="shared" si="94"/>
        <v>-291.048662187361</v>
      </c>
      <c r="J712" s="8">
        <f t="shared" si="95"/>
        <v>49777.5</v>
      </c>
      <c r="K712" s="7">
        <f t="shared" si="96"/>
        <v>-50068.548662187364</v>
      </c>
      <c r="L712" s="4">
        <f>IF(A712&gt;'Yield Curve'!A1326,L711,(1+VLOOKUP(A712,'Yield Curve'!A705:B1327,2,FALSE))^(1/12)-1)</f>
        <v>7.9741404289037643E-3</v>
      </c>
      <c r="M712" s="5">
        <f t="shared" si="97"/>
        <v>-186.72141938914621</v>
      </c>
    </row>
    <row r="713" spans="1:13" x14ac:dyDescent="0.25">
      <c r="A713" s="4">
        <v>705</v>
      </c>
      <c r="B713" s="4">
        <f t="shared" si="90"/>
        <v>103</v>
      </c>
      <c r="C713" s="4">
        <f t="shared" si="91"/>
        <v>720</v>
      </c>
      <c r="D713" s="4">
        <f>IF(B713&gt;'Mortality Table'!$A$118,D712,VLOOKUP(B713,'Mortality Table'!$A$2:$B$118,2,FALSE))</f>
        <v>0.59733000000000003</v>
      </c>
      <c r="E713" s="4">
        <f>IF(INT((C713-1)/12)+1&gt;'Lapse Table'!$A$11,E712,VLOOKUP(INT((C713-1)/12)+1,'Lapse Table'!$A$2:$B$11,2,FALSE))/12</f>
        <v>0</v>
      </c>
      <c r="F713" s="5">
        <f t="shared" si="98"/>
        <v>-8.7812373656208305</v>
      </c>
      <c r="G713" s="6">
        <f t="shared" si="92"/>
        <v>4.9777500000000002E-2</v>
      </c>
      <c r="H713" s="6">
        <f t="shared" si="93"/>
        <v>0</v>
      </c>
      <c r="I713" s="7">
        <f t="shared" si="94"/>
        <v>-292.70791218736105</v>
      </c>
      <c r="J713" s="8">
        <f t="shared" si="95"/>
        <v>49777.5</v>
      </c>
      <c r="K713" s="7">
        <f t="shared" si="96"/>
        <v>-50070.207912187361</v>
      </c>
      <c r="L713" s="4">
        <f>IF(A713&gt;'Yield Curve'!A1327,L712,(1+VLOOKUP(A713,'Yield Curve'!A706:B1328,2,FALSE))^(1/12)-1)</f>
        <v>7.9741404289037643E-3</v>
      </c>
      <c r="M713" s="5">
        <f t="shared" si="97"/>
        <v>-185.25039459503802</v>
      </c>
    </row>
    <row r="714" spans="1:13" x14ac:dyDescent="0.25">
      <c r="A714" s="4">
        <v>706</v>
      </c>
      <c r="B714" s="4">
        <f t="shared" ref="B714:B777" si="99">INT($B$3+A714/12)</f>
        <v>103</v>
      </c>
      <c r="C714" s="4">
        <f t="shared" ref="C714:C777" si="100">$B$4+A714</f>
        <v>721</v>
      </c>
      <c r="D714" s="4">
        <f>IF(B714&gt;'Mortality Table'!$A$118,D713,VLOOKUP(B714,'Mortality Table'!$A$2:$B$118,2,FALSE))</f>
        <v>0.59733000000000003</v>
      </c>
      <c r="E714" s="4">
        <f>IF(INT((C714-1)/12)+1&gt;'Lapse Table'!$A$11,E713,VLOOKUP(INT((C714-1)/12)+1,'Lapse Table'!$A$2:$B$11,2,FALSE))/12</f>
        <v>0</v>
      </c>
      <c r="F714" s="5">
        <f t="shared" si="98"/>
        <v>-8.8310148656208298</v>
      </c>
      <c r="G714" s="6">
        <f t="shared" ref="G714:G777" si="101">D714/12*(1-0.5*E714)</f>
        <v>4.9777500000000002E-2</v>
      </c>
      <c r="H714" s="6">
        <f t="shared" ref="H714:H777" si="102">E714*(1-0.5*D714)</f>
        <v>0</v>
      </c>
      <c r="I714" s="7">
        <f t="shared" ref="I714:I777" si="103">F714*$B$5/12</f>
        <v>-294.36716218736098</v>
      </c>
      <c r="J714" s="8">
        <f t="shared" ref="J714:J777" si="104">$B$6*G714</f>
        <v>49777.5</v>
      </c>
      <c r="K714" s="7">
        <f t="shared" ref="K714:K777" si="105">I714-J714</f>
        <v>-50071.867162187358</v>
      </c>
      <c r="L714" s="4">
        <f>IF(A714&gt;'Yield Curve'!A1328,L713,(1+VLOOKUP(A714,'Yield Curve'!A707:B1329,2,FALSE))^(1/12)-1)</f>
        <v>7.9741404289037643E-3</v>
      </c>
      <c r="M714" s="5">
        <f t="shared" ref="M714:M777" si="106">K714*(1+L714)^-A714</f>
        <v>-183.79095859596839</v>
      </c>
    </row>
    <row r="715" spans="1:13" x14ac:dyDescent="0.25">
      <c r="A715" s="4">
        <v>707</v>
      </c>
      <c r="B715" s="4">
        <f t="shared" si="99"/>
        <v>103</v>
      </c>
      <c r="C715" s="4">
        <f t="shared" si="100"/>
        <v>722</v>
      </c>
      <c r="D715" s="4">
        <f>IF(B715&gt;'Mortality Table'!$A$118,D714,VLOOKUP(B715,'Mortality Table'!$A$2:$B$118,2,FALSE))</f>
        <v>0.59733000000000003</v>
      </c>
      <c r="E715" s="4">
        <f>IF(INT((C715-1)/12)+1&gt;'Lapse Table'!$A$11,E714,VLOOKUP(INT((C715-1)/12)+1,'Lapse Table'!$A$2:$B$11,2,FALSE))/12</f>
        <v>0</v>
      </c>
      <c r="F715" s="5">
        <f t="shared" ref="F715:F778" si="107">F714-G715-H715</f>
        <v>-8.8807923656208292</v>
      </c>
      <c r="G715" s="6">
        <f t="shared" si="101"/>
        <v>4.9777500000000002E-2</v>
      </c>
      <c r="H715" s="6">
        <f t="shared" si="102"/>
        <v>0</v>
      </c>
      <c r="I715" s="7">
        <f t="shared" si="103"/>
        <v>-296.02641218736096</v>
      </c>
      <c r="J715" s="8">
        <f t="shared" si="104"/>
        <v>49777.5</v>
      </c>
      <c r="K715" s="7">
        <f t="shared" si="105"/>
        <v>-50073.526412187362</v>
      </c>
      <c r="L715" s="4">
        <f>IF(A715&gt;'Yield Curve'!A1329,L714,(1+VLOOKUP(A715,'Yield Curve'!A708:B1330,2,FALSE))^(1/12)-1)</f>
        <v>7.9741404289037643E-3</v>
      </c>
      <c r="M715" s="5">
        <f t="shared" si="106"/>
        <v>-182.34302009652725</v>
      </c>
    </row>
    <row r="716" spans="1:13" x14ac:dyDescent="0.25">
      <c r="A716" s="4">
        <v>708</v>
      </c>
      <c r="B716" s="4">
        <f t="shared" si="99"/>
        <v>104</v>
      </c>
      <c r="C716" s="4">
        <f t="shared" si="100"/>
        <v>723</v>
      </c>
      <c r="D716" s="4">
        <f>IF(B716&gt;'Mortality Table'!$A$118,D715,VLOOKUP(B716,'Mortality Table'!$A$2:$B$118,2,FALSE))</f>
        <v>0.59733000000000003</v>
      </c>
      <c r="E716" s="4">
        <f>IF(INT((C716-1)/12)+1&gt;'Lapse Table'!$A$11,E715,VLOOKUP(INT((C716-1)/12)+1,'Lapse Table'!$A$2:$B$11,2,FALSE))/12</f>
        <v>0</v>
      </c>
      <c r="F716" s="5">
        <f t="shared" si="107"/>
        <v>-8.9305698656208286</v>
      </c>
      <c r="G716" s="6">
        <f t="shared" si="101"/>
        <v>4.9777500000000002E-2</v>
      </c>
      <c r="H716" s="6">
        <f t="shared" si="102"/>
        <v>0</v>
      </c>
      <c r="I716" s="7">
        <f t="shared" si="103"/>
        <v>-297.68566218736095</v>
      </c>
      <c r="J716" s="8">
        <f t="shared" si="104"/>
        <v>49777.5</v>
      </c>
      <c r="K716" s="7">
        <f t="shared" si="105"/>
        <v>-50075.185662187359</v>
      </c>
      <c r="L716" s="4">
        <f>IF(A716&gt;'Yield Curve'!A1330,L715,(1+VLOOKUP(A716,'Yield Curve'!A709:B1331,2,FALSE))^(1/12)-1)</f>
        <v>7.9741404289037643E-3</v>
      </c>
      <c r="M716" s="5">
        <f t="shared" si="106"/>
        <v>-180.90648852050811</v>
      </c>
    </row>
    <row r="717" spans="1:13" x14ac:dyDescent="0.25">
      <c r="A717" s="4">
        <v>709</v>
      </c>
      <c r="B717" s="4">
        <f t="shared" si="99"/>
        <v>104</v>
      </c>
      <c r="C717" s="4">
        <f t="shared" si="100"/>
        <v>724</v>
      </c>
      <c r="D717" s="4">
        <f>IF(B717&gt;'Mortality Table'!$A$118,D716,VLOOKUP(B717,'Mortality Table'!$A$2:$B$118,2,FALSE))</f>
        <v>0.59733000000000003</v>
      </c>
      <c r="E717" s="4">
        <f>IF(INT((C717-1)/12)+1&gt;'Lapse Table'!$A$11,E716,VLOOKUP(INT((C717-1)/12)+1,'Lapse Table'!$A$2:$B$11,2,FALSE))/12</f>
        <v>0</v>
      </c>
      <c r="F717" s="5">
        <f t="shared" si="107"/>
        <v>-8.9803473656208279</v>
      </c>
      <c r="G717" s="6">
        <f t="shared" si="101"/>
        <v>4.9777500000000002E-2</v>
      </c>
      <c r="H717" s="6">
        <f t="shared" si="102"/>
        <v>0</v>
      </c>
      <c r="I717" s="7">
        <f t="shared" si="103"/>
        <v>-299.34491218736093</v>
      </c>
      <c r="J717" s="8">
        <f t="shared" si="104"/>
        <v>49777.5</v>
      </c>
      <c r="K717" s="7">
        <f t="shared" si="105"/>
        <v>-50076.844912187364</v>
      </c>
      <c r="L717" s="4">
        <f>IF(A717&gt;'Yield Curve'!A1331,L716,(1+VLOOKUP(A717,'Yield Curve'!A710:B1332,2,FALSE))^(1/12)-1)</f>
        <v>7.9741404289037643E-3</v>
      </c>
      <c r="M717" s="5">
        <f t="shared" si="106"/>
        <v>-179.48127400524271</v>
      </c>
    </row>
    <row r="718" spans="1:13" x14ac:dyDescent="0.25">
      <c r="A718" s="4">
        <v>710</v>
      </c>
      <c r="B718" s="4">
        <f t="shared" si="99"/>
        <v>104</v>
      </c>
      <c r="C718" s="4">
        <f t="shared" si="100"/>
        <v>725</v>
      </c>
      <c r="D718" s="4">
        <f>IF(B718&gt;'Mortality Table'!$A$118,D717,VLOOKUP(B718,'Mortality Table'!$A$2:$B$118,2,FALSE))</f>
        <v>0.59733000000000003</v>
      </c>
      <c r="E718" s="4">
        <f>IF(INT((C718-1)/12)+1&gt;'Lapse Table'!$A$11,E717,VLOOKUP(INT((C718-1)/12)+1,'Lapse Table'!$A$2:$B$11,2,FALSE))/12</f>
        <v>0</v>
      </c>
      <c r="F718" s="5">
        <f t="shared" si="107"/>
        <v>-9.0301248656208273</v>
      </c>
      <c r="G718" s="6">
        <f t="shared" si="101"/>
        <v>4.9777500000000002E-2</v>
      </c>
      <c r="H718" s="6">
        <f t="shared" si="102"/>
        <v>0</v>
      </c>
      <c r="I718" s="7">
        <f t="shared" si="103"/>
        <v>-301.00416218736092</v>
      </c>
      <c r="J718" s="8">
        <f t="shared" si="104"/>
        <v>49777.5</v>
      </c>
      <c r="K718" s="7">
        <f t="shared" si="105"/>
        <v>-50078.504162187361</v>
      </c>
      <c r="L718" s="4">
        <f>IF(A718&gt;'Yield Curve'!A1332,L717,(1+VLOOKUP(A718,'Yield Curve'!A711:B1333,2,FALSE))^(1/12)-1)</f>
        <v>7.9741404289037643E-3</v>
      </c>
      <c r="M718" s="5">
        <f t="shared" si="106"/>
        <v>-178.06728739597989</v>
      </c>
    </row>
    <row r="719" spans="1:13" x14ac:dyDescent="0.25">
      <c r="A719" s="4">
        <v>711</v>
      </c>
      <c r="B719" s="4">
        <f t="shared" si="99"/>
        <v>104</v>
      </c>
      <c r="C719" s="4">
        <f t="shared" si="100"/>
        <v>726</v>
      </c>
      <c r="D719" s="4">
        <f>IF(B719&gt;'Mortality Table'!$A$118,D718,VLOOKUP(B719,'Mortality Table'!$A$2:$B$118,2,FALSE))</f>
        <v>0.59733000000000003</v>
      </c>
      <c r="E719" s="4">
        <f>IF(INT((C719-1)/12)+1&gt;'Lapse Table'!$A$11,E718,VLOOKUP(INT((C719-1)/12)+1,'Lapse Table'!$A$2:$B$11,2,FALSE))/12</f>
        <v>0</v>
      </c>
      <c r="F719" s="5">
        <f t="shared" si="107"/>
        <v>-9.0799023656208266</v>
      </c>
      <c r="G719" s="6">
        <f t="shared" si="101"/>
        <v>4.9777500000000002E-2</v>
      </c>
      <c r="H719" s="6">
        <f t="shared" si="102"/>
        <v>0</v>
      </c>
      <c r="I719" s="7">
        <f t="shared" si="103"/>
        <v>-302.6634121873609</v>
      </c>
      <c r="J719" s="8">
        <f t="shared" si="104"/>
        <v>49777.5</v>
      </c>
      <c r="K719" s="7">
        <f t="shared" si="105"/>
        <v>-50080.163412187358</v>
      </c>
      <c r="L719" s="4">
        <f>IF(A719&gt;'Yield Curve'!A1333,L718,(1+VLOOKUP(A719,'Yield Curve'!A712:B1334,2,FALSE))^(1/12)-1)</f>
        <v>7.9741404289037643E-3</v>
      </c>
      <c r="M719" s="5">
        <f t="shared" si="106"/>
        <v>-176.66444024030878</v>
      </c>
    </row>
    <row r="720" spans="1:13" x14ac:dyDescent="0.25">
      <c r="A720" s="4">
        <v>712</v>
      </c>
      <c r="B720" s="4">
        <f t="shared" si="99"/>
        <v>104</v>
      </c>
      <c r="C720" s="4">
        <f t="shared" si="100"/>
        <v>727</v>
      </c>
      <c r="D720" s="4">
        <f>IF(B720&gt;'Mortality Table'!$A$118,D719,VLOOKUP(B720,'Mortality Table'!$A$2:$B$118,2,FALSE))</f>
        <v>0.59733000000000003</v>
      </c>
      <c r="E720" s="4">
        <f>IF(INT((C720-1)/12)+1&gt;'Lapse Table'!$A$11,E719,VLOOKUP(INT((C720-1)/12)+1,'Lapse Table'!$A$2:$B$11,2,FALSE))/12</f>
        <v>0</v>
      </c>
      <c r="F720" s="5">
        <f t="shared" si="107"/>
        <v>-9.129679865620826</v>
      </c>
      <c r="G720" s="6">
        <f t="shared" si="101"/>
        <v>4.9777500000000002E-2</v>
      </c>
      <c r="H720" s="6">
        <f t="shared" si="102"/>
        <v>0</v>
      </c>
      <c r="I720" s="7">
        <f t="shared" si="103"/>
        <v>-304.32266218736089</v>
      </c>
      <c r="J720" s="8">
        <f t="shared" si="104"/>
        <v>49777.5</v>
      </c>
      <c r="K720" s="7">
        <f t="shared" si="105"/>
        <v>-50081.822662187362</v>
      </c>
      <c r="L720" s="4">
        <f>IF(A720&gt;'Yield Curve'!A1334,L719,(1+VLOOKUP(A720,'Yield Curve'!A713:B1335,2,FALSE))^(1/12)-1)</f>
        <v>7.9741404289037643E-3</v>
      </c>
      <c r="M720" s="5">
        <f t="shared" si="106"/>
        <v>-175.27264478262606</v>
      </c>
    </row>
    <row r="721" spans="1:13" x14ac:dyDescent="0.25">
      <c r="A721" s="4">
        <v>713</v>
      </c>
      <c r="B721" s="4">
        <f t="shared" si="99"/>
        <v>104</v>
      </c>
      <c r="C721" s="4">
        <f t="shared" si="100"/>
        <v>728</v>
      </c>
      <c r="D721" s="4">
        <f>IF(B721&gt;'Mortality Table'!$A$118,D720,VLOOKUP(B721,'Mortality Table'!$A$2:$B$118,2,FALSE))</f>
        <v>0.59733000000000003</v>
      </c>
      <c r="E721" s="4">
        <f>IF(INT((C721-1)/12)+1&gt;'Lapse Table'!$A$11,E720,VLOOKUP(INT((C721-1)/12)+1,'Lapse Table'!$A$2:$B$11,2,FALSE))/12</f>
        <v>0</v>
      </c>
      <c r="F721" s="5">
        <f t="shared" si="107"/>
        <v>-9.1794573656208254</v>
      </c>
      <c r="G721" s="6">
        <f t="shared" si="101"/>
        <v>4.9777500000000002E-2</v>
      </c>
      <c r="H721" s="6">
        <f t="shared" si="102"/>
        <v>0</v>
      </c>
      <c r="I721" s="7">
        <f t="shared" si="103"/>
        <v>-305.98191218736082</v>
      </c>
      <c r="J721" s="8">
        <f t="shared" si="104"/>
        <v>49777.5</v>
      </c>
      <c r="K721" s="7">
        <f t="shared" si="105"/>
        <v>-50083.481912187359</v>
      </c>
      <c r="L721" s="4">
        <f>IF(A721&gt;'Yield Curve'!A1335,L720,(1+VLOOKUP(A721,'Yield Curve'!A714:B1336,2,FALSE))^(1/12)-1)</f>
        <v>7.9741404289037643E-3</v>
      </c>
      <c r="M721" s="5">
        <f t="shared" si="106"/>
        <v>-173.89181395864708</v>
      </c>
    </row>
    <row r="722" spans="1:13" x14ac:dyDescent="0.25">
      <c r="A722" s="4">
        <v>714</v>
      </c>
      <c r="B722" s="4">
        <f t="shared" si="99"/>
        <v>104</v>
      </c>
      <c r="C722" s="4">
        <f t="shared" si="100"/>
        <v>729</v>
      </c>
      <c r="D722" s="4">
        <f>IF(B722&gt;'Mortality Table'!$A$118,D721,VLOOKUP(B722,'Mortality Table'!$A$2:$B$118,2,FALSE))</f>
        <v>0.59733000000000003</v>
      </c>
      <c r="E722" s="4">
        <f>IF(INT((C722-1)/12)+1&gt;'Lapse Table'!$A$11,E721,VLOOKUP(INT((C722-1)/12)+1,'Lapse Table'!$A$2:$B$11,2,FALSE))/12</f>
        <v>0</v>
      </c>
      <c r="F722" s="5">
        <f t="shared" si="107"/>
        <v>-9.2292348656208247</v>
      </c>
      <c r="G722" s="6">
        <f t="shared" si="101"/>
        <v>4.9777500000000002E-2</v>
      </c>
      <c r="H722" s="6">
        <f t="shared" si="102"/>
        <v>0</v>
      </c>
      <c r="I722" s="7">
        <f t="shared" si="103"/>
        <v>-307.64116218736081</v>
      </c>
      <c r="J722" s="8">
        <f t="shared" si="104"/>
        <v>49777.5</v>
      </c>
      <c r="K722" s="7">
        <f t="shared" si="105"/>
        <v>-50085.141162187363</v>
      </c>
      <c r="L722" s="4">
        <f>IF(A722&gt;'Yield Curve'!A1336,L721,(1+VLOOKUP(A722,'Yield Curve'!A715:B1337,2,FALSE))^(1/12)-1)</f>
        <v>7.9741404289037643E-3</v>
      </c>
      <c r="M722" s="5">
        <f t="shared" si="106"/>
        <v>-172.52186138995953</v>
      </c>
    </row>
    <row r="723" spans="1:13" x14ac:dyDescent="0.25">
      <c r="A723" s="4">
        <v>715</v>
      </c>
      <c r="B723" s="4">
        <f t="shared" si="99"/>
        <v>104</v>
      </c>
      <c r="C723" s="4">
        <f t="shared" si="100"/>
        <v>730</v>
      </c>
      <c r="D723" s="4">
        <f>IF(B723&gt;'Mortality Table'!$A$118,D722,VLOOKUP(B723,'Mortality Table'!$A$2:$B$118,2,FALSE))</f>
        <v>0.59733000000000003</v>
      </c>
      <c r="E723" s="4">
        <f>IF(INT((C723-1)/12)+1&gt;'Lapse Table'!$A$11,E722,VLOOKUP(INT((C723-1)/12)+1,'Lapse Table'!$A$2:$B$11,2,FALSE))/12</f>
        <v>0</v>
      </c>
      <c r="F723" s="5">
        <f t="shared" si="107"/>
        <v>-9.2790123656208241</v>
      </c>
      <c r="G723" s="6">
        <f t="shared" si="101"/>
        <v>4.9777500000000002E-2</v>
      </c>
      <c r="H723" s="6">
        <f t="shared" si="102"/>
        <v>0</v>
      </c>
      <c r="I723" s="7">
        <f t="shared" si="103"/>
        <v>-309.30041218736079</v>
      </c>
      <c r="J723" s="8">
        <f t="shared" si="104"/>
        <v>49777.5</v>
      </c>
      <c r="K723" s="7">
        <f t="shared" si="105"/>
        <v>-50086.80041218736</v>
      </c>
      <c r="L723" s="4">
        <f>IF(A723&gt;'Yield Curve'!A1337,L722,(1+VLOOKUP(A723,'Yield Curve'!A716:B1338,2,FALSE))^(1/12)-1)</f>
        <v>7.9741404289037643E-3</v>
      </c>
      <c r="M723" s="5">
        <f t="shared" si="106"/>
        <v>-171.16270137862054</v>
      </c>
    </row>
    <row r="724" spans="1:13" x14ac:dyDescent="0.25">
      <c r="A724" s="4">
        <v>716</v>
      </c>
      <c r="B724" s="4">
        <f t="shared" si="99"/>
        <v>104</v>
      </c>
      <c r="C724" s="4">
        <f t="shared" si="100"/>
        <v>731</v>
      </c>
      <c r="D724" s="4">
        <f>IF(B724&gt;'Mortality Table'!$A$118,D723,VLOOKUP(B724,'Mortality Table'!$A$2:$B$118,2,FALSE))</f>
        <v>0.59733000000000003</v>
      </c>
      <c r="E724" s="4">
        <f>IF(INT((C724-1)/12)+1&gt;'Lapse Table'!$A$11,E723,VLOOKUP(INT((C724-1)/12)+1,'Lapse Table'!$A$2:$B$11,2,FALSE))/12</f>
        <v>0</v>
      </c>
      <c r="F724" s="5">
        <f t="shared" si="107"/>
        <v>-9.3287898656208235</v>
      </c>
      <c r="G724" s="6">
        <f t="shared" si="101"/>
        <v>4.9777500000000002E-2</v>
      </c>
      <c r="H724" s="6">
        <f t="shared" si="102"/>
        <v>0</v>
      </c>
      <c r="I724" s="7">
        <f t="shared" si="103"/>
        <v>-310.95966218736078</v>
      </c>
      <c r="J724" s="8">
        <f t="shared" si="104"/>
        <v>49777.5</v>
      </c>
      <c r="K724" s="7">
        <f t="shared" si="105"/>
        <v>-50088.459662187364</v>
      </c>
      <c r="L724" s="4">
        <f>IF(A724&gt;'Yield Curve'!A1338,L723,(1+VLOOKUP(A724,'Yield Curve'!A717:B1339,2,FALSE))^(1/12)-1)</f>
        <v>7.9741404289037643E-3</v>
      </c>
      <c r="M724" s="5">
        <f t="shared" si="106"/>
        <v>-169.81424890179622</v>
      </c>
    </row>
    <row r="725" spans="1:13" x14ac:dyDescent="0.25">
      <c r="A725" s="4">
        <v>717</v>
      </c>
      <c r="B725" s="4">
        <f t="shared" si="99"/>
        <v>104</v>
      </c>
      <c r="C725" s="4">
        <f t="shared" si="100"/>
        <v>732</v>
      </c>
      <c r="D725" s="4">
        <f>IF(B725&gt;'Mortality Table'!$A$118,D724,VLOOKUP(B725,'Mortality Table'!$A$2:$B$118,2,FALSE))</f>
        <v>0.59733000000000003</v>
      </c>
      <c r="E725" s="4">
        <f>IF(INT((C725-1)/12)+1&gt;'Lapse Table'!$A$11,E724,VLOOKUP(INT((C725-1)/12)+1,'Lapse Table'!$A$2:$B$11,2,FALSE))/12</f>
        <v>0</v>
      </c>
      <c r="F725" s="5">
        <f t="shared" si="107"/>
        <v>-9.3785673656208228</v>
      </c>
      <c r="G725" s="6">
        <f t="shared" si="101"/>
        <v>4.9777500000000002E-2</v>
      </c>
      <c r="H725" s="6">
        <f t="shared" si="102"/>
        <v>0</v>
      </c>
      <c r="I725" s="7">
        <f t="shared" si="103"/>
        <v>-312.61891218736076</v>
      </c>
      <c r="J725" s="8">
        <f t="shared" si="104"/>
        <v>49777.5</v>
      </c>
      <c r="K725" s="7">
        <f t="shared" si="105"/>
        <v>-50090.118912187361</v>
      </c>
      <c r="L725" s="4">
        <f>IF(A725&gt;'Yield Curve'!A1339,L724,(1+VLOOKUP(A725,'Yield Curve'!A718:B1340,2,FALSE))^(1/12)-1)</f>
        <v>7.9741404289037643E-3</v>
      </c>
      <c r="M725" s="5">
        <f t="shared" si="106"/>
        <v>-168.47641960644319</v>
      </c>
    </row>
    <row r="726" spans="1:13" x14ac:dyDescent="0.25">
      <c r="A726" s="4">
        <v>718</v>
      </c>
      <c r="B726" s="4">
        <f t="shared" si="99"/>
        <v>104</v>
      </c>
      <c r="C726" s="4">
        <f t="shared" si="100"/>
        <v>733</v>
      </c>
      <c r="D726" s="4">
        <f>IF(B726&gt;'Mortality Table'!$A$118,D725,VLOOKUP(B726,'Mortality Table'!$A$2:$B$118,2,FALSE))</f>
        <v>0.59733000000000003</v>
      </c>
      <c r="E726" s="4">
        <f>IF(INT((C726-1)/12)+1&gt;'Lapse Table'!$A$11,E725,VLOOKUP(INT((C726-1)/12)+1,'Lapse Table'!$A$2:$B$11,2,FALSE))/12</f>
        <v>0</v>
      </c>
      <c r="F726" s="5">
        <f t="shared" si="107"/>
        <v>-9.4283448656208222</v>
      </c>
      <c r="G726" s="6">
        <f t="shared" si="101"/>
        <v>4.9777500000000002E-2</v>
      </c>
      <c r="H726" s="6">
        <f t="shared" si="102"/>
        <v>0</v>
      </c>
      <c r="I726" s="7">
        <f t="shared" si="103"/>
        <v>-314.27816218736075</v>
      </c>
      <c r="J726" s="8">
        <f t="shared" si="104"/>
        <v>49777.5</v>
      </c>
      <c r="K726" s="7">
        <f t="shared" si="105"/>
        <v>-50091.778162187358</v>
      </c>
      <c r="L726" s="4">
        <f>IF(A726&gt;'Yield Curve'!A1340,L725,(1+VLOOKUP(A726,'Yield Curve'!A719:B1341,2,FALSE))^(1/12)-1)</f>
        <v>7.9741404289037643E-3</v>
      </c>
      <c r="M726" s="5">
        <f t="shared" si="106"/>
        <v>-167.14912980403264</v>
      </c>
    </row>
    <row r="727" spans="1:13" x14ac:dyDescent="0.25">
      <c r="A727" s="4">
        <v>719</v>
      </c>
      <c r="B727" s="4">
        <f t="shared" si="99"/>
        <v>104</v>
      </c>
      <c r="C727" s="4">
        <f t="shared" si="100"/>
        <v>734</v>
      </c>
      <c r="D727" s="4">
        <f>IF(B727&gt;'Mortality Table'!$A$118,D726,VLOOKUP(B727,'Mortality Table'!$A$2:$B$118,2,FALSE))</f>
        <v>0.59733000000000003</v>
      </c>
      <c r="E727" s="4">
        <f>IF(INT((C727-1)/12)+1&gt;'Lapse Table'!$A$11,E726,VLOOKUP(INT((C727-1)/12)+1,'Lapse Table'!$A$2:$B$11,2,FALSE))/12</f>
        <v>0</v>
      </c>
      <c r="F727" s="5">
        <f t="shared" si="107"/>
        <v>-9.4781223656208216</v>
      </c>
      <c r="G727" s="6">
        <f t="shared" si="101"/>
        <v>4.9777500000000002E-2</v>
      </c>
      <c r="H727" s="6">
        <f t="shared" si="102"/>
        <v>0</v>
      </c>
      <c r="I727" s="7">
        <f t="shared" si="103"/>
        <v>-315.93741218736074</v>
      </c>
      <c r="J727" s="8">
        <f t="shared" si="104"/>
        <v>49777.5</v>
      </c>
      <c r="K727" s="7">
        <f t="shared" si="105"/>
        <v>-50093.437412187362</v>
      </c>
      <c r="L727" s="4">
        <f>IF(A727&gt;'Yield Curve'!A1341,L726,(1+VLOOKUP(A727,'Yield Curve'!A720:B1342,2,FALSE))^(1/12)-1)</f>
        <v>7.9741404289037643E-3</v>
      </c>
      <c r="M727" s="5">
        <f t="shared" si="106"/>
        <v>-165.83229646531512</v>
      </c>
    </row>
    <row r="728" spans="1:13" x14ac:dyDescent="0.25">
      <c r="A728" s="4">
        <v>720</v>
      </c>
      <c r="B728" s="4">
        <f t="shared" si="99"/>
        <v>105</v>
      </c>
      <c r="C728" s="4">
        <f t="shared" si="100"/>
        <v>735</v>
      </c>
      <c r="D728" s="4">
        <f>IF(B728&gt;'Mortality Table'!$A$118,D727,VLOOKUP(B728,'Mortality Table'!$A$2:$B$118,2,FALSE))</f>
        <v>0.59733000000000003</v>
      </c>
      <c r="E728" s="4">
        <f>IF(INT((C728-1)/12)+1&gt;'Lapse Table'!$A$11,E727,VLOOKUP(INT((C728-1)/12)+1,'Lapse Table'!$A$2:$B$11,2,FALSE))/12</f>
        <v>0</v>
      </c>
      <c r="F728" s="5">
        <f t="shared" si="107"/>
        <v>-9.5278998656208209</v>
      </c>
      <c r="G728" s="6">
        <f t="shared" si="101"/>
        <v>4.9777500000000002E-2</v>
      </c>
      <c r="H728" s="6">
        <f t="shared" si="102"/>
        <v>0</v>
      </c>
      <c r="I728" s="7">
        <f t="shared" si="103"/>
        <v>-317.59666218736066</v>
      </c>
      <c r="J728" s="8">
        <f t="shared" si="104"/>
        <v>49777.5</v>
      </c>
      <c r="K728" s="7">
        <f t="shared" si="105"/>
        <v>-50095.096662187359</v>
      </c>
      <c r="L728" s="4">
        <f>IF(A728&gt;'Yield Curve'!A1342,L727,(1+VLOOKUP(A728,'Yield Curve'!A721:B1343,2,FALSE))^(1/12)-1)</f>
        <v>7.9741404289037643E-3</v>
      </c>
      <c r="M728" s="5">
        <f t="shared" si="106"/>
        <v>-164.52583721512715</v>
      </c>
    </row>
    <row r="729" spans="1:13" x14ac:dyDescent="0.25">
      <c r="A729" s="4">
        <v>721</v>
      </c>
      <c r="B729" s="4">
        <f t="shared" si="99"/>
        <v>105</v>
      </c>
      <c r="C729" s="4">
        <f t="shared" si="100"/>
        <v>736</v>
      </c>
      <c r="D729" s="4">
        <f>IF(B729&gt;'Mortality Table'!$A$118,D728,VLOOKUP(B729,'Mortality Table'!$A$2:$B$118,2,FALSE))</f>
        <v>0.59733000000000003</v>
      </c>
      <c r="E729" s="4">
        <f>IF(INT((C729-1)/12)+1&gt;'Lapse Table'!$A$11,E728,VLOOKUP(INT((C729-1)/12)+1,'Lapse Table'!$A$2:$B$11,2,FALSE))/12</f>
        <v>0</v>
      </c>
      <c r="F729" s="5">
        <f t="shared" si="107"/>
        <v>-9.5776773656208203</v>
      </c>
      <c r="G729" s="6">
        <f t="shared" si="101"/>
        <v>4.9777500000000002E-2</v>
      </c>
      <c r="H729" s="6">
        <f t="shared" si="102"/>
        <v>0</v>
      </c>
      <c r="I729" s="7">
        <f t="shared" si="103"/>
        <v>-319.25591218736071</v>
      </c>
      <c r="J729" s="8">
        <f t="shared" si="104"/>
        <v>49777.5</v>
      </c>
      <c r="K729" s="7">
        <f t="shared" si="105"/>
        <v>-50096.755912187364</v>
      </c>
      <c r="L729" s="4">
        <f>IF(A729&gt;'Yield Curve'!A1343,L728,(1+VLOOKUP(A729,'Yield Curve'!A722:B1344,2,FALSE))^(1/12)-1)</f>
        <v>7.9741404289037643E-3</v>
      </c>
      <c r="M729" s="5">
        <f t="shared" si="106"/>
        <v>-163.22967032723864</v>
      </c>
    </row>
    <row r="730" spans="1:13" x14ac:dyDescent="0.25">
      <c r="A730" s="4">
        <v>722</v>
      </c>
      <c r="B730" s="4">
        <f t="shared" si="99"/>
        <v>105</v>
      </c>
      <c r="C730" s="4">
        <f t="shared" si="100"/>
        <v>737</v>
      </c>
      <c r="D730" s="4">
        <f>IF(B730&gt;'Mortality Table'!$A$118,D729,VLOOKUP(B730,'Mortality Table'!$A$2:$B$118,2,FALSE))</f>
        <v>0.59733000000000003</v>
      </c>
      <c r="E730" s="4">
        <f>IF(INT((C730-1)/12)+1&gt;'Lapse Table'!$A$11,E729,VLOOKUP(INT((C730-1)/12)+1,'Lapse Table'!$A$2:$B$11,2,FALSE))/12</f>
        <v>0</v>
      </c>
      <c r="F730" s="5">
        <f t="shared" si="107"/>
        <v>-9.6274548656208196</v>
      </c>
      <c r="G730" s="6">
        <f t="shared" si="101"/>
        <v>4.9777500000000002E-2</v>
      </c>
      <c r="H730" s="6">
        <f t="shared" si="102"/>
        <v>0</v>
      </c>
      <c r="I730" s="7">
        <f t="shared" si="103"/>
        <v>-320.91516218736064</v>
      </c>
      <c r="J730" s="8">
        <f t="shared" si="104"/>
        <v>49777.5</v>
      </c>
      <c r="K730" s="7">
        <f t="shared" si="105"/>
        <v>-50098.415162187361</v>
      </c>
      <c r="L730" s="4">
        <f>IF(A730&gt;'Yield Curve'!A1344,L729,(1+VLOOKUP(A730,'Yield Curve'!A723:B1345,2,FALSE))^(1/12)-1)</f>
        <v>7.9741404289037643E-3</v>
      </c>
      <c r="M730" s="5">
        <f t="shared" si="106"/>
        <v>-161.9437147192406</v>
      </c>
    </row>
    <row r="731" spans="1:13" x14ac:dyDescent="0.25">
      <c r="A731" s="4">
        <v>723</v>
      </c>
      <c r="B731" s="4">
        <f t="shared" si="99"/>
        <v>105</v>
      </c>
      <c r="C731" s="4">
        <f t="shared" si="100"/>
        <v>738</v>
      </c>
      <c r="D731" s="4">
        <f>IF(B731&gt;'Mortality Table'!$A$118,D730,VLOOKUP(B731,'Mortality Table'!$A$2:$B$118,2,FALSE))</f>
        <v>0.59733000000000003</v>
      </c>
      <c r="E731" s="4">
        <f>IF(INT((C731-1)/12)+1&gt;'Lapse Table'!$A$11,E730,VLOOKUP(INT((C731-1)/12)+1,'Lapse Table'!$A$2:$B$11,2,FALSE))/12</f>
        <v>0</v>
      </c>
      <c r="F731" s="5">
        <f t="shared" si="107"/>
        <v>-9.677232365620819</v>
      </c>
      <c r="G731" s="6">
        <f t="shared" si="101"/>
        <v>4.9777500000000002E-2</v>
      </c>
      <c r="H731" s="6">
        <f t="shared" si="102"/>
        <v>0</v>
      </c>
      <c r="I731" s="7">
        <f t="shared" si="103"/>
        <v>-322.57441218736062</v>
      </c>
      <c r="J731" s="8">
        <f t="shared" si="104"/>
        <v>49777.5</v>
      </c>
      <c r="K731" s="7">
        <f t="shared" si="105"/>
        <v>-50100.074412187358</v>
      </c>
      <c r="L731" s="4">
        <f>IF(A731&gt;'Yield Curve'!A1345,L730,(1+VLOOKUP(A731,'Yield Curve'!A724:B1346,2,FALSE))^(1/12)-1)</f>
        <v>7.9741404289037643E-3</v>
      </c>
      <c r="M731" s="5">
        <f t="shared" si="106"/>
        <v>-160.66788994747355</v>
      </c>
    </row>
    <row r="732" spans="1:13" x14ac:dyDescent="0.25">
      <c r="A732" s="4">
        <v>724</v>
      </c>
      <c r="B732" s="4">
        <f t="shared" si="99"/>
        <v>105</v>
      </c>
      <c r="C732" s="4">
        <f t="shared" si="100"/>
        <v>739</v>
      </c>
      <c r="D732" s="4">
        <f>IF(B732&gt;'Mortality Table'!$A$118,D731,VLOOKUP(B732,'Mortality Table'!$A$2:$B$118,2,FALSE))</f>
        <v>0.59733000000000003</v>
      </c>
      <c r="E732" s="4">
        <f>IF(INT((C732-1)/12)+1&gt;'Lapse Table'!$A$11,E731,VLOOKUP(INT((C732-1)/12)+1,'Lapse Table'!$A$2:$B$11,2,FALSE))/12</f>
        <v>0</v>
      </c>
      <c r="F732" s="5">
        <f t="shared" si="107"/>
        <v>-9.7270098656208184</v>
      </c>
      <c r="G732" s="6">
        <f t="shared" si="101"/>
        <v>4.9777500000000002E-2</v>
      </c>
      <c r="H732" s="6">
        <f t="shared" si="102"/>
        <v>0</v>
      </c>
      <c r="I732" s="7">
        <f t="shared" si="103"/>
        <v>-324.23366218736061</v>
      </c>
      <c r="J732" s="8">
        <f t="shared" si="104"/>
        <v>49777.5</v>
      </c>
      <c r="K732" s="7">
        <f t="shared" si="105"/>
        <v>-50101.733662187362</v>
      </c>
      <c r="L732" s="4">
        <f>IF(A732&gt;'Yield Curve'!A1346,L731,(1+VLOOKUP(A732,'Yield Curve'!A725:B1347,2,FALSE))^(1/12)-1)</f>
        <v>7.9741404289037643E-3</v>
      </c>
      <c r="M732" s="5">
        <f t="shared" si="106"/>
        <v>-159.40211620199563</v>
      </c>
    </row>
    <row r="733" spans="1:13" x14ac:dyDescent="0.25">
      <c r="A733" s="4">
        <v>725</v>
      </c>
      <c r="B733" s="4">
        <f t="shared" si="99"/>
        <v>105</v>
      </c>
      <c r="C733" s="4">
        <f t="shared" si="100"/>
        <v>740</v>
      </c>
      <c r="D733" s="4">
        <f>IF(B733&gt;'Mortality Table'!$A$118,D732,VLOOKUP(B733,'Mortality Table'!$A$2:$B$118,2,FALSE))</f>
        <v>0.59733000000000003</v>
      </c>
      <c r="E733" s="4">
        <f>IF(INT((C733-1)/12)+1&gt;'Lapse Table'!$A$11,E732,VLOOKUP(INT((C733-1)/12)+1,'Lapse Table'!$A$2:$B$11,2,FALSE))/12</f>
        <v>0</v>
      </c>
      <c r="F733" s="5">
        <f t="shared" si="107"/>
        <v>-9.7767873656208177</v>
      </c>
      <c r="G733" s="6">
        <f t="shared" si="101"/>
        <v>4.9777500000000002E-2</v>
      </c>
      <c r="H733" s="6">
        <f t="shared" si="102"/>
        <v>0</v>
      </c>
      <c r="I733" s="7">
        <f t="shared" si="103"/>
        <v>-325.89291218736059</v>
      </c>
      <c r="J733" s="8">
        <f t="shared" si="104"/>
        <v>49777.5</v>
      </c>
      <c r="K733" s="7">
        <f t="shared" si="105"/>
        <v>-50103.392912187359</v>
      </c>
      <c r="L733" s="4">
        <f>IF(A733&gt;'Yield Curve'!A1347,L732,(1+VLOOKUP(A733,'Yield Curve'!A726:B1348,2,FALSE))^(1/12)-1)</f>
        <v>7.9741404289037643E-3</v>
      </c>
      <c r="M733" s="5">
        <f t="shared" si="106"/>
        <v>-158.14631430159034</v>
      </c>
    </row>
    <row r="734" spans="1:13" x14ac:dyDescent="0.25">
      <c r="A734" s="4">
        <v>726</v>
      </c>
      <c r="B734" s="4">
        <f t="shared" si="99"/>
        <v>105</v>
      </c>
      <c r="C734" s="4">
        <f t="shared" si="100"/>
        <v>741</v>
      </c>
      <c r="D734" s="4">
        <f>IF(B734&gt;'Mortality Table'!$A$118,D733,VLOOKUP(B734,'Mortality Table'!$A$2:$B$118,2,FALSE))</f>
        <v>0.59733000000000003</v>
      </c>
      <c r="E734" s="4">
        <f>IF(INT((C734-1)/12)+1&gt;'Lapse Table'!$A$11,E733,VLOOKUP(INT((C734-1)/12)+1,'Lapse Table'!$A$2:$B$11,2,FALSE))/12</f>
        <v>0</v>
      </c>
      <c r="F734" s="5">
        <f t="shared" si="107"/>
        <v>-9.8265648656208171</v>
      </c>
      <c r="G734" s="6">
        <f t="shared" si="101"/>
        <v>4.9777500000000002E-2</v>
      </c>
      <c r="H734" s="6">
        <f t="shared" si="102"/>
        <v>0</v>
      </c>
      <c r="I734" s="7">
        <f t="shared" si="103"/>
        <v>-327.55216218736058</v>
      </c>
      <c r="J734" s="8">
        <f t="shared" si="104"/>
        <v>49777.5</v>
      </c>
      <c r="K734" s="7">
        <f t="shared" si="105"/>
        <v>-50105.052162187363</v>
      </c>
      <c r="L734" s="4">
        <f>IF(A734&gt;'Yield Curve'!A1348,L733,(1+VLOOKUP(A734,'Yield Curve'!A727:B1349,2,FALSE))^(1/12)-1)</f>
        <v>7.9741404289037643E-3</v>
      </c>
      <c r="M734" s="5">
        <f t="shared" si="106"/>
        <v>-156.90040568881389</v>
      </c>
    </row>
    <row r="735" spans="1:13" x14ac:dyDescent="0.25">
      <c r="A735" s="4">
        <v>727</v>
      </c>
      <c r="B735" s="4">
        <f t="shared" si="99"/>
        <v>105</v>
      </c>
      <c r="C735" s="4">
        <f t="shared" si="100"/>
        <v>742</v>
      </c>
      <c r="D735" s="4">
        <f>IF(B735&gt;'Mortality Table'!$A$118,D734,VLOOKUP(B735,'Mortality Table'!$A$2:$B$118,2,FALSE))</f>
        <v>0.59733000000000003</v>
      </c>
      <c r="E735" s="4">
        <f>IF(INT((C735-1)/12)+1&gt;'Lapse Table'!$A$11,E734,VLOOKUP(INT((C735-1)/12)+1,'Lapse Table'!$A$2:$B$11,2,FALSE))/12</f>
        <v>0</v>
      </c>
      <c r="F735" s="5">
        <f t="shared" si="107"/>
        <v>-9.8763423656208165</v>
      </c>
      <c r="G735" s="6">
        <f t="shared" si="101"/>
        <v>4.9777500000000002E-2</v>
      </c>
      <c r="H735" s="6">
        <f t="shared" si="102"/>
        <v>0</v>
      </c>
      <c r="I735" s="7">
        <f t="shared" si="103"/>
        <v>-329.21141218736057</v>
      </c>
      <c r="J735" s="8">
        <f t="shared" si="104"/>
        <v>49777.5</v>
      </c>
      <c r="K735" s="7">
        <f t="shared" si="105"/>
        <v>-50106.71141218736</v>
      </c>
      <c r="L735" s="4">
        <f>IF(A735&gt;'Yield Curve'!A1349,L734,(1+VLOOKUP(A735,'Yield Curve'!A728:B1350,2,FALSE))^(1/12)-1)</f>
        <v>7.9741404289037643E-3</v>
      </c>
      <c r="M735" s="5">
        <f t="shared" si="106"/>
        <v>-155.66431242508088</v>
      </c>
    </row>
    <row r="736" spans="1:13" x14ac:dyDescent="0.25">
      <c r="A736" s="4">
        <v>728</v>
      </c>
      <c r="B736" s="4">
        <f t="shared" si="99"/>
        <v>105</v>
      </c>
      <c r="C736" s="4">
        <f t="shared" si="100"/>
        <v>743</v>
      </c>
      <c r="D736" s="4">
        <f>IF(B736&gt;'Mortality Table'!$A$118,D735,VLOOKUP(B736,'Mortality Table'!$A$2:$B$118,2,FALSE))</f>
        <v>0.59733000000000003</v>
      </c>
      <c r="E736" s="4">
        <f>IF(INT((C736-1)/12)+1&gt;'Lapse Table'!$A$11,E735,VLOOKUP(INT((C736-1)/12)+1,'Lapse Table'!$A$2:$B$11,2,FALSE))/12</f>
        <v>0</v>
      </c>
      <c r="F736" s="5">
        <f t="shared" si="107"/>
        <v>-9.9261198656208158</v>
      </c>
      <c r="G736" s="6">
        <f t="shared" si="101"/>
        <v>4.9777500000000002E-2</v>
      </c>
      <c r="H736" s="6">
        <f t="shared" si="102"/>
        <v>0</v>
      </c>
      <c r="I736" s="7">
        <f t="shared" si="103"/>
        <v>-330.87066218736055</v>
      </c>
      <c r="J736" s="8">
        <f t="shared" si="104"/>
        <v>49777.5</v>
      </c>
      <c r="K736" s="7">
        <f t="shared" si="105"/>
        <v>-50108.370662187357</v>
      </c>
      <c r="L736" s="4">
        <f>IF(A736&gt;'Yield Curve'!A1350,L735,(1+VLOOKUP(A736,'Yield Curve'!A729:B1351,2,FALSE))^(1/12)-1)</f>
        <v>7.9741404289037643E-3</v>
      </c>
      <c r="M736" s="5">
        <f t="shared" si="106"/>
        <v>-154.43795718578954</v>
      </c>
    </row>
    <row r="737" spans="1:13" x14ac:dyDescent="0.25">
      <c r="A737" s="4">
        <v>729</v>
      </c>
      <c r="B737" s="4">
        <f t="shared" si="99"/>
        <v>105</v>
      </c>
      <c r="C737" s="4">
        <f t="shared" si="100"/>
        <v>744</v>
      </c>
      <c r="D737" s="4">
        <f>IF(B737&gt;'Mortality Table'!$A$118,D736,VLOOKUP(B737,'Mortality Table'!$A$2:$B$118,2,FALSE))</f>
        <v>0.59733000000000003</v>
      </c>
      <c r="E737" s="4">
        <f>IF(INT((C737-1)/12)+1&gt;'Lapse Table'!$A$11,E736,VLOOKUP(INT((C737-1)/12)+1,'Lapse Table'!$A$2:$B$11,2,FALSE))/12</f>
        <v>0</v>
      </c>
      <c r="F737" s="5">
        <f t="shared" si="107"/>
        <v>-9.9758973656208152</v>
      </c>
      <c r="G737" s="6">
        <f t="shared" si="101"/>
        <v>4.9777500000000002E-2</v>
      </c>
      <c r="H737" s="6">
        <f t="shared" si="102"/>
        <v>0</v>
      </c>
      <c r="I737" s="7">
        <f t="shared" si="103"/>
        <v>-332.52991218736048</v>
      </c>
      <c r="J737" s="8">
        <f t="shared" si="104"/>
        <v>49777.5</v>
      </c>
      <c r="K737" s="7">
        <f t="shared" si="105"/>
        <v>-50110.029912187361</v>
      </c>
      <c r="L737" s="4">
        <f>IF(A737&gt;'Yield Curve'!A1351,L736,(1+VLOOKUP(A737,'Yield Curve'!A730:B1352,2,FALSE))^(1/12)-1)</f>
        <v>7.9741404289037643E-3</v>
      </c>
      <c r="M737" s="5">
        <f t="shared" si="106"/>
        <v>-153.2212632554851</v>
      </c>
    </row>
    <row r="738" spans="1:13" x14ac:dyDescent="0.25">
      <c r="A738" s="4">
        <v>730</v>
      </c>
      <c r="B738" s="4">
        <f t="shared" si="99"/>
        <v>105</v>
      </c>
      <c r="C738" s="4">
        <f t="shared" si="100"/>
        <v>745</v>
      </c>
      <c r="D738" s="4">
        <f>IF(B738&gt;'Mortality Table'!$A$118,D737,VLOOKUP(B738,'Mortality Table'!$A$2:$B$118,2,FALSE))</f>
        <v>0.59733000000000003</v>
      </c>
      <c r="E738" s="4">
        <f>IF(INT((C738-1)/12)+1&gt;'Lapse Table'!$A$11,E737,VLOOKUP(INT((C738-1)/12)+1,'Lapse Table'!$A$2:$B$11,2,FALSE))/12</f>
        <v>0</v>
      </c>
      <c r="F738" s="5">
        <f t="shared" si="107"/>
        <v>-10.025674865620815</v>
      </c>
      <c r="G738" s="6">
        <f t="shared" si="101"/>
        <v>4.9777500000000002E-2</v>
      </c>
      <c r="H738" s="6">
        <f t="shared" si="102"/>
        <v>0</v>
      </c>
      <c r="I738" s="7">
        <f t="shared" si="103"/>
        <v>-334.18916218736052</v>
      </c>
      <c r="J738" s="8">
        <f t="shared" si="104"/>
        <v>49777.5</v>
      </c>
      <c r="K738" s="7">
        <f t="shared" si="105"/>
        <v>-50111.689162187358</v>
      </c>
      <c r="L738" s="4">
        <f>IF(A738&gt;'Yield Curve'!A1352,L737,(1+VLOOKUP(A738,'Yield Curve'!A731:B1353,2,FALSE))^(1/12)-1)</f>
        <v>7.9741404289037643E-3</v>
      </c>
      <c r="M738" s="5">
        <f t="shared" si="106"/>
        <v>-152.01415452306063</v>
      </c>
    </row>
    <row r="739" spans="1:13" x14ac:dyDescent="0.25">
      <c r="A739" s="4">
        <v>731</v>
      </c>
      <c r="B739" s="4">
        <f t="shared" si="99"/>
        <v>105</v>
      </c>
      <c r="C739" s="4">
        <f t="shared" si="100"/>
        <v>746</v>
      </c>
      <c r="D739" s="4">
        <f>IF(B739&gt;'Mortality Table'!$A$118,D738,VLOOKUP(B739,'Mortality Table'!$A$2:$B$118,2,FALSE))</f>
        <v>0.59733000000000003</v>
      </c>
      <c r="E739" s="4">
        <f>IF(INT((C739-1)/12)+1&gt;'Lapse Table'!$A$11,E738,VLOOKUP(INT((C739-1)/12)+1,'Lapse Table'!$A$2:$B$11,2,FALSE))/12</f>
        <v>0</v>
      </c>
      <c r="F739" s="5">
        <f t="shared" si="107"/>
        <v>-10.075452365620814</v>
      </c>
      <c r="G739" s="6">
        <f t="shared" si="101"/>
        <v>4.9777500000000002E-2</v>
      </c>
      <c r="H739" s="6">
        <f t="shared" si="102"/>
        <v>0</v>
      </c>
      <c r="I739" s="7">
        <f t="shared" si="103"/>
        <v>-335.84841218736045</v>
      </c>
      <c r="J739" s="8">
        <f t="shared" si="104"/>
        <v>49777.5</v>
      </c>
      <c r="K739" s="7">
        <f t="shared" si="105"/>
        <v>-50113.348412187363</v>
      </c>
      <c r="L739" s="4">
        <f>IF(A739&gt;'Yield Curve'!A1353,L738,(1+VLOOKUP(A739,'Yield Curve'!A732:B1354,2,FALSE))^(1/12)-1)</f>
        <v>7.9741404289037643E-3</v>
      </c>
      <c r="M739" s="5">
        <f t="shared" si="106"/>
        <v>-150.81655547699674</v>
      </c>
    </row>
    <row r="740" spans="1:13" x14ac:dyDescent="0.25">
      <c r="A740" s="4">
        <v>732</v>
      </c>
      <c r="B740" s="4">
        <f t="shared" si="99"/>
        <v>106</v>
      </c>
      <c r="C740" s="4">
        <f t="shared" si="100"/>
        <v>747</v>
      </c>
      <c r="D740" s="4">
        <f>IF(B740&gt;'Mortality Table'!$A$118,D739,VLOOKUP(B740,'Mortality Table'!$A$2:$B$118,2,FALSE))</f>
        <v>0.59733000000000003</v>
      </c>
      <c r="E740" s="4">
        <f>IF(INT((C740-1)/12)+1&gt;'Lapse Table'!$A$11,E739,VLOOKUP(INT((C740-1)/12)+1,'Lapse Table'!$A$2:$B$11,2,FALSE))/12</f>
        <v>0</v>
      </c>
      <c r="F740" s="5">
        <f t="shared" si="107"/>
        <v>-10.125229865620813</v>
      </c>
      <c r="G740" s="6">
        <f t="shared" si="101"/>
        <v>4.9777500000000002E-2</v>
      </c>
      <c r="H740" s="6">
        <f t="shared" si="102"/>
        <v>0</v>
      </c>
      <c r="I740" s="7">
        <f t="shared" si="103"/>
        <v>-337.50766218736044</v>
      </c>
      <c r="J740" s="8">
        <f t="shared" si="104"/>
        <v>49777.5</v>
      </c>
      <c r="K740" s="7">
        <f t="shared" si="105"/>
        <v>-50115.00766218736</v>
      </c>
      <c r="L740" s="4">
        <f>IF(A740&gt;'Yield Curve'!A1354,L739,(1+VLOOKUP(A740,'Yield Curve'!A733:B1355,2,FALSE))^(1/12)-1)</f>
        <v>7.9741404289037643E-3</v>
      </c>
      <c r="M740" s="5">
        <f t="shared" si="106"/>
        <v>-149.62839120063774</v>
      </c>
    </row>
    <row r="741" spans="1:13" x14ac:dyDescent="0.25">
      <c r="A741" s="4">
        <v>733</v>
      </c>
      <c r="B741" s="4">
        <f t="shared" si="99"/>
        <v>106</v>
      </c>
      <c r="C741" s="4">
        <f t="shared" si="100"/>
        <v>748</v>
      </c>
      <c r="D741" s="4">
        <f>IF(B741&gt;'Mortality Table'!$A$118,D740,VLOOKUP(B741,'Mortality Table'!$A$2:$B$118,2,FALSE))</f>
        <v>0.59733000000000003</v>
      </c>
      <c r="E741" s="4">
        <f>IF(INT((C741-1)/12)+1&gt;'Lapse Table'!$A$11,E740,VLOOKUP(INT((C741-1)/12)+1,'Lapse Table'!$A$2:$B$11,2,FALSE))/12</f>
        <v>0</v>
      </c>
      <c r="F741" s="5">
        <f t="shared" si="107"/>
        <v>-10.175007365620813</v>
      </c>
      <c r="G741" s="6">
        <f t="shared" si="101"/>
        <v>4.9777500000000002E-2</v>
      </c>
      <c r="H741" s="6">
        <f t="shared" si="102"/>
        <v>0</v>
      </c>
      <c r="I741" s="7">
        <f t="shared" si="103"/>
        <v>-339.16691218736042</v>
      </c>
      <c r="J741" s="8">
        <f t="shared" si="104"/>
        <v>49777.5</v>
      </c>
      <c r="K741" s="7">
        <f t="shared" si="105"/>
        <v>-50116.666912187364</v>
      </c>
      <c r="L741" s="4">
        <f>IF(A741&gt;'Yield Curve'!A1355,L740,(1+VLOOKUP(A741,'Yield Curve'!A734:B1356,2,FALSE))^(1/12)-1)</f>
        <v>7.9741404289037643E-3</v>
      </c>
      <c r="M741" s="5">
        <f t="shared" si="106"/>
        <v>-148.44958736750601</v>
      </c>
    </row>
    <row r="742" spans="1:13" x14ac:dyDescent="0.25">
      <c r="A742" s="4">
        <v>734</v>
      </c>
      <c r="B742" s="4">
        <f t="shared" si="99"/>
        <v>106</v>
      </c>
      <c r="C742" s="4">
        <f t="shared" si="100"/>
        <v>749</v>
      </c>
      <c r="D742" s="4">
        <f>IF(B742&gt;'Mortality Table'!$A$118,D741,VLOOKUP(B742,'Mortality Table'!$A$2:$B$118,2,FALSE))</f>
        <v>0.59733000000000003</v>
      </c>
      <c r="E742" s="4">
        <f>IF(INT((C742-1)/12)+1&gt;'Lapse Table'!$A$11,E741,VLOOKUP(INT((C742-1)/12)+1,'Lapse Table'!$A$2:$B$11,2,FALSE))/12</f>
        <v>0</v>
      </c>
      <c r="F742" s="5">
        <f t="shared" si="107"/>
        <v>-10.224784865620812</v>
      </c>
      <c r="G742" s="6">
        <f t="shared" si="101"/>
        <v>4.9777500000000002E-2</v>
      </c>
      <c r="H742" s="6">
        <f t="shared" si="102"/>
        <v>0</v>
      </c>
      <c r="I742" s="7">
        <f t="shared" si="103"/>
        <v>-340.82616218736041</v>
      </c>
      <c r="J742" s="8">
        <f t="shared" si="104"/>
        <v>49777.5</v>
      </c>
      <c r="K742" s="7">
        <f t="shared" si="105"/>
        <v>-50118.326162187361</v>
      </c>
      <c r="L742" s="4">
        <f>IF(A742&gt;'Yield Curve'!A1356,L741,(1+VLOOKUP(A742,'Yield Curve'!A735:B1357,2,FALSE))^(1/12)-1)</f>
        <v>7.9741404289037643E-3</v>
      </c>
      <c r="M742" s="5">
        <f t="shared" si="106"/>
        <v>-147.28007023665245</v>
      </c>
    </row>
    <row r="743" spans="1:13" x14ac:dyDescent="0.25">
      <c r="A743" s="4">
        <v>735</v>
      </c>
      <c r="B743" s="4">
        <f t="shared" si="99"/>
        <v>106</v>
      </c>
      <c r="C743" s="4">
        <f t="shared" si="100"/>
        <v>750</v>
      </c>
      <c r="D743" s="4">
        <f>IF(B743&gt;'Mortality Table'!$A$118,D742,VLOOKUP(B743,'Mortality Table'!$A$2:$B$118,2,FALSE))</f>
        <v>0.59733000000000003</v>
      </c>
      <c r="E743" s="4">
        <f>IF(INT((C743-1)/12)+1&gt;'Lapse Table'!$A$11,E742,VLOOKUP(INT((C743-1)/12)+1,'Lapse Table'!$A$2:$B$11,2,FALSE))/12</f>
        <v>0</v>
      </c>
      <c r="F743" s="5">
        <f t="shared" si="107"/>
        <v>-10.274562365620811</v>
      </c>
      <c r="G743" s="6">
        <f t="shared" si="101"/>
        <v>4.9777500000000002E-2</v>
      </c>
      <c r="H743" s="6">
        <f t="shared" si="102"/>
        <v>0</v>
      </c>
      <c r="I743" s="7">
        <f t="shared" si="103"/>
        <v>-342.4854121873604</v>
      </c>
      <c r="J743" s="8">
        <f t="shared" si="104"/>
        <v>49777.5</v>
      </c>
      <c r="K743" s="7">
        <f t="shared" si="105"/>
        <v>-50119.985412187358</v>
      </c>
      <c r="L743" s="4">
        <f>IF(A743&gt;'Yield Curve'!A1357,L742,(1+VLOOKUP(A743,'Yield Curve'!A736:B1358,2,FALSE))^(1/12)-1)</f>
        <v>7.9741404289037643E-3</v>
      </c>
      <c r="M743" s="5">
        <f t="shared" si="106"/>
        <v>-146.11976664804394</v>
      </c>
    </row>
    <row r="744" spans="1:13" x14ac:dyDescent="0.25">
      <c r="A744" s="4">
        <v>736</v>
      </c>
      <c r="B744" s="4">
        <f t="shared" si="99"/>
        <v>106</v>
      </c>
      <c r="C744" s="4">
        <f t="shared" si="100"/>
        <v>751</v>
      </c>
      <c r="D744" s="4">
        <f>IF(B744&gt;'Mortality Table'!$A$118,D743,VLOOKUP(B744,'Mortality Table'!$A$2:$B$118,2,FALSE))</f>
        <v>0.59733000000000003</v>
      </c>
      <c r="E744" s="4">
        <f>IF(INT((C744-1)/12)+1&gt;'Lapse Table'!$A$11,E743,VLOOKUP(INT((C744-1)/12)+1,'Lapse Table'!$A$2:$B$11,2,FALSE))/12</f>
        <v>0</v>
      </c>
      <c r="F744" s="5">
        <f t="shared" si="107"/>
        <v>-10.324339865620811</v>
      </c>
      <c r="G744" s="6">
        <f t="shared" si="101"/>
        <v>4.9777500000000002E-2</v>
      </c>
      <c r="H744" s="6">
        <f t="shared" si="102"/>
        <v>0</v>
      </c>
      <c r="I744" s="7">
        <f t="shared" si="103"/>
        <v>-344.14466218736038</v>
      </c>
      <c r="J744" s="8">
        <f t="shared" si="104"/>
        <v>49777.5</v>
      </c>
      <c r="K744" s="7">
        <f t="shared" si="105"/>
        <v>-50121.644662187362</v>
      </c>
      <c r="L744" s="4">
        <f>IF(A744&gt;'Yield Curve'!A1358,L743,(1+VLOOKUP(A744,'Yield Curve'!A737:B1359,2,FALSE))^(1/12)-1)</f>
        <v>7.9741404289037643E-3</v>
      </c>
      <c r="M744" s="5">
        <f t="shared" si="106"/>
        <v>-144.96860401798705</v>
      </c>
    </row>
    <row r="745" spans="1:13" x14ac:dyDescent="0.25">
      <c r="A745" s="4">
        <v>737</v>
      </c>
      <c r="B745" s="4">
        <f t="shared" si="99"/>
        <v>106</v>
      </c>
      <c r="C745" s="4">
        <f t="shared" si="100"/>
        <v>752</v>
      </c>
      <c r="D745" s="4">
        <f>IF(B745&gt;'Mortality Table'!$A$118,D744,VLOOKUP(B745,'Mortality Table'!$A$2:$B$118,2,FALSE))</f>
        <v>0.59733000000000003</v>
      </c>
      <c r="E745" s="4">
        <f>IF(INT((C745-1)/12)+1&gt;'Lapse Table'!$A$11,E744,VLOOKUP(INT((C745-1)/12)+1,'Lapse Table'!$A$2:$B$11,2,FALSE))/12</f>
        <v>0</v>
      </c>
      <c r="F745" s="5">
        <f t="shared" si="107"/>
        <v>-10.37411736562081</v>
      </c>
      <c r="G745" s="6">
        <f t="shared" si="101"/>
        <v>4.9777500000000002E-2</v>
      </c>
      <c r="H745" s="6">
        <f t="shared" si="102"/>
        <v>0</v>
      </c>
      <c r="I745" s="7">
        <f t="shared" si="103"/>
        <v>-345.80391218736031</v>
      </c>
      <c r="J745" s="8">
        <f t="shared" si="104"/>
        <v>49777.5</v>
      </c>
      <c r="K745" s="7">
        <f t="shared" si="105"/>
        <v>-50123.303912187359</v>
      </c>
      <c r="L745" s="4">
        <f>IF(A745&gt;'Yield Curve'!A1359,L744,(1+VLOOKUP(A745,'Yield Curve'!A738:B1360,2,FALSE))^(1/12)-1)</f>
        <v>7.9741404289037643E-3</v>
      </c>
      <c r="M745" s="5">
        <f t="shared" si="106"/>
        <v>-143.82651033458819</v>
      </c>
    </row>
    <row r="746" spans="1:13" x14ac:dyDescent="0.25">
      <c r="A746" s="4">
        <v>738</v>
      </c>
      <c r="B746" s="4">
        <f t="shared" si="99"/>
        <v>106</v>
      </c>
      <c r="C746" s="4">
        <f t="shared" si="100"/>
        <v>753</v>
      </c>
      <c r="D746" s="4">
        <f>IF(B746&gt;'Mortality Table'!$A$118,D745,VLOOKUP(B746,'Mortality Table'!$A$2:$B$118,2,FALSE))</f>
        <v>0.59733000000000003</v>
      </c>
      <c r="E746" s="4">
        <f>IF(INT((C746-1)/12)+1&gt;'Lapse Table'!$A$11,E745,VLOOKUP(INT((C746-1)/12)+1,'Lapse Table'!$A$2:$B$11,2,FALSE))/12</f>
        <v>0</v>
      </c>
      <c r="F746" s="5">
        <f t="shared" si="107"/>
        <v>-10.423894865620809</v>
      </c>
      <c r="G746" s="6">
        <f t="shared" si="101"/>
        <v>4.9777500000000002E-2</v>
      </c>
      <c r="H746" s="6">
        <f t="shared" si="102"/>
        <v>0</v>
      </c>
      <c r="I746" s="7">
        <f t="shared" si="103"/>
        <v>-347.4631621873603</v>
      </c>
      <c r="J746" s="8">
        <f t="shared" si="104"/>
        <v>49777.5</v>
      </c>
      <c r="K746" s="7">
        <f t="shared" si="105"/>
        <v>-50124.963162187363</v>
      </c>
      <c r="L746" s="4">
        <f>IF(A746&gt;'Yield Curve'!A1360,L745,(1+VLOOKUP(A746,'Yield Curve'!A739:B1361,2,FALSE))^(1/12)-1)</f>
        <v>7.9741404289037643E-3</v>
      </c>
      <c r="M746" s="5">
        <f t="shared" si="106"/>
        <v>-142.69341415324868</v>
      </c>
    </row>
    <row r="747" spans="1:13" x14ac:dyDescent="0.25">
      <c r="A747" s="4">
        <v>739</v>
      </c>
      <c r="B747" s="4">
        <f t="shared" si="99"/>
        <v>106</v>
      </c>
      <c r="C747" s="4">
        <f t="shared" si="100"/>
        <v>754</v>
      </c>
      <c r="D747" s="4">
        <f>IF(B747&gt;'Mortality Table'!$A$118,D746,VLOOKUP(B747,'Mortality Table'!$A$2:$B$118,2,FALSE))</f>
        <v>0.59733000000000003</v>
      </c>
      <c r="E747" s="4">
        <f>IF(INT((C747-1)/12)+1&gt;'Lapse Table'!$A$11,E746,VLOOKUP(INT((C747-1)/12)+1,'Lapse Table'!$A$2:$B$11,2,FALSE))/12</f>
        <v>0</v>
      </c>
      <c r="F747" s="5">
        <f t="shared" si="107"/>
        <v>-10.473672365620809</v>
      </c>
      <c r="G747" s="6">
        <f t="shared" si="101"/>
        <v>4.9777500000000002E-2</v>
      </c>
      <c r="H747" s="6">
        <f t="shared" si="102"/>
        <v>0</v>
      </c>
      <c r="I747" s="7">
        <f t="shared" si="103"/>
        <v>-349.12241218736034</v>
      </c>
      <c r="J747" s="8">
        <f t="shared" si="104"/>
        <v>49777.5</v>
      </c>
      <c r="K747" s="7">
        <f t="shared" si="105"/>
        <v>-50126.62241218736</v>
      </c>
      <c r="L747" s="4">
        <f>IF(A747&gt;'Yield Curve'!A1361,L746,(1+VLOOKUP(A747,'Yield Curve'!A740:B1362,2,FALSE))^(1/12)-1)</f>
        <v>7.9741404289037643E-3</v>
      </c>
      <c r="M747" s="5">
        <f t="shared" si="106"/>
        <v>-141.5692445921961</v>
      </c>
    </row>
    <row r="748" spans="1:13" x14ac:dyDescent="0.25">
      <c r="A748" s="4">
        <v>740</v>
      </c>
      <c r="B748" s="4">
        <f t="shared" si="99"/>
        <v>106</v>
      </c>
      <c r="C748" s="4">
        <f t="shared" si="100"/>
        <v>755</v>
      </c>
      <c r="D748" s="4">
        <f>IF(B748&gt;'Mortality Table'!$A$118,D747,VLOOKUP(B748,'Mortality Table'!$A$2:$B$118,2,FALSE))</f>
        <v>0.59733000000000003</v>
      </c>
      <c r="E748" s="4">
        <f>IF(INT((C748-1)/12)+1&gt;'Lapse Table'!$A$11,E747,VLOOKUP(INT((C748-1)/12)+1,'Lapse Table'!$A$2:$B$11,2,FALSE))/12</f>
        <v>0</v>
      </c>
      <c r="F748" s="5">
        <f t="shared" si="107"/>
        <v>-10.523449865620808</v>
      </c>
      <c r="G748" s="6">
        <f t="shared" si="101"/>
        <v>4.9777500000000002E-2</v>
      </c>
      <c r="H748" s="6">
        <f t="shared" si="102"/>
        <v>0</v>
      </c>
      <c r="I748" s="7">
        <f t="shared" si="103"/>
        <v>-350.78166218736027</v>
      </c>
      <c r="J748" s="8">
        <f t="shared" si="104"/>
        <v>49777.5</v>
      </c>
      <c r="K748" s="7">
        <f t="shared" si="105"/>
        <v>-50128.281662187357</v>
      </c>
      <c r="L748" s="4">
        <f>IF(A748&gt;'Yield Curve'!A1362,L747,(1+VLOOKUP(A748,'Yield Curve'!A741:B1363,2,FALSE))^(1/12)-1)</f>
        <v>7.9741404289037643E-3</v>
      </c>
      <c r="M748" s="5">
        <f t="shared" si="106"/>
        <v>-140.45393132805026</v>
      </c>
    </row>
    <row r="749" spans="1:13" x14ac:dyDescent="0.25">
      <c r="A749" s="4">
        <v>741</v>
      </c>
      <c r="B749" s="4">
        <f t="shared" si="99"/>
        <v>106</v>
      </c>
      <c r="C749" s="4">
        <f t="shared" si="100"/>
        <v>756</v>
      </c>
      <c r="D749" s="4">
        <f>IF(B749&gt;'Mortality Table'!$A$118,D748,VLOOKUP(B749,'Mortality Table'!$A$2:$B$118,2,FALSE))</f>
        <v>0.59733000000000003</v>
      </c>
      <c r="E749" s="4">
        <f>IF(INT((C749-1)/12)+1&gt;'Lapse Table'!$A$11,E748,VLOOKUP(INT((C749-1)/12)+1,'Lapse Table'!$A$2:$B$11,2,FALSE))/12</f>
        <v>0</v>
      </c>
      <c r="F749" s="5">
        <f t="shared" si="107"/>
        <v>-10.573227365620808</v>
      </c>
      <c r="G749" s="6">
        <f t="shared" si="101"/>
        <v>4.9777500000000002E-2</v>
      </c>
      <c r="H749" s="6">
        <f t="shared" si="102"/>
        <v>0</v>
      </c>
      <c r="I749" s="7">
        <f t="shared" si="103"/>
        <v>-352.44091218736025</v>
      </c>
      <c r="J749" s="8">
        <f t="shared" si="104"/>
        <v>49777.5</v>
      </c>
      <c r="K749" s="7">
        <f t="shared" si="105"/>
        <v>-50129.940912187361</v>
      </c>
      <c r="L749" s="4">
        <f>IF(A749&gt;'Yield Curve'!A1363,L748,(1+VLOOKUP(A749,'Yield Curve'!A742:B1364,2,FALSE))^(1/12)-1)</f>
        <v>7.9741404289037643E-3</v>
      </c>
      <c r="M749" s="5">
        <f t="shared" si="106"/>
        <v>-139.34740459142483</v>
      </c>
    </row>
    <row r="750" spans="1:13" x14ac:dyDescent="0.25">
      <c r="A750" s="4">
        <v>742</v>
      </c>
      <c r="B750" s="4">
        <f t="shared" si="99"/>
        <v>106</v>
      </c>
      <c r="C750" s="4">
        <f t="shared" si="100"/>
        <v>757</v>
      </c>
      <c r="D750" s="4">
        <f>IF(B750&gt;'Mortality Table'!$A$118,D749,VLOOKUP(B750,'Mortality Table'!$A$2:$B$118,2,FALSE))</f>
        <v>0.59733000000000003</v>
      </c>
      <c r="E750" s="4">
        <f>IF(INT((C750-1)/12)+1&gt;'Lapse Table'!$A$11,E749,VLOOKUP(INT((C750-1)/12)+1,'Lapse Table'!$A$2:$B$11,2,FALSE))/12</f>
        <v>0</v>
      </c>
      <c r="F750" s="5">
        <f t="shared" si="107"/>
        <v>-10.623004865620807</v>
      </c>
      <c r="G750" s="6">
        <f t="shared" si="101"/>
        <v>4.9777500000000002E-2</v>
      </c>
      <c r="H750" s="6">
        <f t="shared" si="102"/>
        <v>0</v>
      </c>
      <c r="I750" s="7">
        <f t="shared" si="103"/>
        <v>-354.10016218736024</v>
      </c>
      <c r="J750" s="8">
        <f t="shared" si="104"/>
        <v>49777.5</v>
      </c>
      <c r="K750" s="7">
        <f t="shared" si="105"/>
        <v>-50131.600162187358</v>
      </c>
      <c r="L750" s="4">
        <f>IF(A750&gt;'Yield Curve'!A1364,L749,(1+VLOOKUP(A750,'Yield Curve'!A743:B1365,2,FALSE))^(1/12)-1)</f>
        <v>7.9741404289037643E-3</v>
      </c>
      <c r="M750" s="5">
        <f t="shared" si="106"/>
        <v>-138.24959516256268</v>
      </c>
    </row>
    <row r="751" spans="1:13" x14ac:dyDescent="0.25">
      <c r="A751" s="4">
        <v>743</v>
      </c>
      <c r="B751" s="4">
        <f t="shared" si="99"/>
        <v>106</v>
      </c>
      <c r="C751" s="4">
        <f t="shared" si="100"/>
        <v>758</v>
      </c>
      <c r="D751" s="4">
        <f>IF(B751&gt;'Mortality Table'!$A$118,D750,VLOOKUP(B751,'Mortality Table'!$A$2:$B$118,2,FALSE))</f>
        <v>0.59733000000000003</v>
      </c>
      <c r="E751" s="4">
        <f>IF(INT((C751-1)/12)+1&gt;'Lapse Table'!$A$11,E750,VLOOKUP(INT((C751-1)/12)+1,'Lapse Table'!$A$2:$B$11,2,FALSE))/12</f>
        <v>0</v>
      </c>
      <c r="F751" s="5">
        <f t="shared" si="107"/>
        <v>-10.672782365620806</v>
      </c>
      <c r="G751" s="6">
        <f t="shared" si="101"/>
        <v>4.9777500000000002E-2</v>
      </c>
      <c r="H751" s="6">
        <f t="shared" si="102"/>
        <v>0</v>
      </c>
      <c r="I751" s="7">
        <f t="shared" si="103"/>
        <v>-355.75941218736017</v>
      </c>
      <c r="J751" s="8">
        <f t="shared" si="104"/>
        <v>49777.5</v>
      </c>
      <c r="K751" s="7">
        <f t="shared" si="105"/>
        <v>-50133.259412187363</v>
      </c>
      <c r="L751" s="4">
        <f>IF(A751&gt;'Yield Curve'!A1365,L750,(1+VLOOKUP(A751,'Yield Curve'!A744:B1366,2,FALSE))^(1/12)-1)</f>
        <v>7.9741404289037643E-3</v>
      </c>
      <c r="M751" s="5">
        <f t="shared" si="106"/>
        <v>-137.16043436700636</v>
      </c>
    </row>
    <row r="752" spans="1:13" x14ac:dyDescent="0.25">
      <c r="A752" s="4">
        <v>744</v>
      </c>
      <c r="B752" s="4">
        <f t="shared" si="99"/>
        <v>107</v>
      </c>
      <c r="C752" s="4">
        <f t="shared" si="100"/>
        <v>759</v>
      </c>
      <c r="D752" s="4">
        <f>IF(B752&gt;'Mortality Table'!$A$118,D751,VLOOKUP(B752,'Mortality Table'!$A$2:$B$118,2,FALSE))</f>
        <v>0.59733000000000003</v>
      </c>
      <c r="E752" s="4">
        <f>IF(INT((C752-1)/12)+1&gt;'Lapse Table'!$A$11,E751,VLOOKUP(INT((C752-1)/12)+1,'Lapse Table'!$A$2:$B$11,2,FALSE))/12</f>
        <v>0</v>
      </c>
      <c r="F752" s="5">
        <f t="shared" si="107"/>
        <v>-10.722559865620806</v>
      </c>
      <c r="G752" s="6">
        <f t="shared" si="101"/>
        <v>4.9777500000000002E-2</v>
      </c>
      <c r="H752" s="6">
        <f t="shared" si="102"/>
        <v>0</v>
      </c>
      <c r="I752" s="7">
        <f t="shared" si="103"/>
        <v>-357.41866218736021</v>
      </c>
      <c r="J752" s="8">
        <f t="shared" si="104"/>
        <v>49777.5</v>
      </c>
      <c r="K752" s="7">
        <f t="shared" si="105"/>
        <v>-50134.91866218736</v>
      </c>
      <c r="L752" s="4">
        <f>IF(A752&gt;'Yield Curve'!A1366,L751,(1+VLOOKUP(A752,'Yield Curve'!A745:B1367,2,FALSE))^(1/12)-1)</f>
        <v>7.9741404289037643E-3</v>
      </c>
      <c r="M752" s="5">
        <f t="shared" si="106"/>
        <v>-136.07985407130241</v>
      </c>
    </row>
    <row r="753" spans="1:13" x14ac:dyDescent="0.25">
      <c r="A753" s="4">
        <v>745</v>
      </c>
      <c r="B753" s="4">
        <f t="shared" si="99"/>
        <v>107</v>
      </c>
      <c r="C753" s="4">
        <f t="shared" si="100"/>
        <v>760</v>
      </c>
      <c r="D753" s="4">
        <f>IF(B753&gt;'Mortality Table'!$A$118,D752,VLOOKUP(B753,'Mortality Table'!$A$2:$B$118,2,FALSE))</f>
        <v>0.59733000000000003</v>
      </c>
      <c r="E753" s="4">
        <f>IF(INT((C753-1)/12)+1&gt;'Lapse Table'!$A$11,E752,VLOOKUP(INT((C753-1)/12)+1,'Lapse Table'!$A$2:$B$11,2,FALSE))/12</f>
        <v>0</v>
      </c>
      <c r="F753" s="5">
        <f t="shared" si="107"/>
        <v>-10.772337365620805</v>
      </c>
      <c r="G753" s="6">
        <f t="shared" si="101"/>
        <v>4.9777500000000002E-2</v>
      </c>
      <c r="H753" s="6">
        <f t="shared" si="102"/>
        <v>0</v>
      </c>
      <c r="I753" s="7">
        <f t="shared" si="103"/>
        <v>-359.0779121873602</v>
      </c>
      <c r="J753" s="8">
        <f t="shared" si="104"/>
        <v>49777.5</v>
      </c>
      <c r="K753" s="7">
        <f t="shared" si="105"/>
        <v>-50136.577912187364</v>
      </c>
      <c r="L753" s="4">
        <f>IF(A753&gt;'Yield Curve'!A1367,L752,(1+VLOOKUP(A753,'Yield Curve'!A746:B1368,2,FALSE))^(1/12)-1)</f>
        <v>7.9741404289037643E-3</v>
      </c>
      <c r="M753" s="5">
        <f t="shared" si="106"/>
        <v>-135.00778667873936</v>
      </c>
    </row>
    <row r="754" spans="1:13" x14ac:dyDescent="0.25">
      <c r="A754" s="4">
        <v>746</v>
      </c>
      <c r="B754" s="4">
        <f t="shared" si="99"/>
        <v>107</v>
      </c>
      <c r="C754" s="4">
        <f t="shared" si="100"/>
        <v>761</v>
      </c>
      <c r="D754" s="4">
        <f>IF(B754&gt;'Mortality Table'!$A$118,D753,VLOOKUP(B754,'Mortality Table'!$A$2:$B$118,2,FALSE))</f>
        <v>0.59733000000000003</v>
      </c>
      <c r="E754" s="4">
        <f>IF(INT((C754-1)/12)+1&gt;'Lapse Table'!$A$11,E753,VLOOKUP(INT((C754-1)/12)+1,'Lapse Table'!$A$2:$B$11,2,FALSE))/12</f>
        <v>0</v>
      </c>
      <c r="F754" s="5">
        <f t="shared" si="107"/>
        <v>-10.822114865620804</v>
      </c>
      <c r="G754" s="6">
        <f t="shared" si="101"/>
        <v>4.9777500000000002E-2</v>
      </c>
      <c r="H754" s="6">
        <f t="shared" si="102"/>
        <v>0</v>
      </c>
      <c r="I754" s="7">
        <f t="shared" si="103"/>
        <v>-360.73716218736013</v>
      </c>
      <c r="J754" s="8">
        <f t="shared" si="104"/>
        <v>49777.5</v>
      </c>
      <c r="K754" s="7">
        <f t="shared" si="105"/>
        <v>-50138.237162187361</v>
      </c>
      <c r="L754" s="4">
        <f>IF(A754&gt;'Yield Curve'!A1368,L753,(1+VLOOKUP(A754,'Yield Curve'!A747:B1369,2,FALSE))^(1/12)-1)</f>
        <v>7.9741404289037643E-3</v>
      </c>
      <c r="M754" s="5">
        <f t="shared" si="106"/>
        <v>-133.94416512511961</v>
      </c>
    </row>
    <row r="755" spans="1:13" x14ac:dyDescent="0.25">
      <c r="A755" s="4">
        <v>747</v>
      </c>
      <c r="B755" s="4">
        <f t="shared" si="99"/>
        <v>107</v>
      </c>
      <c r="C755" s="4">
        <f t="shared" si="100"/>
        <v>762</v>
      </c>
      <c r="D755" s="4">
        <f>IF(B755&gt;'Mortality Table'!$A$118,D754,VLOOKUP(B755,'Mortality Table'!$A$2:$B$118,2,FALSE))</f>
        <v>0.59733000000000003</v>
      </c>
      <c r="E755" s="4">
        <f>IF(INT((C755-1)/12)+1&gt;'Lapse Table'!$A$11,E754,VLOOKUP(INT((C755-1)/12)+1,'Lapse Table'!$A$2:$B$11,2,FALSE))/12</f>
        <v>0</v>
      </c>
      <c r="F755" s="5">
        <f t="shared" si="107"/>
        <v>-10.871892365620804</v>
      </c>
      <c r="G755" s="6">
        <f t="shared" si="101"/>
        <v>4.9777500000000002E-2</v>
      </c>
      <c r="H755" s="6">
        <f t="shared" si="102"/>
        <v>0</v>
      </c>
      <c r="I755" s="7">
        <f t="shared" si="103"/>
        <v>-362.39641218736011</v>
      </c>
      <c r="J755" s="8">
        <f t="shared" si="104"/>
        <v>49777.5</v>
      </c>
      <c r="K755" s="7">
        <f t="shared" si="105"/>
        <v>-50139.896412187358</v>
      </c>
      <c r="L755" s="4">
        <f>IF(A755&gt;'Yield Curve'!A1369,L754,(1+VLOOKUP(A755,'Yield Curve'!A748:B1370,2,FALSE))^(1/12)-1)</f>
        <v>7.9741404289037643E-3</v>
      </c>
      <c r="M755" s="5">
        <f t="shared" si="106"/>
        <v>-132.88892287456446</v>
      </c>
    </row>
    <row r="756" spans="1:13" x14ac:dyDescent="0.25">
      <c r="A756" s="4">
        <v>748</v>
      </c>
      <c r="B756" s="4">
        <f t="shared" si="99"/>
        <v>107</v>
      </c>
      <c r="C756" s="4">
        <f t="shared" si="100"/>
        <v>763</v>
      </c>
      <c r="D756" s="4">
        <f>IF(B756&gt;'Mortality Table'!$A$118,D755,VLOOKUP(B756,'Mortality Table'!$A$2:$B$118,2,FALSE))</f>
        <v>0.59733000000000003</v>
      </c>
      <c r="E756" s="4">
        <f>IF(INT((C756-1)/12)+1&gt;'Lapse Table'!$A$11,E755,VLOOKUP(INT((C756-1)/12)+1,'Lapse Table'!$A$2:$B$11,2,FALSE))/12</f>
        <v>0</v>
      </c>
      <c r="F756" s="5">
        <f t="shared" si="107"/>
        <v>-10.921669865620803</v>
      </c>
      <c r="G756" s="6">
        <f t="shared" si="101"/>
        <v>4.9777500000000002E-2</v>
      </c>
      <c r="H756" s="6">
        <f t="shared" si="102"/>
        <v>0</v>
      </c>
      <c r="I756" s="7">
        <f t="shared" si="103"/>
        <v>-364.05566218736016</v>
      </c>
      <c r="J756" s="8">
        <f t="shared" si="104"/>
        <v>49777.5</v>
      </c>
      <c r="K756" s="7">
        <f t="shared" si="105"/>
        <v>-50141.555662187362</v>
      </c>
      <c r="L756" s="4">
        <f>IF(A756&gt;'Yield Curve'!A1370,L755,(1+VLOOKUP(A756,'Yield Curve'!A749:B1371,2,FALSE))^(1/12)-1)</f>
        <v>7.9741404289037643E-3</v>
      </c>
      <c r="M756" s="5">
        <f t="shared" si="106"/>
        <v>-131.84199391535196</v>
      </c>
    </row>
    <row r="757" spans="1:13" x14ac:dyDescent="0.25">
      <c r="A757" s="4">
        <v>749</v>
      </c>
      <c r="B757" s="4">
        <f t="shared" si="99"/>
        <v>107</v>
      </c>
      <c r="C757" s="4">
        <f t="shared" si="100"/>
        <v>764</v>
      </c>
      <c r="D757" s="4">
        <f>IF(B757&gt;'Mortality Table'!$A$118,D756,VLOOKUP(B757,'Mortality Table'!$A$2:$B$118,2,FALSE))</f>
        <v>0.59733000000000003</v>
      </c>
      <c r="E757" s="4">
        <f>IF(INT((C757-1)/12)+1&gt;'Lapse Table'!$A$11,E756,VLOOKUP(INT((C757-1)/12)+1,'Lapse Table'!$A$2:$B$11,2,FALSE))/12</f>
        <v>0</v>
      </c>
      <c r="F757" s="5">
        <f t="shared" si="107"/>
        <v>-10.971447365620802</v>
      </c>
      <c r="G757" s="6">
        <f t="shared" si="101"/>
        <v>4.9777500000000002E-2</v>
      </c>
      <c r="H757" s="6">
        <f t="shared" si="102"/>
        <v>0</v>
      </c>
      <c r="I757" s="7">
        <f t="shared" si="103"/>
        <v>-365.71491218736008</v>
      </c>
      <c r="J757" s="8">
        <f t="shared" si="104"/>
        <v>49777.5</v>
      </c>
      <c r="K757" s="7">
        <f t="shared" si="105"/>
        <v>-50143.214912187359</v>
      </c>
      <c r="L757" s="4">
        <f>IF(A757&gt;'Yield Curve'!A1371,L756,(1+VLOOKUP(A757,'Yield Curve'!A750:B1372,2,FALSE))^(1/12)-1)</f>
        <v>7.9741404289037643E-3</v>
      </c>
      <c r="M757" s="5">
        <f t="shared" si="106"/>
        <v>-130.80331275578817</v>
      </c>
    </row>
    <row r="758" spans="1:13" x14ac:dyDescent="0.25">
      <c r="A758" s="4">
        <v>750</v>
      </c>
      <c r="B758" s="4">
        <f t="shared" si="99"/>
        <v>107</v>
      </c>
      <c r="C758" s="4">
        <f t="shared" si="100"/>
        <v>765</v>
      </c>
      <c r="D758" s="4">
        <f>IF(B758&gt;'Mortality Table'!$A$118,D757,VLOOKUP(B758,'Mortality Table'!$A$2:$B$118,2,FALSE))</f>
        <v>0.59733000000000003</v>
      </c>
      <c r="E758" s="4">
        <f>IF(INT((C758-1)/12)+1&gt;'Lapse Table'!$A$11,E757,VLOOKUP(INT((C758-1)/12)+1,'Lapse Table'!$A$2:$B$11,2,FALSE))/12</f>
        <v>0</v>
      </c>
      <c r="F758" s="5">
        <f t="shared" si="107"/>
        <v>-11.021224865620802</v>
      </c>
      <c r="G758" s="6">
        <f t="shared" si="101"/>
        <v>4.9777500000000002E-2</v>
      </c>
      <c r="H758" s="6">
        <f t="shared" si="102"/>
        <v>0</v>
      </c>
      <c r="I758" s="7">
        <f t="shared" si="103"/>
        <v>-367.37416218736007</v>
      </c>
      <c r="J758" s="8">
        <f t="shared" si="104"/>
        <v>49777.5</v>
      </c>
      <c r="K758" s="7">
        <f t="shared" si="105"/>
        <v>-50144.874162187363</v>
      </c>
      <c r="L758" s="4">
        <f>IF(A758&gt;'Yield Curve'!A1372,L757,(1+VLOOKUP(A758,'Yield Curve'!A751:B1373,2,FALSE))^(1/12)-1)</f>
        <v>7.9741404289037643E-3</v>
      </c>
      <c r="M758" s="5">
        <f t="shared" si="106"/>
        <v>-129.77281442011019</v>
      </c>
    </row>
    <row r="759" spans="1:13" x14ac:dyDescent="0.25">
      <c r="A759" s="4">
        <v>751</v>
      </c>
      <c r="B759" s="4">
        <f t="shared" si="99"/>
        <v>107</v>
      </c>
      <c r="C759" s="4">
        <f t="shared" si="100"/>
        <v>766</v>
      </c>
      <c r="D759" s="4">
        <f>IF(B759&gt;'Mortality Table'!$A$118,D758,VLOOKUP(B759,'Mortality Table'!$A$2:$B$118,2,FALSE))</f>
        <v>0.59733000000000003</v>
      </c>
      <c r="E759" s="4">
        <f>IF(INT((C759-1)/12)+1&gt;'Lapse Table'!$A$11,E758,VLOOKUP(INT((C759-1)/12)+1,'Lapse Table'!$A$2:$B$11,2,FALSE))/12</f>
        <v>0</v>
      </c>
      <c r="F759" s="5">
        <f t="shared" si="107"/>
        <v>-11.071002365620801</v>
      </c>
      <c r="G759" s="6">
        <f t="shared" si="101"/>
        <v>4.9777500000000002E-2</v>
      </c>
      <c r="H759" s="6">
        <f t="shared" si="102"/>
        <v>0</v>
      </c>
      <c r="I759" s="7">
        <f t="shared" si="103"/>
        <v>-369.03341218736006</v>
      </c>
      <c r="J759" s="8">
        <f t="shared" si="104"/>
        <v>49777.5</v>
      </c>
      <c r="K759" s="7">
        <f t="shared" si="105"/>
        <v>-50146.53341218736</v>
      </c>
      <c r="L759" s="4">
        <f>IF(A759&gt;'Yield Curve'!A1373,L758,(1+VLOOKUP(A759,'Yield Curve'!A752:B1374,2,FALSE))^(1/12)-1)</f>
        <v>7.9741404289037643E-3</v>
      </c>
      <c r="M759" s="5">
        <f t="shared" si="106"/>
        <v>-128.75043444442198</v>
      </c>
    </row>
    <row r="760" spans="1:13" x14ac:dyDescent="0.25">
      <c r="A760" s="4">
        <v>752</v>
      </c>
      <c r="B760" s="4">
        <f t="shared" si="99"/>
        <v>107</v>
      </c>
      <c r="C760" s="4">
        <f t="shared" si="100"/>
        <v>767</v>
      </c>
      <c r="D760" s="4">
        <f>IF(B760&gt;'Mortality Table'!$A$118,D759,VLOOKUP(B760,'Mortality Table'!$A$2:$B$118,2,FALSE))</f>
        <v>0.59733000000000003</v>
      </c>
      <c r="E760" s="4">
        <f>IF(INT((C760-1)/12)+1&gt;'Lapse Table'!$A$11,E759,VLOOKUP(INT((C760-1)/12)+1,'Lapse Table'!$A$2:$B$11,2,FALSE))/12</f>
        <v>0</v>
      </c>
      <c r="F760" s="5">
        <f t="shared" si="107"/>
        <v>-11.120779865620801</v>
      </c>
      <c r="G760" s="6">
        <f t="shared" si="101"/>
        <v>4.9777500000000002E-2</v>
      </c>
      <c r="H760" s="6">
        <f t="shared" si="102"/>
        <v>0</v>
      </c>
      <c r="I760" s="7">
        <f t="shared" si="103"/>
        <v>-370.69266218735999</v>
      </c>
      <c r="J760" s="8">
        <f t="shared" si="104"/>
        <v>49777.5</v>
      </c>
      <c r="K760" s="7">
        <f t="shared" si="105"/>
        <v>-50148.192662187357</v>
      </c>
      <c r="L760" s="4">
        <f>IF(A760&gt;'Yield Curve'!A1374,L759,(1+VLOOKUP(A760,'Yield Curve'!A753:B1375,2,FALSE))^(1/12)-1)</f>
        <v>7.9741404289037643E-3</v>
      </c>
      <c r="M760" s="5">
        <f t="shared" si="106"/>
        <v>-127.73610887266203</v>
      </c>
    </row>
    <row r="761" spans="1:13" x14ac:dyDescent="0.25">
      <c r="A761" s="4">
        <v>753</v>
      </c>
      <c r="B761" s="4">
        <f t="shared" si="99"/>
        <v>107</v>
      </c>
      <c r="C761" s="4">
        <f t="shared" si="100"/>
        <v>768</v>
      </c>
      <c r="D761" s="4">
        <f>IF(B761&gt;'Mortality Table'!$A$118,D760,VLOOKUP(B761,'Mortality Table'!$A$2:$B$118,2,FALSE))</f>
        <v>0.59733000000000003</v>
      </c>
      <c r="E761" s="4">
        <f>IF(INT((C761-1)/12)+1&gt;'Lapse Table'!$A$11,E760,VLOOKUP(INT((C761-1)/12)+1,'Lapse Table'!$A$2:$B$11,2,FALSE))/12</f>
        <v>0</v>
      </c>
      <c r="F761" s="5">
        <f t="shared" si="107"/>
        <v>-11.1705573656208</v>
      </c>
      <c r="G761" s="6">
        <f t="shared" si="101"/>
        <v>4.9777500000000002E-2</v>
      </c>
      <c r="H761" s="6">
        <f t="shared" si="102"/>
        <v>0</v>
      </c>
      <c r="I761" s="7">
        <f t="shared" si="103"/>
        <v>-372.35191218736003</v>
      </c>
      <c r="J761" s="8">
        <f t="shared" si="104"/>
        <v>49777.5</v>
      </c>
      <c r="K761" s="7">
        <f t="shared" si="105"/>
        <v>-50149.851912187361</v>
      </c>
      <c r="L761" s="4">
        <f>IF(A761&gt;'Yield Curve'!A1375,L760,(1+VLOOKUP(A761,'Yield Curve'!A754:B1376,2,FALSE))^(1/12)-1)</f>
        <v>7.9741404289037643E-3</v>
      </c>
      <c r="M761" s="5">
        <f t="shared" si="106"/>
        <v>-126.72977425260291</v>
      </c>
    </row>
    <row r="762" spans="1:13" x14ac:dyDescent="0.25">
      <c r="A762" s="4">
        <v>754</v>
      </c>
      <c r="B762" s="4">
        <f t="shared" si="99"/>
        <v>107</v>
      </c>
      <c r="C762" s="4">
        <f t="shared" si="100"/>
        <v>769</v>
      </c>
      <c r="D762" s="4">
        <f>IF(B762&gt;'Mortality Table'!$A$118,D761,VLOOKUP(B762,'Mortality Table'!$A$2:$B$118,2,FALSE))</f>
        <v>0.59733000000000003</v>
      </c>
      <c r="E762" s="4">
        <f>IF(INT((C762-1)/12)+1&gt;'Lapse Table'!$A$11,E761,VLOOKUP(INT((C762-1)/12)+1,'Lapse Table'!$A$2:$B$11,2,FALSE))/12</f>
        <v>0</v>
      </c>
      <c r="F762" s="5">
        <f t="shared" si="107"/>
        <v>-11.220334865620799</v>
      </c>
      <c r="G762" s="6">
        <f t="shared" si="101"/>
        <v>4.9777500000000002E-2</v>
      </c>
      <c r="H762" s="6">
        <f t="shared" si="102"/>
        <v>0</v>
      </c>
      <c r="I762" s="7">
        <f t="shared" si="103"/>
        <v>-374.01116218735996</v>
      </c>
      <c r="J762" s="8">
        <f t="shared" si="104"/>
        <v>49777.5</v>
      </c>
      <c r="K762" s="7">
        <f t="shared" si="105"/>
        <v>-50151.511162187358</v>
      </c>
      <c r="L762" s="4">
        <f>IF(A762&gt;'Yield Curve'!A1376,L761,(1+VLOOKUP(A762,'Yield Curve'!A755:B1377,2,FALSE))^(1/12)-1)</f>
        <v>7.9741404289037643E-3</v>
      </c>
      <c r="M762" s="5">
        <f t="shared" si="106"/>
        <v>-125.73136763188195</v>
      </c>
    </row>
    <row r="763" spans="1:13" x14ac:dyDescent="0.25">
      <c r="A763" s="4">
        <v>755</v>
      </c>
      <c r="B763" s="4">
        <f t="shared" si="99"/>
        <v>107</v>
      </c>
      <c r="C763" s="4">
        <f t="shared" si="100"/>
        <v>770</v>
      </c>
      <c r="D763" s="4">
        <f>IF(B763&gt;'Mortality Table'!$A$118,D762,VLOOKUP(B763,'Mortality Table'!$A$2:$B$118,2,FALSE))</f>
        <v>0.59733000000000003</v>
      </c>
      <c r="E763" s="4">
        <f>IF(INT((C763-1)/12)+1&gt;'Lapse Table'!$A$11,E762,VLOOKUP(INT((C763-1)/12)+1,'Lapse Table'!$A$2:$B$11,2,FALSE))/12</f>
        <v>0</v>
      </c>
      <c r="F763" s="5">
        <f t="shared" si="107"/>
        <v>-11.270112365620799</v>
      </c>
      <c r="G763" s="6">
        <f t="shared" si="101"/>
        <v>4.9777500000000002E-2</v>
      </c>
      <c r="H763" s="6">
        <f t="shared" si="102"/>
        <v>0</v>
      </c>
      <c r="I763" s="7">
        <f t="shared" si="103"/>
        <v>-375.67041218735994</v>
      </c>
      <c r="J763" s="8">
        <f t="shared" si="104"/>
        <v>49777.5</v>
      </c>
      <c r="K763" s="7">
        <f t="shared" si="105"/>
        <v>-50153.170412187363</v>
      </c>
      <c r="L763" s="4">
        <f>IF(A763&gt;'Yield Curve'!A1377,L762,(1+VLOOKUP(A763,'Yield Curve'!A756:B1378,2,FALSE))^(1/12)-1)</f>
        <v>7.9741404289037643E-3</v>
      </c>
      <c r="M763" s="5">
        <f t="shared" si="106"/>
        <v>-124.74082655406383</v>
      </c>
    </row>
    <row r="764" spans="1:13" x14ac:dyDescent="0.25">
      <c r="A764" s="4">
        <v>756</v>
      </c>
      <c r="B764" s="4">
        <f t="shared" si="99"/>
        <v>108</v>
      </c>
      <c r="C764" s="4">
        <f t="shared" si="100"/>
        <v>771</v>
      </c>
      <c r="D764" s="4">
        <f>IF(B764&gt;'Mortality Table'!$A$118,D763,VLOOKUP(B764,'Mortality Table'!$A$2:$B$118,2,FALSE))</f>
        <v>0.59733000000000003</v>
      </c>
      <c r="E764" s="4">
        <f>IF(INT((C764-1)/12)+1&gt;'Lapse Table'!$A$11,E763,VLOOKUP(INT((C764-1)/12)+1,'Lapse Table'!$A$2:$B$11,2,FALSE))/12</f>
        <v>0</v>
      </c>
      <c r="F764" s="5">
        <f t="shared" si="107"/>
        <v>-11.319889865620798</v>
      </c>
      <c r="G764" s="6">
        <f t="shared" si="101"/>
        <v>4.9777500000000002E-2</v>
      </c>
      <c r="H764" s="6">
        <f t="shared" si="102"/>
        <v>0</v>
      </c>
      <c r="I764" s="7">
        <f t="shared" si="103"/>
        <v>-377.32966218735993</v>
      </c>
      <c r="J764" s="8">
        <f t="shared" si="104"/>
        <v>49777.5</v>
      </c>
      <c r="K764" s="7">
        <f t="shared" si="105"/>
        <v>-50154.82966218736</v>
      </c>
      <c r="L764" s="4">
        <f>IF(A764&gt;'Yield Curve'!A1378,L763,(1+VLOOKUP(A764,'Yield Curve'!A757:B1379,2,FALSE))^(1/12)-1)</f>
        <v>7.9741404289037643E-3</v>
      </c>
      <c r="M764" s="5">
        <f t="shared" si="106"/>
        <v>-123.75808905473345</v>
      </c>
    </row>
    <row r="765" spans="1:13" x14ac:dyDescent="0.25">
      <c r="A765" s="4">
        <v>757</v>
      </c>
      <c r="B765" s="4">
        <f t="shared" si="99"/>
        <v>108</v>
      </c>
      <c r="C765" s="4">
        <f t="shared" si="100"/>
        <v>772</v>
      </c>
      <c r="D765" s="4">
        <f>IF(B765&gt;'Mortality Table'!$A$118,D764,VLOOKUP(B765,'Mortality Table'!$A$2:$B$118,2,FALSE))</f>
        <v>0.59733000000000003</v>
      </c>
      <c r="E765" s="4">
        <f>IF(INT((C765-1)/12)+1&gt;'Lapse Table'!$A$11,E764,VLOOKUP(INT((C765-1)/12)+1,'Lapse Table'!$A$2:$B$11,2,FALSE))/12</f>
        <v>0</v>
      </c>
      <c r="F765" s="5">
        <f t="shared" si="107"/>
        <v>-11.369667365620797</v>
      </c>
      <c r="G765" s="6">
        <f t="shared" si="101"/>
        <v>4.9777500000000002E-2</v>
      </c>
      <c r="H765" s="6">
        <f t="shared" si="102"/>
        <v>0</v>
      </c>
      <c r="I765" s="7">
        <f t="shared" si="103"/>
        <v>-378.98891218735986</v>
      </c>
      <c r="J765" s="8">
        <f t="shared" si="104"/>
        <v>49777.5</v>
      </c>
      <c r="K765" s="7">
        <f t="shared" si="105"/>
        <v>-50156.488912187357</v>
      </c>
      <c r="L765" s="4">
        <f>IF(A765&gt;'Yield Curve'!A1379,L764,(1+VLOOKUP(A765,'Yield Curve'!A758:B1380,2,FALSE))^(1/12)-1)</f>
        <v>7.9741404289037643E-3</v>
      </c>
      <c r="M765" s="5">
        <f t="shared" si="106"/>
        <v>-122.78309365762024</v>
      </c>
    </row>
    <row r="766" spans="1:13" x14ac:dyDescent="0.25">
      <c r="A766" s="4">
        <v>758</v>
      </c>
      <c r="B766" s="4">
        <f t="shared" si="99"/>
        <v>108</v>
      </c>
      <c r="C766" s="4">
        <f t="shared" si="100"/>
        <v>773</v>
      </c>
      <c r="D766" s="4">
        <f>IF(B766&gt;'Mortality Table'!$A$118,D765,VLOOKUP(B766,'Mortality Table'!$A$2:$B$118,2,FALSE))</f>
        <v>0.59733000000000003</v>
      </c>
      <c r="E766" s="4">
        <f>IF(INT((C766-1)/12)+1&gt;'Lapse Table'!$A$11,E765,VLOOKUP(INT((C766-1)/12)+1,'Lapse Table'!$A$2:$B$11,2,FALSE))/12</f>
        <v>0</v>
      </c>
      <c r="F766" s="5">
        <f t="shared" si="107"/>
        <v>-11.419444865620797</v>
      </c>
      <c r="G766" s="6">
        <f t="shared" si="101"/>
        <v>4.9777500000000002E-2</v>
      </c>
      <c r="H766" s="6">
        <f t="shared" si="102"/>
        <v>0</v>
      </c>
      <c r="I766" s="7">
        <f t="shared" si="103"/>
        <v>-380.6481621873599</v>
      </c>
      <c r="J766" s="8">
        <f t="shared" si="104"/>
        <v>49777.5</v>
      </c>
      <c r="K766" s="7">
        <f t="shared" si="105"/>
        <v>-50158.148162187361</v>
      </c>
      <c r="L766" s="4">
        <f>IF(A766&gt;'Yield Curve'!A1380,L765,(1+VLOOKUP(A766,'Yield Curve'!A759:B1381,2,FALSE))^(1/12)-1)</f>
        <v>7.9741404289037643E-3</v>
      </c>
      <c r="M766" s="5">
        <f t="shared" si="106"/>
        <v>-121.81577937075268</v>
      </c>
    </row>
    <row r="767" spans="1:13" x14ac:dyDescent="0.25">
      <c r="A767" s="4">
        <v>759</v>
      </c>
      <c r="B767" s="4">
        <f t="shared" si="99"/>
        <v>108</v>
      </c>
      <c r="C767" s="4">
        <f t="shared" si="100"/>
        <v>774</v>
      </c>
      <c r="D767" s="4">
        <f>IF(B767&gt;'Mortality Table'!$A$118,D766,VLOOKUP(B767,'Mortality Table'!$A$2:$B$118,2,FALSE))</f>
        <v>0.59733000000000003</v>
      </c>
      <c r="E767" s="4">
        <f>IF(INT((C767-1)/12)+1&gt;'Lapse Table'!$A$11,E766,VLOOKUP(INT((C767-1)/12)+1,'Lapse Table'!$A$2:$B$11,2,FALSE))/12</f>
        <v>0</v>
      </c>
      <c r="F767" s="5">
        <f t="shared" si="107"/>
        <v>-11.469222365620796</v>
      </c>
      <c r="G767" s="6">
        <f t="shared" si="101"/>
        <v>4.9777500000000002E-2</v>
      </c>
      <c r="H767" s="6">
        <f t="shared" si="102"/>
        <v>0</v>
      </c>
      <c r="I767" s="7">
        <f t="shared" si="103"/>
        <v>-382.30741218735989</v>
      </c>
      <c r="J767" s="8">
        <f t="shared" si="104"/>
        <v>49777.5</v>
      </c>
      <c r="K767" s="7">
        <f t="shared" si="105"/>
        <v>-50159.807412187358</v>
      </c>
      <c r="L767" s="4">
        <f>IF(A767&gt;'Yield Curve'!A1381,L766,(1+VLOOKUP(A767,'Yield Curve'!A760:B1382,2,FALSE))^(1/12)-1)</f>
        <v>7.9741404289037643E-3</v>
      </c>
      <c r="M767" s="5">
        <f t="shared" si="106"/>
        <v>-120.85608568264287</v>
      </c>
    </row>
    <row r="768" spans="1:13" x14ac:dyDescent="0.25">
      <c r="A768" s="4">
        <v>760</v>
      </c>
      <c r="B768" s="4">
        <f t="shared" si="99"/>
        <v>108</v>
      </c>
      <c r="C768" s="4">
        <f t="shared" si="100"/>
        <v>775</v>
      </c>
      <c r="D768" s="4">
        <f>IF(B768&gt;'Mortality Table'!$A$118,D767,VLOOKUP(B768,'Mortality Table'!$A$2:$B$118,2,FALSE))</f>
        <v>0.59733000000000003</v>
      </c>
      <c r="E768" s="4">
        <f>IF(INT((C768-1)/12)+1&gt;'Lapse Table'!$A$11,E767,VLOOKUP(INT((C768-1)/12)+1,'Lapse Table'!$A$2:$B$11,2,FALSE))/12</f>
        <v>0</v>
      </c>
      <c r="F768" s="5">
        <f t="shared" si="107"/>
        <v>-11.518999865620795</v>
      </c>
      <c r="G768" s="6">
        <f t="shared" si="101"/>
        <v>4.9777500000000002E-2</v>
      </c>
      <c r="H768" s="6">
        <f t="shared" si="102"/>
        <v>0</v>
      </c>
      <c r="I768" s="7">
        <f t="shared" si="103"/>
        <v>-383.96666218735982</v>
      </c>
      <c r="J768" s="8">
        <f t="shared" si="104"/>
        <v>49777.5</v>
      </c>
      <c r="K768" s="7">
        <f t="shared" si="105"/>
        <v>-50161.466662187362</v>
      </c>
      <c r="L768" s="4">
        <f>IF(A768&gt;'Yield Curve'!A1382,L767,(1+VLOOKUP(A768,'Yield Curve'!A761:B1383,2,FALSE))^(1/12)-1)</f>
        <v>7.9741404289037643E-3</v>
      </c>
      <c r="M768" s="5">
        <f t="shared" si="106"/>
        <v>-119.90395255850187</v>
      </c>
    </row>
    <row r="769" spans="1:13" x14ac:dyDescent="0.25">
      <c r="A769" s="4">
        <v>761</v>
      </c>
      <c r="B769" s="4">
        <f t="shared" si="99"/>
        <v>108</v>
      </c>
      <c r="C769" s="4">
        <f t="shared" si="100"/>
        <v>776</v>
      </c>
      <c r="D769" s="4">
        <f>IF(B769&gt;'Mortality Table'!$A$118,D768,VLOOKUP(B769,'Mortality Table'!$A$2:$B$118,2,FALSE))</f>
        <v>0.59733000000000003</v>
      </c>
      <c r="E769" s="4">
        <f>IF(INT((C769-1)/12)+1&gt;'Lapse Table'!$A$11,E768,VLOOKUP(INT((C769-1)/12)+1,'Lapse Table'!$A$2:$B$11,2,FALSE))/12</f>
        <v>0</v>
      </c>
      <c r="F769" s="5">
        <f t="shared" si="107"/>
        <v>-11.568777365620795</v>
      </c>
      <c r="G769" s="6">
        <f t="shared" si="101"/>
        <v>4.9777500000000002E-2</v>
      </c>
      <c r="H769" s="6">
        <f t="shared" si="102"/>
        <v>0</v>
      </c>
      <c r="I769" s="7">
        <f t="shared" si="103"/>
        <v>-385.6259121873598</v>
      </c>
      <c r="J769" s="8">
        <f t="shared" si="104"/>
        <v>49777.5</v>
      </c>
      <c r="K769" s="7">
        <f t="shared" si="105"/>
        <v>-50163.125912187359</v>
      </c>
      <c r="L769" s="4">
        <f>IF(A769&gt;'Yield Curve'!A1383,L768,(1+VLOOKUP(A769,'Yield Curve'!A762:B1384,2,FALSE))^(1/12)-1)</f>
        <v>7.9741404289037643E-3</v>
      </c>
      <c r="M769" s="5">
        <f t="shared" si="106"/>
        <v>-118.95932043648411</v>
      </c>
    </row>
    <row r="770" spans="1:13" x14ac:dyDescent="0.25">
      <c r="A770" s="4">
        <v>762</v>
      </c>
      <c r="B770" s="4">
        <f t="shared" si="99"/>
        <v>108</v>
      </c>
      <c r="C770" s="4">
        <f t="shared" si="100"/>
        <v>777</v>
      </c>
      <c r="D770" s="4">
        <f>IF(B770&gt;'Mortality Table'!$A$118,D769,VLOOKUP(B770,'Mortality Table'!$A$2:$B$118,2,FALSE))</f>
        <v>0.59733000000000003</v>
      </c>
      <c r="E770" s="4">
        <f>IF(INT((C770-1)/12)+1&gt;'Lapse Table'!$A$11,E769,VLOOKUP(INT((C770-1)/12)+1,'Lapse Table'!$A$2:$B$11,2,FALSE))/12</f>
        <v>0</v>
      </c>
      <c r="F770" s="5">
        <f t="shared" si="107"/>
        <v>-11.618554865620794</v>
      </c>
      <c r="G770" s="6">
        <f t="shared" si="101"/>
        <v>4.9777500000000002E-2</v>
      </c>
      <c r="H770" s="6">
        <f t="shared" si="102"/>
        <v>0</v>
      </c>
      <c r="I770" s="7">
        <f t="shared" si="103"/>
        <v>-387.28516218735984</v>
      </c>
      <c r="J770" s="8">
        <f t="shared" si="104"/>
        <v>49777.5</v>
      </c>
      <c r="K770" s="7">
        <f t="shared" si="105"/>
        <v>-50164.785162187363</v>
      </c>
      <c r="L770" s="4">
        <f>IF(A770&gt;'Yield Curve'!A1384,L769,(1+VLOOKUP(A770,'Yield Curve'!A763:B1385,2,FALSE))^(1/12)-1)</f>
        <v>7.9741404289037643E-3</v>
      </c>
      <c r="M770" s="5">
        <f t="shared" si="106"/>
        <v>-118.02213022396175</v>
      </c>
    </row>
    <row r="771" spans="1:13" x14ac:dyDescent="0.25">
      <c r="A771" s="4">
        <v>763</v>
      </c>
      <c r="B771" s="4">
        <f t="shared" si="99"/>
        <v>108</v>
      </c>
      <c r="C771" s="4">
        <f t="shared" si="100"/>
        <v>778</v>
      </c>
      <c r="D771" s="4">
        <f>IF(B771&gt;'Mortality Table'!$A$118,D770,VLOOKUP(B771,'Mortality Table'!$A$2:$B$118,2,FALSE))</f>
        <v>0.59733000000000003</v>
      </c>
      <c r="E771" s="4">
        <f>IF(INT((C771-1)/12)+1&gt;'Lapse Table'!$A$11,E770,VLOOKUP(INT((C771-1)/12)+1,'Lapse Table'!$A$2:$B$11,2,FALSE))/12</f>
        <v>0</v>
      </c>
      <c r="F771" s="5">
        <f t="shared" si="107"/>
        <v>-11.668332365620794</v>
      </c>
      <c r="G771" s="6">
        <f t="shared" si="101"/>
        <v>4.9777500000000002E-2</v>
      </c>
      <c r="H771" s="6">
        <f t="shared" si="102"/>
        <v>0</v>
      </c>
      <c r="I771" s="7">
        <f t="shared" si="103"/>
        <v>-388.94441218735977</v>
      </c>
      <c r="J771" s="8">
        <f t="shared" si="104"/>
        <v>49777.5</v>
      </c>
      <c r="K771" s="7">
        <f t="shared" si="105"/>
        <v>-50166.44441218736</v>
      </c>
      <c r="L771" s="4">
        <f>IF(A771&gt;'Yield Curve'!A1385,L770,(1+VLOOKUP(A771,'Yield Curve'!A764:B1386,2,FALSE))^(1/12)-1)</f>
        <v>7.9741404289037643E-3</v>
      </c>
      <c r="M771" s="5">
        <f t="shared" si="106"/>
        <v>-117.09232329382829</v>
      </c>
    </row>
    <row r="772" spans="1:13" x14ac:dyDescent="0.25">
      <c r="A772" s="4">
        <v>764</v>
      </c>
      <c r="B772" s="4">
        <f t="shared" si="99"/>
        <v>108</v>
      </c>
      <c r="C772" s="4">
        <f t="shared" si="100"/>
        <v>779</v>
      </c>
      <c r="D772" s="4">
        <f>IF(B772&gt;'Mortality Table'!$A$118,D771,VLOOKUP(B772,'Mortality Table'!$A$2:$B$118,2,FALSE))</f>
        <v>0.59733000000000003</v>
      </c>
      <c r="E772" s="4">
        <f>IF(INT((C772-1)/12)+1&gt;'Lapse Table'!$A$11,E771,VLOOKUP(INT((C772-1)/12)+1,'Lapse Table'!$A$2:$B$11,2,FALSE))/12</f>
        <v>0</v>
      </c>
      <c r="F772" s="5">
        <f t="shared" si="107"/>
        <v>-11.718109865620793</v>
      </c>
      <c r="G772" s="6">
        <f t="shared" si="101"/>
        <v>4.9777500000000002E-2</v>
      </c>
      <c r="H772" s="6">
        <f t="shared" si="102"/>
        <v>0</v>
      </c>
      <c r="I772" s="7">
        <f t="shared" si="103"/>
        <v>-390.60366218735976</v>
      </c>
      <c r="J772" s="8">
        <f t="shared" si="104"/>
        <v>49777.5</v>
      </c>
      <c r="K772" s="7">
        <f t="shared" si="105"/>
        <v>-50168.103662187357</v>
      </c>
      <c r="L772" s="4">
        <f>IF(A772&gt;'Yield Curve'!A1386,L771,(1+VLOOKUP(A772,'Yield Curve'!A765:B1387,2,FALSE))^(1/12)-1)</f>
        <v>7.9741404289037643E-3</v>
      </c>
      <c r="M772" s="5">
        <f t="shared" si="106"/>
        <v>-116.16984148083159</v>
      </c>
    </row>
    <row r="773" spans="1:13" x14ac:dyDescent="0.25">
      <c r="A773" s="4">
        <v>765</v>
      </c>
      <c r="B773" s="4">
        <f t="shared" si="99"/>
        <v>108</v>
      </c>
      <c r="C773" s="4">
        <f t="shared" si="100"/>
        <v>780</v>
      </c>
      <c r="D773" s="4">
        <f>IF(B773&gt;'Mortality Table'!$A$118,D772,VLOOKUP(B773,'Mortality Table'!$A$2:$B$118,2,FALSE))</f>
        <v>0.59733000000000003</v>
      </c>
      <c r="E773" s="4">
        <f>IF(INT((C773-1)/12)+1&gt;'Lapse Table'!$A$11,E772,VLOOKUP(INT((C773-1)/12)+1,'Lapse Table'!$A$2:$B$11,2,FALSE))/12</f>
        <v>0</v>
      </c>
      <c r="F773" s="5">
        <f t="shared" si="107"/>
        <v>-11.767887365620792</v>
      </c>
      <c r="G773" s="6">
        <f t="shared" si="101"/>
        <v>4.9777500000000002E-2</v>
      </c>
      <c r="H773" s="6">
        <f t="shared" si="102"/>
        <v>0</v>
      </c>
      <c r="I773" s="7">
        <f t="shared" si="103"/>
        <v>-392.26291218735975</v>
      </c>
      <c r="J773" s="8">
        <f t="shared" si="104"/>
        <v>49777.5</v>
      </c>
      <c r="K773" s="7">
        <f t="shared" si="105"/>
        <v>-50169.762912187362</v>
      </c>
      <c r="L773" s="4">
        <f>IF(A773&gt;'Yield Curve'!A1387,L772,(1+VLOOKUP(A773,'Yield Curve'!A766:B1388,2,FALSE))^(1/12)-1)</f>
        <v>7.9741404289037643E-3</v>
      </c>
      <c r="M773" s="5">
        <f t="shared" si="106"/>
        <v>-115.2546270779352</v>
      </c>
    </row>
    <row r="774" spans="1:13" x14ac:dyDescent="0.25">
      <c r="A774" s="4">
        <v>766</v>
      </c>
      <c r="B774" s="4">
        <f t="shared" si="99"/>
        <v>108</v>
      </c>
      <c r="C774" s="4">
        <f t="shared" si="100"/>
        <v>781</v>
      </c>
      <c r="D774" s="4">
        <f>IF(B774&gt;'Mortality Table'!$A$118,D773,VLOOKUP(B774,'Mortality Table'!$A$2:$B$118,2,FALSE))</f>
        <v>0.59733000000000003</v>
      </c>
      <c r="E774" s="4">
        <f>IF(INT((C774-1)/12)+1&gt;'Lapse Table'!$A$11,E773,VLOOKUP(INT((C774-1)/12)+1,'Lapse Table'!$A$2:$B$11,2,FALSE))/12</f>
        <v>0</v>
      </c>
      <c r="F774" s="5">
        <f t="shared" si="107"/>
        <v>-11.817664865620792</v>
      </c>
      <c r="G774" s="6">
        <f t="shared" si="101"/>
        <v>4.9777500000000002E-2</v>
      </c>
      <c r="H774" s="6">
        <f t="shared" si="102"/>
        <v>0</v>
      </c>
      <c r="I774" s="7">
        <f t="shared" si="103"/>
        <v>-393.92216218735967</v>
      </c>
      <c r="J774" s="8">
        <f t="shared" si="104"/>
        <v>49777.5</v>
      </c>
      <c r="K774" s="7">
        <f t="shared" si="105"/>
        <v>-50171.422162187358</v>
      </c>
      <c r="L774" s="4">
        <f>IF(A774&gt;'Yield Curve'!A1388,L773,(1+VLOOKUP(A774,'Yield Curve'!A767:B1389,2,FALSE))^(1/12)-1)</f>
        <v>7.9741404289037643E-3</v>
      </c>
      <c r="M774" s="5">
        <f t="shared" si="106"/>
        <v>-114.34662283270887</v>
      </c>
    </row>
    <row r="775" spans="1:13" x14ac:dyDescent="0.25">
      <c r="A775" s="4">
        <v>767</v>
      </c>
      <c r="B775" s="4">
        <f t="shared" si="99"/>
        <v>108</v>
      </c>
      <c r="C775" s="4">
        <f t="shared" si="100"/>
        <v>782</v>
      </c>
      <c r="D775" s="4">
        <f>IF(B775&gt;'Mortality Table'!$A$118,D774,VLOOKUP(B775,'Mortality Table'!$A$2:$B$118,2,FALSE))</f>
        <v>0.59733000000000003</v>
      </c>
      <c r="E775" s="4">
        <f>IF(INT((C775-1)/12)+1&gt;'Lapse Table'!$A$11,E774,VLOOKUP(INT((C775-1)/12)+1,'Lapse Table'!$A$2:$B$11,2,FALSE))/12</f>
        <v>0</v>
      </c>
      <c r="F775" s="5">
        <f t="shared" si="107"/>
        <v>-11.867442365620791</v>
      </c>
      <c r="G775" s="6">
        <f t="shared" si="101"/>
        <v>4.9777500000000002E-2</v>
      </c>
      <c r="H775" s="6">
        <f t="shared" si="102"/>
        <v>0</v>
      </c>
      <c r="I775" s="7">
        <f t="shared" si="103"/>
        <v>-395.58141218735972</v>
      </c>
      <c r="J775" s="8">
        <f t="shared" si="104"/>
        <v>49777.5</v>
      </c>
      <c r="K775" s="7">
        <f t="shared" si="105"/>
        <v>-50173.081412187363</v>
      </c>
      <c r="L775" s="4">
        <f>IF(A775&gt;'Yield Curve'!A1389,L774,(1+VLOOKUP(A775,'Yield Curve'!A768:B1390,2,FALSE))^(1/12)-1)</f>
        <v>7.9741404289037643E-3</v>
      </c>
      <c r="M775" s="5">
        <f t="shared" si="106"/>
        <v>-113.4457719437472</v>
      </c>
    </row>
    <row r="776" spans="1:13" x14ac:dyDescent="0.25">
      <c r="A776" s="4">
        <v>768</v>
      </c>
      <c r="B776" s="4">
        <f t="shared" si="99"/>
        <v>109</v>
      </c>
      <c r="C776" s="4">
        <f t="shared" si="100"/>
        <v>783</v>
      </c>
      <c r="D776" s="4">
        <f>IF(B776&gt;'Mortality Table'!$A$118,D775,VLOOKUP(B776,'Mortality Table'!$A$2:$B$118,2,FALSE))</f>
        <v>0.59733000000000003</v>
      </c>
      <c r="E776" s="4">
        <f>IF(INT((C776-1)/12)+1&gt;'Lapse Table'!$A$11,E775,VLOOKUP(INT((C776-1)/12)+1,'Lapse Table'!$A$2:$B$11,2,FALSE))/12</f>
        <v>0</v>
      </c>
      <c r="F776" s="5">
        <f t="shared" si="107"/>
        <v>-11.91721986562079</v>
      </c>
      <c r="G776" s="6">
        <f t="shared" si="101"/>
        <v>4.9777500000000002E-2</v>
      </c>
      <c r="H776" s="6">
        <f t="shared" si="102"/>
        <v>0</v>
      </c>
      <c r="I776" s="7">
        <f t="shared" si="103"/>
        <v>-397.2406621873597</v>
      </c>
      <c r="J776" s="8">
        <f t="shared" si="104"/>
        <v>49777.5</v>
      </c>
      <c r="K776" s="7">
        <f t="shared" si="105"/>
        <v>-50174.74066218736</v>
      </c>
      <c r="L776" s="4">
        <f>IF(A776&gt;'Yield Curve'!A1390,L775,(1+VLOOKUP(A776,'Yield Curve'!A769:B1391,2,FALSE))^(1/12)-1)</f>
        <v>7.9741404289037643E-3</v>
      </c>
      <c r="M776" s="5">
        <f t="shared" si="106"/>
        <v>-112.55201805711673</v>
      </c>
    </row>
    <row r="777" spans="1:13" x14ac:dyDescent="0.25">
      <c r="A777" s="4">
        <v>769</v>
      </c>
      <c r="B777" s="4">
        <f t="shared" si="99"/>
        <v>109</v>
      </c>
      <c r="C777" s="4">
        <f t="shared" si="100"/>
        <v>784</v>
      </c>
      <c r="D777" s="4">
        <f>IF(B777&gt;'Mortality Table'!$A$118,D776,VLOOKUP(B777,'Mortality Table'!$A$2:$B$118,2,FALSE))</f>
        <v>0.59733000000000003</v>
      </c>
      <c r="E777" s="4">
        <f>IF(INT((C777-1)/12)+1&gt;'Lapse Table'!$A$11,E776,VLOOKUP(INT((C777-1)/12)+1,'Lapse Table'!$A$2:$B$11,2,FALSE))/12</f>
        <v>0</v>
      </c>
      <c r="F777" s="5">
        <f t="shared" si="107"/>
        <v>-11.96699736562079</v>
      </c>
      <c r="G777" s="6">
        <f t="shared" si="101"/>
        <v>4.9777500000000002E-2</v>
      </c>
      <c r="H777" s="6">
        <f t="shared" si="102"/>
        <v>0</v>
      </c>
      <c r="I777" s="7">
        <f t="shared" si="103"/>
        <v>-398.89991218735963</v>
      </c>
      <c r="J777" s="8">
        <f t="shared" si="104"/>
        <v>49777.5</v>
      </c>
      <c r="K777" s="7">
        <f t="shared" si="105"/>
        <v>-50176.399912187357</v>
      </c>
      <c r="L777" s="4">
        <f>IF(A777&gt;'Yield Curve'!A1391,L776,(1+VLOOKUP(A777,'Yield Curve'!A770:B1392,2,FALSE))^(1/12)-1)</f>
        <v>7.9741404289037643E-3</v>
      </c>
      <c r="M777" s="5">
        <f t="shared" si="106"/>
        <v>-111.66530526283077</v>
      </c>
    </row>
    <row r="778" spans="1:13" x14ac:dyDescent="0.25">
      <c r="A778" s="4">
        <v>770</v>
      </c>
      <c r="B778" s="4">
        <f t="shared" ref="B778:B841" si="108">INT($B$3+A778/12)</f>
        <v>109</v>
      </c>
      <c r="C778" s="4">
        <f t="shared" ref="C778:C841" si="109">$B$4+A778</f>
        <v>785</v>
      </c>
      <c r="D778" s="4">
        <f>IF(B778&gt;'Mortality Table'!$A$118,D777,VLOOKUP(B778,'Mortality Table'!$A$2:$B$118,2,FALSE))</f>
        <v>0.59733000000000003</v>
      </c>
      <c r="E778" s="4">
        <f>IF(INT((C778-1)/12)+1&gt;'Lapse Table'!$A$11,E777,VLOOKUP(INT((C778-1)/12)+1,'Lapse Table'!$A$2:$B$11,2,FALSE))/12</f>
        <v>0</v>
      </c>
      <c r="F778" s="5">
        <f t="shared" si="107"/>
        <v>-12.016774865620789</v>
      </c>
      <c r="G778" s="6">
        <f t="shared" ref="G778:G841" si="110">D778/12*(1-0.5*E778)</f>
        <v>4.9777500000000002E-2</v>
      </c>
      <c r="H778" s="6">
        <f t="shared" ref="H778:H841" si="111">E778*(1-0.5*D778)</f>
        <v>0</v>
      </c>
      <c r="I778" s="7">
        <f t="shared" ref="I778:I841" si="112">F778*$B$5/12</f>
        <v>-400.55916218735962</v>
      </c>
      <c r="J778" s="8">
        <f t="shared" ref="J778:J841" si="113">$B$6*G778</f>
        <v>49777.5</v>
      </c>
      <c r="K778" s="7">
        <f t="shared" ref="K778:K841" si="114">I778-J778</f>
        <v>-50178.059162187361</v>
      </c>
      <c r="L778" s="4">
        <f>IF(A778&gt;'Yield Curve'!A1392,L777,(1+VLOOKUP(A778,'Yield Curve'!A771:B1393,2,FALSE))^(1/12)-1)</f>
        <v>7.9741404289037643E-3</v>
      </c>
      <c r="M778" s="5">
        <f t="shared" ref="M778:M841" si="115">K778*(1+L778)^-A778</f>
        <v>-110.78557809135228</v>
      </c>
    </row>
    <row r="779" spans="1:13" x14ac:dyDescent="0.25">
      <c r="A779" s="4">
        <v>771</v>
      </c>
      <c r="B779" s="4">
        <f t="shared" si="108"/>
        <v>109</v>
      </c>
      <c r="C779" s="4">
        <f t="shared" si="109"/>
        <v>786</v>
      </c>
      <c r="D779" s="4">
        <f>IF(B779&gt;'Mortality Table'!$A$118,D778,VLOOKUP(B779,'Mortality Table'!$A$2:$B$118,2,FALSE))</f>
        <v>0.59733000000000003</v>
      </c>
      <c r="E779" s="4">
        <f>IF(INT((C779-1)/12)+1&gt;'Lapse Table'!$A$11,E778,VLOOKUP(INT((C779-1)/12)+1,'Lapse Table'!$A$2:$B$11,2,FALSE))/12</f>
        <v>0</v>
      </c>
      <c r="F779" s="5">
        <f t="shared" ref="F779:F842" si="116">F778-G779-H779</f>
        <v>-12.066552365620788</v>
      </c>
      <c r="G779" s="6">
        <f t="shared" si="110"/>
        <v>4.9777500000000002E-2</v>
      </c>
      <c r="H779" s="6">
        <f t="shared" si="111"/>
        <v>0</v>
      </c>
      <c r="I779" s="7">
        <f t="shared" si="112"/>
        <v>-402.21841218735966</v>
      </c>
      <c r="J779" s="8">
        <f t="shared" si="113"/>
        <v>49777.5</v>
      </c>
      <c r="K779" s="7">
        <f t="shared" si="114"/>
        <v>-50179.718412187358</v>
      </c>
      <c r="L779" s="4">
        <f>IF(A779&gt;'Yield Curve'!A1393,L778,(1+VLOOKUP(A779,'Yield Curve'!A772:B1394,2,FALSE))^(1/12)-1)</f>
        <v>7.9741404289037643E-3</v>
      </c>
      <c r="M779" s="5">
        <f t="shared" si="115"/>
        <v>-109.91278151012391</v>
      </c>
    </row>
    <row r="780" spans="1:13" x14ac:dyDescent="0.25">
      <c r="A780" s="4">
        <v>772</v>
      </c>
      <c r="B780" s="4">
        <f t="shared" si="108"/>
        <v>109</v>
      </c>
      <c r="C780" s="4">
        <f t="shared" si="109"/>
        <v>787</v>
      </c>
      <c r="D780" s="4">
        <f>IF(B780&gt;'Mortality Table'!$A$118,D779,VLOOKUP(B780,'Mortality Table'!$A$2:$B$118,2,FALSE))</f>
        <v>0.59733000000000003</v>
      </c>
      <c r="E780" s="4">
        <f>IF(INT((C780-1)/12)+1&gt;'Lapse Table'!$A$11,E779,VLOOKUP(INT((C780-1)/12)+1,'Lapse Table'!$A$2:$B$11,2,FALSE))/12</f>
        <v>0</v>
      </c>
      <c r="F780" s="5">
        <f t="shared" si="116"/>
        <v>-12.116329865620788</v>
      </c>
      <c r="G780" s="6">
        <f t="shared" si="110"/>
        <v>4.9777500000000002E-2</v>
      </c>
      <c r="H780" s="6">
        <f t="shared" si="111"/>
        <v>0</v>
      </c>
      <c r="I780" s="7">
        <f t="shared" si="112"/>
        <v>-403.87766218735959</v>
      </c>
      <c r="J780" s="8">
        <f t="shared" si="113"/>
        <v>49777.5</v>
      </c>
      <c r="K780" s="7">
        <f t="shared" si="114"/>
        <v>-50181.377662187362</v>
      </c>
      <c r="L780" s="4">
        <f>IF(A780&gt;'Yield Curve'!A1394,L779,(1+VLOOKUP(A780,'Yield Curve'!A773:B1395,2,FALSE))^(1/12)-1)</f>
        <v>7.9741404289037643E-3</v>
      </c>
      <c r="M780" s="5">
        <f t="shared" si="115"/>
        <v>-109.04686092012579</v>
      </c>
    </row>
    <row r="781" spans="1:13" x14ac:dyDescent="0.25">
      <c r="A781" s="4">
        <v>773</v>
      </c>
      <c r="B781" s="4">
        <f t="shared" si="108"/>
        <v>109</v>
      </c>
      <c r="C781" s="4">
        <f t="shared" si="109"/>
        <v>788</v>
      </c>
      <c r="D781" s="4">
        <f>IF(B781&gt;'Mortality Table'!$A$118,D780,VLOOKUP(B781,'Mortality Table'!$A$2:$B$118,2,FALSE))</f>
        <v>0.59733000000000003</v>
      </c>
      <c r="E781" s="4">
        <f>IF(INT((C781-1)/12)+1&gt;'Lapse Table'!$A$11,E780,VLOOKUP(INT((C781-1)/12)+1,'Lapse Table'!$A$2:$B$11,2,FALSE))/12</f>
        <v>0</v>
      </c>
      <c r="F781" s="5">
        <f t="shared" si="116"/>
        <v>-12.166107365620787</v>
      </c>
      <c r="G781" s="6">
        <f t="shared" si="110"/>
        <v>4.9777500000000002E-2</v>
      </c>
      <c r="H781" s="6">
        <f t="shared" si="111"/>
        <v>0</v>
      </c>
      <c r="I781" s="7">
        <f t="shared" si="112"/>
        <v>-405.53691218735958</v>
      </c>
      <c r="J781" s="8">
        <f t="shared" si="113"/>
        <v>49777.5</v>
      </c>
      <c r="K781" s="7">
        <f t="shared" si="114"/>
        <v>-50183.036912187359</v>
      </c>
      <c r="L781" s="4">
        <f>IF(A781&gt;'Yield Curve'!A1395,L780,(1+VLOOKUP(A781,'Yield Curve'!A774:B1396,2,FALSE))^(1/12)-1)</f>
        <v>7.9741404289037643E-3</v>
      </c>
      <c r="M781" s="5">
        <f t="shared" si="115"/>
        <v>-108.18776215246021</v>
      </c>
    </row>
    <row r="782" spans="1:13" x14ac:dyDescent="0.25">
      <c r="A782" s="4">
        <v>774</v>
      </c>
      <c r="B782" s="4">
        <f t="shared" si="108"/>
        <v>109</v>
      </c>
      <c r="C782" s="4">
        <f t="shared" si="109"/>
        <v>789</v>
      </c>
      <c r="D782" s="4">
        <f>IF(B782&gt;'Mortality Table'!$A$118,D781,VLOOKUP(B782,'Mortality Table'!$A$2:$B$118,2,FALSE))</f>
        <v>0.59733000000000003</v>
      </c>
      <c r="E782" s="4">
        <f>IF(INT((C782-1)/12)+1&gt;'Lapse Table'!$A$11,E781,VLOOKUP(INT((C782-1)/12)+1,'Lapse Table'!$A$2:$B$11,2,FALSE))/12</f>
        <v>0</v>
      </c>
      <c r="F782" s="5">
        <f t="shared" si="116"/>
        <v>-12.215884865620787</v>
      </c>
      <c r="G782" s="6">
        <f t="shared" si="110"/>
        <v>4.9777500000000002E-2</v>
      </c>
      <c r="H782" s="6">
        <f t="shared" si="111"/>
        <v>0</v>
      </c>
      <c r="I782" s="7">
        <f t="shared" si="112"/>
        <v>-407.19616218735956</v>
      </c>
      <c r="J782" s="8">
        <f t="shared" si="113"/>
        <v>49777.5</v>
      </c>
      <c r="K782" s="7">
        <f t="shared" si="114"/>
        <v>-50184.696162187356</v>
      </c>
      <c r="L782" s="4">
        <f>IF(A782&gt;'Yield Curve'!A1396,L781,(1+VLOOKUP(A782,'Yield Curve'!A775:B1397,2,FALSE))^(1/12)-1)</f>
        <v>7.9741404289037643E-3</v>
      </c>
      <c r="M782" s="5">
        <f t="shared" si="115"/>
        <v>-107.33543146496332</v>
      </c>
    </row>
    <row r="783" spans="1:13" x14ac:dyDescent="0.25">
      <c r="A783" s="4">
        <v>775</v>
      </c>
      <c r="B783" s="4">
        <f t="shared" si="108"/>
        <v>109</v>
      </c>
      <c r="C783" s="4">
        <f t="shared" si="109"/>
        <v>790</v>
      </c>
      <c r="D783" s="4">
        <f>IF(B783&gt;'Mortality Table'!$A$118,D782,VLOOKUP(B783,'Mortality Table'!$A$2:$B$118,2,FALSE))</f>
        <v>0.59733000000000003</v>
      </c>
      <c r="E783" s="4">
        <f>IF(INT((C783-1)/12)+1&gt;'Lapse Table'!$A$11,E782,VLOOKUP(INT((C783-1)/12)+1,'Lapse Table'!$A$2:$B$11,2,FALSE))/12</f>
        <v>0</v>
      </c>
      <c r="F783" s="5">
        <f t="shared" si="116"/>
        <v>-12.265662365620786</v>
      </c>
      <c r="G783" s="6">
        <f t="shared" si="110"/>
        <v>4.9777500000000002E-2</v>
      </c>
      <c r="H783" s="6">
        <f t="shared" si="111"/>
        <v>0</v>
      </c>
      <c r="I783" s="7">
        <f t="shared" si="112"/>
        <v>-408.85541218735949</v>
      </c>
      <c r="J783" s="8">
        <f t="shared" si="113"/>
        <v>49777.5</v>
      </c>
      <c r="K783" s="7">
        <f t="shared" si="114"/>
        <v>-50186.35541218736</v>
      </c>
      <c r="L783" s="4">
        <f>IF(A783&gt;'Yield Curve'!A1397,L782,(1+VLOOKUP(A783,'Yield Curve'!A776:B1398,2,FALSE))^(1/12)-1)</f>
        <v>7.9741404289037643E-3</v>
      </c>
      <c r="M783" s="5">
        <f t="shared" si="115"/>
        <v>-106.48981553884323</v>
      </c>
    </row>
    <row r="784" spans="1:13" x14ac:dyDescent="0.25">
      <c r="A784" s="4">
        <v>776</v>
      </c>
      <c r="B784" s="4">
        <f t="shared" si="108"/>
        <v>109</v>
      </c>
      <c r="C784" s="4">
        <f t="shared" si="109"/>
        <v>791</v>
      </c>
      <c r="D784" s="4">
        <f>IF(B784&gt;'Mortality Table'!$A$118,D783,VLOOKUP(B784,'Mortality Table'!$A$2:$B$118,2,FALSE))</f>
        <v>0.59733000000000003</v>
      </c>
      <c r="E784" s="4">
        <f>IF(INT((C784-1)/12)+1&gt;'Lapse Table'!$A$11,E783,VLOOKUP(INT((C784-1)/12)+1,'Lapse Table'!$A$2:$B$11,2,FALSE))/12</f>
        <v>0</v>
      </c>
      <c r="F784" s="5">
        <f t="shared" si="116"/>
        <v>-12.315439865620785</v>
      </c>
      <c r="G784" s="6">
        <f t="shared" si="110"/>
        <v>4.9777500000000002E-2</v>
      </c>
      <c r="H784" s="6">
        <f t="shared" si="111"/>
        <v>0</v>
      </c>
      <c r="I784" s="7">
        <f t="shared" si="112"/>
        <v>-410.51466218735953</v>
      </c>
      <c r="J784" s="8">
        <f t="shared" si="113"/>
        <v>49777.5</v>
      </c>
      <c r="K784" s="7">
        <f t="shared" si="114"/>
        <v>-50188.014662187357</v>
      </c>
      <c r="L784" s="4">
        <f>IF(A784&gt;'Yield Curve'!A1398,L783,(1+VLOOKUP(A784,'Yield Curve'!A777:B1399,2,FALSE))^(1/12)-1)</f>
        <v>7.9741404289037643E-3</v>
      </c>
      <c r="M784" s="5">
        <f t="shared" si="115"/>
        <v>-105.65086147534501</v>
      </c>
    </row>
    <row r="785" spans="1:13" x14ac:dyDescent="0.25">
      <c r="A785" s="4">
        <v>777</v>
      </c>
      <c r="B785" s="4">
        <f t="shared" si="108"/>
        <v>109</v>
      </c>
      <c r="C785" s="4">
        <f t="shared" si="109"/>
        <v>792</v>
      </c>
      <c r="D785" s="4">
        <f>IF(B785&gt;'Mortality Table'!$A$118,D784,VLOOKUP(B785,'Mortality Table'!$A$2:$B$118,2,FALSE))</f>
        <v>0.59733000000000003</v>
      </c>
      <c r="E785" s="4">
        <f>IF(INT((C785-1)/12)+1&gt;'Lapse Table'!$A$11,E784,VLOOKUP(INT((C785-1)/12)+1,'Lapse Table'!$A$2:$B$11,2,FALSE))/12</f>
        <v>0</v>
      </c>
      <c r="F785" s="5">
        <f t="shared" si="116"/>
        <v>-12.365217365620785</v>
      </c>
      <c r="G785" s="6">
        <f t="shared" si="110"/>
        <v>4.9777500000000002E-2</v>
      </c>
      <c r="H785" s="6">
        <f t="shared" si="111"/>
        <v>0</v>
      </c>
      <c r="I785" s="7">
        <f t="shared" si="112"/>
        <v>-412.17391218735952</v>
      </c>
      <c r="J785" s="8">
        <f t="shared" si="113"/>
        <v>49777.5</v>
      </c>
      <c r="K785" s="7">
        <f t="shared" si="114"/>
        <v>-50189.673912187362</v>
      </c>
      <c r="L785" s="4">
        <f>IF(A785&gt;'Yield Curve'!A1399,L784,(1+VLOOKUP(A785,'Yield Curve'!A778:B1400,2,FALSE))^(1/12)-1)</f>
        <v>7.9741404289037643E-3</v>
      </c>
      <c r="M785" s="5">
        <f t="shared" si="115"/>
        <v>-104.81851679244178</v>
      </c>
    </row>
    <row r="786" spans="1:13" x14ac:dyDescent="0.25">
      <c r="A786" s="4">
        <v>778</v>
      </c>
      <c r="B786" s="4">
        <f t="shared" si="108"/>
        <v>109</v>
      </c>
      <c r="C786" s="4">
        <f t="shared" si="109"/>
        <v>793</v>
      </c>
      <c r="D786" s="4">
        <f>IF(B786&gt;'Mortality Table'!$A$118,D785,VLOOKUP(B786,'Mortality Table'!$A$2:$B$118,2,FALSE))</f>
        <v>0.59733000000000003</v>
      </c>
      <c r="E786" s="4">
        <f>IF(INT((C786-1)/12)+1&gt;'Lapse Table'!$A$11,E785,VLOOKUP(INT((C786-1)/12)+1,'Lapse Table'!$A$2:$B$11,2,FALSE))/12</f>
        <v>0</v>
      </c>
      <c r="F786" s="5">
        <f t="shared" si="116"/>
        <v>-12.414994865620784</v>
      </c>
      <c r="G786" s="6">
        <f t="shared" si="110"/>
        <v>4.9777500000000002E-2</v>
      </c>
      <c r="H786" s="6">
        <f t="shared" si="111"/>
        <v>0</v>
      </c>
      <c r="I786" s="7">
        <f t="shared" si="112"/>
        <v>-413.83316218735945</v>
      </c>
      <c r="J786" s="8">
        <f t="shared" si="113"/>
        <v>49777.5</v>
      </c>
      <c r="K786" s="7">
        <f t="shared" si="114"/>
        <v>-50191.333162187359</v>
      </c>
      <c r="L786" s="4">
        <f>IF(A786&gt;'Yield Curve'!A1400,L785,(1+VLOOKUP(A786,'Yield Curve'!A779:B1401,2,FALSE))^(1/12)-1)</f>
        <v>7.9741404289037643E-3</v>
      </c>
      <c r="M786" s="5">
        <f t="shared" si="115"/>
        <v>-103.99272942155164</v>
      </c>
    </row>
    <row r="787" spans="1:13" x14ac:dyDescent="0.25">
      <c r="A787" s="4">
        <v>779</v>
      </c>
      <c r="B787" s="4">
        <f t="shared" si="108"/>
        <v>109</v>
      </c>
      <c r="C787" s="4">
        <f t="shared" si="109"/>
        <v>794</v>
      </c>
      <c r="D787" s="4">
        <f>IF(B787&gt;'Mortality Table'!$A$118,D786,VLOOKUP(B787,'Mortality Table'!$A$2:$B$118,2,FALSE))</f>
        <v>0.59733000000000003</v>
      </c>
      <c r="E787" s="4">
        <f>IF(INT((C787-1)/12)+1&gt;'Lapse Table'!$A$11,E786,VLOOKUP(INT((C787-1)/12)+1,'Lapse Table'!$A$2:$B$11,2,FALSE))/12</f>
        <v>0</v>
      </c>
      <c r="F787" s="5">
        <f t="shared" si="116"/>
        <v>-12.464772365620783</v>
      </c>
      <c r="G787" s="6">
        <f t="shared" si="110"/>
        <v>4.9777500000000002E-2</v>
      </c>
      <c r="H787" s="6">
        <f t="shared" si="111"/>
        <v>0</v>
      </c>
      <c r="I787" s="7">
        <f t="shared" si="112"/>
        <v>-415.49241218735943</v>
      </c>
      <c r="J787" s="8">
        <f t="shared" si="113"/>
        <v>49777.5</v>
      </c>
      <c r="K787" s="7">
        <f t="shared" si="114"/>
        <v>-50192.992412187363</v>
      </c>
      <c r="L787" s="4">
        <f>IF(A787&gt;'Yield Curve'!A1401,L786,(1+VLOOKUP(A787,'Yield Curve'!A780:B1402,2,FALSE))^(1/12)-1)</f>
        <v>7.9741404289037643E-3</v>
      </c>
      <c r="M787" s="5">
        <f t="shared" si="115"/>
        <v>-103.17344770428099</v>
      </c>
    </row>
    <row r="788" spans="1:13" x14ac:dyDescent="0.25">
      <c r="A788" s="4">
        <v>780</v>
      </c>
      <c r="B788" s="4">
        <f t="shared" si="108"/>
        <v>110</v>
      </c>
      <c r="C788" s="4">
        <f t="shared" si="109"/>
        <v>795</v>
      </c>
      <c r="D788" s="4">
        <f>IF(B788&gt;'Mortality Table'!$A$118,D787,VLOOKUP(B788,'Mortality Table'!$A$2:$B$118,2,FALSE))</f>
        <v>0.59733000000000003</v>
      </c>
      <c r="E788" s="4">
        <f>IF(INT((C788-1)/12)+1&gt;'Lapse Table'!$A$11,E787,VLOOKUP(INT((C788-1)/12)+1,'Lapse Table'!$A$2:$B$11,2,FALSE))/12</f>
        <v>0</v>
      </c>
      <c r="F788" s="5">
        <f t="shared" si="116"/>
        <v>-12.514549865620783</v>
      </c>
      <c r="G788" s="6">
        <f t="shared" si="110"/>
        <v>4.9777500000000002E-2</v>
      </c>
      <c r="H788" s="6">
        <f t="shared" si="111"/>
        <v>0</v>
      </c>
      <c r="I788" s="7">
        <f t="shared" si="112"/>
        <v>-417.15166218735948</v>
      </c>
      <c r="J788" s="8">
        <f t="shared" si="113"/>
        <v>49777.5</v>
      </c>
      <c r="K788" s="7">
        <f t="shared" si="114"/>
        <v>-50194.65166218736</v>
      </c>
      <c r="L788" s="4">
        <f>IF(A788&gt;'Yield Curve'!A1402,L787,(1+VLOOKUP(A788,'Yield Curve'!A781:B1403,2,FALSE))^(1/12)-1)</f>
        <v>7.9741404289037643E-3</v>
      </c>
      <c r="M788" s="5">
        <f t="shared" si="115"/>
        <v>-102.36062038919283</v>
      </c>
    </row>
    <row r="789" spans="1:13" x14ac:dyDescent="0.25">
      <c r="A789" s="4">
        <v>781</v>
      </c>
      <c r="B789" s="4">
        <f t="shared" si="108"/>
        <v>110</v>
      </c>
      <c r="C789" s="4">
        <f t="shared" si="109"/>
        <v>796</v>
      </c>
      <c r="D789" s="4">
        <f>IF(B789&gt;'Mortality Table'!$A$118,D788,VLOOKUP(B789,'Mortality Table'!$A$2:$B$118,2,FALSE))</f>
        <v>0.59733000000000003</v>
      </c>
      <c r="E789" s="4">
        <f>IF(INT((C789-1)/12)+1&gt;'Lapse Table'!$A$11,E788,VLOOKUP(INT((C789-1)/12)+1,'Lapse Table'!$A$2:$B$11,2,FALSE))/12</f>
        <v>0</v>
      </c>
      <c r="F789" s="5">
        <f t="shared" si="116"/>
        <v>-12.564327365620782</v>
      </c>
      <c r="G789" s="6">
        <f t="shared" si="110"/>
        <v>4.9777500000000002E-2</v>
      </c>
      <c r="H789" s="6">
        <f t="shared" si="111"/>
        <v>0</v>
      </c>
      <c r="I789" s="7">
        <f t="shared" si="112"/>
        <v>-418.81091218735941</v>
      </c>
      <c r="J789" s="8">
        <f t="shared" si="113"/>
        <v>49777.5</v>
      </c>
      <c r="K789" s="7">
        <f t="shared" si="114"/>
        <v>-50196.310912187357</v>
      </c>
      <c r="L789" s="4">
        <f>IF(A789&gt;'Yield Curve'!A1403,L788,(1+VLOOKUP(A789,'Yield Curve'!A782:B1404,2,FALSE))^(1/12)-1)</f>
        <v>7.9741404289037643E-3</v>
      </c>
      <c r="M789" s="5">
        <f t="shared" si="115"/>
        <v>-101.55419662860119</v>
      </c>
    </row>
    <row r="790" spans="1:13" x14ac:dyDescent="0.25">
      <c r="A790" s="4">
        <v>782</v>
      </c>
      <c r="B790" s="4">
        <f t="shared" si="108"/>
        <v>110</v>
      </c>
      <c r="C790" s="4">
        <f t="shared" si="109"/>
        <v>797</v>
      </c>
      <c r="D790" s="4">
        <f>IF(B790&gt;'Mortality Table'!$A$118,D789,VLOOKUP(B790,'Mortality Table'!$A$2:$B$118,2,FALSE))</f>
        <v>0.59733000000000003</v>
      </c>
      <c r="E790" s="4">
        <f>IF(INT((C790-1)/12)+1&gt;'Lapse Table'!$A$11,E789,VLOOKUP(INT((C790-1)/12)+1,'Lapse Table'!$A$2:$B$11,2,FALSE))/12</f>
        <v>0</v>
      </c>
      <c r="F790" s="5">
        <f t="shared" si="116"/>
        <v>-12.614104865620781</v>
      </c>
      <c r="G790" s="6">
        <f t="shared" si="110"/>
        <v>4.9777500000000002E-2</v>
      </c>
      <c r="H790" s="6">
        <f t="shared" si="111"/>
        <v>0</v>
      </c>
      <c r="I790" s="7">
        <f t="shared" si="112"/>
        <v>-420.47016218735939</v>
      </c>
      <c r="J790" s="8">
        <f t="shared" si="113"/>
        <v>49777.5</v>
      </c>
      <c r="K790" s="7">
        <f t="shared" si="114"/>
        <v>-50197.970162187361</v>
      </c>
      <c r="L790" s="4">
        <f>IF(A790&gt;'Yield Curve'!A1404,L789,(1+VLOOKUP(A790,'Yield Curve'!A783:B1405,2,FALSE))^(1/12)-1)</f>
        <v>7.9741404289037643E-3</v>
      </c>
      <c r="M790" s="5">
        <f t="shared" si="115"/>
        <v>-100.75412597539039</v>
      </c>
    </row>
    <row r="791" spans="1:13" x14ac:dyDescent="0.25">
      <c r="A791" s="4">
        <v>783</v>
      </c>
      <c r="B791" s="4">
        <f t="shared" si="108"/>
        <v>110</v>
      </c>
      <c r="C791" s="4">
        <f t="shared" si="109"/>
        <v>798</v>
      </c>
      <c r="D791" s="4">
        <f>IF(B791&gt;'Mortality Table'!$A$118,D790,VLOOKUP(B791,'Mortality Table'!$A$2:$B$118,2,FALSE))</f>
        <v>0.59733000000000003</v>
      </c>
      <c r="E791" s="4">
        <f>IF(INT((C791-1)/12)+1&gt;'Lapse Table'!$A$11,E790,VLOOKUP(INT((C791-1)/12)+1,'Lapse Table'!$A$2:$B$11,2,FALSE))/12</f>
        <v>0</v>
      </c>
      <c r="F791" s="5">
        <f t="shared" si="116"/>
        <v>-12.663882365620781</v>
      </c>
      <c r="G791" s="6">
        <f t="shared" si="110"/>
        <v>4.9777500000000002E-2</v>
      </c>
      <c r="H791" s="6">
        <f t="shared" si="111"/>
        <v>0</v>
      </c>
      <c r="I791" s="7">
        <f t="shared" si="112"/>
        <v>-422.12941218735938</v>
      </c>
      <c r="J791" s="8">
        <f t="shared" si="113"/>
        <v>49777.5</v>
      </c>
      <c r="K791" s="7">
        <f t="shared" si="114"/>
        <v>-50199.629412187358</v>
      </c>
      <c r="L791" s="4">
        <f>IF(A791&gt;'Yield Curve'!A1405,L790,(1+VLOOKUP(A791,'Yield Curve'!A784:B1406,2,FALSE))^(1/12)-1)</f>
        <v>7.9741404289037643E-3</v>
      </c>
      <c r="M791" s="5">
        <f t="shared" si="115"/>
        <v>-99.960358379859258</v>
      </c>
    </row>
    <row r="792" spans="1:13" x14ac:dyDescent="0.25">
      <c r="A792" s="4">
        <v>784</v>
      </c>
      <c r="B792" s="4">
        <f t="shared" si="108"/>
        <v>110</v>
      </c>
      <c r="C792" s="4">
        <f t="shared" si="109"/>
        <v>799</v>
      </c>
      <c r="D792" s="4">
        <f>IF(B792&gt;'Mortality Table'!$A$118,D791,VLOOKUP(B792,'Mortality Table'!$A$2:$B$118,2,FALSE))</f>
        <v>0.59733000000000003</v>
      </c>
      <c r="E792" s="4">
        <f>IF(INT((C792-1)/12)+1&gt;'Lapse Table'!$A$11,E791,VLOOKUP(INT((C792-1)/12)+1,'Lapse Table'!$A$2:$B$11,2,FALSE))/12</f>
        <v>0</v>
      </c>
      <c r="F792" s="5">
        <f t="shared" si="116"/>
        <v>-12.71365986562078</v>
      </c>
      <c r="G792" s="6">
        <f t="shared" si="110"/>
        <v>4.9777500000000002E-2</v>
      </c>
      <c r="H792" s="6">
        <f t="shared" si="111"/>
        <v>0</v>
      </c>
      <c r="I792" s="7">
        <f t="shared" si="112"/>
        <v>-423.78866218735931</v>
      </c>
      <c r="J792" s="8">
        <f t="shared" si="113"/>
        <v>49777.5</v>
      </c>
      <c r="K792" s="7">
        <f t="shared" si="114"/>
        <v>-50201.288662187362</v>
      </c>
      <c r="L792" s="4">
        <f>IF(A792&gt;'Yield Curve'!A1406,L791,(1+VLOOKUP(A792,'Yield Curve'!A785:B1407,2,FALSE))^(1/12)-1)</f>
        <v>7.9741404289037643E-3</v>
      </c>
      <c r="M792" s="5">
        <f t="shared" si="115"/>
        <v>-99.172844186590737</v>
      </c>
    </row>
    <row r="793" spans="1:13" x14ac:dyDescent="0.25">
      <c r="A793" s="4">
        <v>785</v>
      </c>
      <c r="B793" s="4">
        <f t="shared" si="108"/>
        <v>110</v>
      </c>
      <c r="C793" s="4">
        <f t="shared" si="109"/>
        <v>800</v>
      </c>
      <c r="D793" s="4">
        <f>IF(B793&gt;'Mortality Table'!$A$118,D792,VLOOKUP(B793,'Mortality Table'!$A$2:$B$118,2,FALSE))</f>
        <v>0.59733000000000003</v>
      </c>
      <c r="E793" s="4">
        <f>IF(INT((C793-1)/12)+1&gt;'Lapse Table'!$A$11,E792,VLOOKUP(INT((C793-1)/12)+1,'Lapse Table'!$A$2:$B$11,2,FALSE))/12</f>
        <v>0</v>
      </c>
      <c r="F793" s="5">
        <f t="shared" si="116"/>
        <v>-12.76343736562078</v>
      </c>
      <c r="G793" s="6">
        <f t="shared" si="110"/>
        <v>4.9777500000000002E-2</v>
      </c>
      <c r="H793" s="6">
        <f t="shared" si="111"/>
        <v>0</v>
      </c>
      <c r="I793" s="7">
        <f t="shared" si="112"/>
        <v>-425.44791218735935</v>
      </c>
      <c r="J793" s="8">
        <f t="shared" si="113"/>
        <v>49777.5</v>
      </c>
      <c r="K793" s="7">
        <f t="shared" si="114"/>
        <v>-50202.947912187359</v>
      </c>
      <c r="L793" s="4">
        <f>IF(A793&gt;'Yield Curve'!A1407,L792,(1+VLOOKUP(A793,'Yield Curve'!A786:B1408,2,FALSE))^(1/12)-1)</f>
        <v>7.9741404289037643E-3</v>
      </c>
      <c r="M793" s="5">
        <f t="shared" si="115"/>
        <v>-98.391534131345765</v>
      </c>
    </row>
    <row r="794" spans="1:13" x14ac:dyDescent="0.25">
      <c r="A794" s="4">
        <v>786</v>
      </c>
      <c r="B794" s="4">
        <f t="shared" si="108"/>
        <v>110</v>
      </c>
      <c r="C794" s="4">
        <f t="shared" si="109"/>
        <v>801</v>
      </c>
      <c r="D794" s="4">
        <f>IF(B794&gt;'Mortality Table'!$A$118,D793,VLOOKUP(B794,'Mortality Table'!$A$2:$B$118,2,FALSE))</f>
        <v>0.59733000000000003</v>
      </c>
      <c r="E794" s="4">
        <f>IF(INT((C794-1)/12)+1&gt;'Lapse Table'!$A$11,E793,VLOOKUP(INT((C794-1)/12)+1,'Lapse Table'!$A$2:$B$11,2,FALSE))/12</f>
        <v>0</v>
      </c>
      <c r="F794" s="5">
        <f t="shared" si="116"/>
        <v>-12.813214865620779</v>
      </c>
      <c r="G794" s="6">
        <f t="shared" si="110"/>
        <v>4.9777500000000002E-2</v>
      </c>
      <c r="H794" s="6">
        <f t="shared" si="111"/>
        <v>0</v>
      </c>
      <c r="I794" s="7">
        <f t="shared" si="112"/>
        <v>-427.10716218735934</v>
      </c>
      <c r="J794" s="8">
        <f t="shared" si="113"/>
        <v>49777.5</v>
      </c>
      <c r="K794" s="7">
        <f t="shared" si="114"/>
        <v>-50204.607162187356</v>
      </c>
      <c r="L794" s="4">
        <f>IF(A794&gt;'Yield Curve'!A1408,L793,(1+VLOOKUP(A794,'Yield Curve'!A787:B1409,2,FALSE))^(1/12)-1)</f>
        <v>7.9741404289037643E-3</v>
      </c>
      <c r="M794" s="5">
        <f t="shared" si="115"/>
        <v>-97.616379337981442</v>
      </c>
    </row>
    <row r="795" spans="1:13" x14ac:dyDescent="0.25">
      <c r="A795" s="4">
        <v>787</v>
      </c>
      <c r="B795" s="4">
        <f t="shared" si="108"/>
        <v>110</v>
      </c>
      <c r="C795" s="4">
        <f t="shared" si="109"/>
        <v>802</v>
      </c>
      <c r="D795" s="4">
        <f>IF(B795&gt;'Mortality Table'!$A$118,D794,VLOOKUP(B795,'Mortality Table'!$A$2:$B$118,2,FALSE))</f>
        <v>0.59733000000000003</v>
      </c>
      <c r="E795" s="4">
        <f>IF(INT((C795-1)/12)+1&gt;'Lapse Table'!$A$11,E794,VLOOKUP(INT((C795-1)/12)+1,'Lapse Table'!$A$2:$B$11,2,FALSE))/12</f>
        <v>0</v>
      </c>
      <c r="F795" s="5">
        <f t="shared" si="116"/>
        <v>-12.862992365620778</v>
      </c>
      <c r="G795" s="6">
        <f t="shared" si="110"/>
        <v>4.9777500000000002E-2</v>
      </c>
      <c r="H795" s="6">
        <f t="shared" si="111"/>
        <v>0</v>
      </c>
      <c r="I795" s="7">
        <f t="shared" si="112"/>
        <v>-428.76641218735926</v>
      </c>
      <c r="J795" s="8">
        <f t="shared" si="113"/>
        <v>49777.5</v>
      </c>
      <c r="K795" s="7">
        <f t="shared" si="114"/>
        <v>-50206.26641218736</v>
      </c>
      <c r="L795" s="4">
        <f>IF(A795&gt;'Yield Curve'!A1409,L794,(1+VLOOKUP(A795,'Yield Curve'!A788:B1410,2,FALSE))^(1/12)-1)</f>
        <v>7.9741404289037643E-3</v>
      </c>
      <c r="M795" s="5">
        <f t="shared" si="115"/>
        <v>-96.84733131539403</v>
      </c>
    </row>
    <row r="796" spans="1:13" x14ac:dyDescent="0.25">
      <c r="A796" s="4">
        <v>788</v>
      </c>
      <c r="B796" s="4">
        <f t="shared" si="108"/>
        <v>110</v>
      </c>
      <c r="C796" s="4">
        <f t="shared" si="109"/>
        <v>803</v>
      </c>
      <c r="D796" s="4">
        <f>IF(B796&gt;'Mortality Table'!$A$118,D795,VLOOKUP(B796,'Mortality Table'!$A$2:$B$118,2,FALSE))</f>
        <v>0.59733000000000003</v>
      </c>
      <c r="E796" s="4">
        <f>IF(INT((C796-1)/12)+1&gt;'Lapse Table'!$A$11,E795,VLOOKUP(INT((C796-1)/12)+1,'Lapse Table'!$A$2:$B$11,2,FALSE))/12</f>
        <v>0</v>
      </c>
      <c r="F796" s="5">
        <f t="shared" si="116"/>
        <v>-12.912769865620778</v>
      </c>
      <c r="G796" s="6">
        <f t="shared" si="110"/>
        <v>4.9777500000000002E-2</v>
      </c>
      <c r="H796" s="6">
        <f t="shared" si="111"/>
        <v>0</v>
      </c>
      <c r="I796" s="7">
        <f t="shared" si="112"/>
        <v>-430.42566218735925</v>
      </c>
      <c r="J796" s="8">
        <f t="shared" si="113"/>
        <v>49777.5</v>
      </c>
      <c r="K796" s="7">
        <f t="shared" si="114"/>
        <v>-50207.925662187357</v>
      </c>
      <c r="L796" s="4">
        <f>IF(A796&gt;'Yield Curve'!A1410,L795,(1+VLOOKUP(A796,'Yield Curve'!A789:B1411,2,FALSE))^(1/12)-1)</f>
        <v>7.9741404289037643E-3</v>
      </c>
      <c r="M796" s="5">
        <f t="shared" si="115"/>
        <v>-96.084341954485467</v>
      </c>
    </row>
    <row r="797" spans="1:13" x14ac:dyDescent="0.25">
      <c r="A797" s="4">
        <v>789</v>
      </c>
      <c r="B797" s="4">
        <f t="shared" si="108"/>
        <v>110</v>
      </c>
      <c r="C797" s="4">
        <f t="shared" si="109"/>
        <v>804</v>
      </c>
      <c r="D797" s="4">
        <f>IF(B797&gt;'Mortality Table'!$A$118,D796,VLOOKUP(B797,'Mortality Table'!$A$2:$B$118,2,FALSE))</f>
        <v>0.59733000000000003</v>
      </c>
      <c r="E797" s="4">
        <f>IF(INT((C797-1)/12)+1&gt;'Lapse Table'!$A$11,E796,VLOOKUP(INT((C797-1)/12)+1,'Lapse Table'!$A$2:$B$11,2,FALSE))/12</f>
        <v>0</v>
      </c>
      <c r="F797" s="5">
        <f t="shared" si="116"/>
        <v>-12.962547365620777</v>
      </c>
      <c r="G797" s="6">
        <f t="shared" si="110"/>
        <v>4.9777500000000002E-2</v>
      </c>
      <c r="H797" s="6">
        <f t="shared" si="111"/>
        <v>0</v>
      </c>
      <c r="I797" s="7">
        <f t="shared" si="112"/>
        <v>-432.08491218735918</v>
      </c>
      <c r="J797" s="8">
        <f t="shared" si="113"/>
        <v>49777.5</v>
      </c>
      <c r="K797" s="7">
        <f t="shared" si="114"/>
        <v>-50209.584912187362</v>
      </c>
      <c r="L797" s="4">
        <f>IF(A797&gt;'Yield Curve'!A1411,L796,(1+VLOOKUP(A797,'Yield Curve'!A790:B1412,2,FALSE))^(1/12)-1)</f>
        <v>7.9741404289037643E-3</v>
      </c>
      <c r="M797" s="5">
        <f t="shared" si="115"/>
        <v>-95.32736352515424</v>
      </c>
    </row>
    <row r="798" spans="1:13" x14ac:dyDescent="0.25">
      <c r="A798" s="4">
        <v>790</v>
      </c>
      <c r="B798" s="4">
        <f t="shared" si="108"/>
        <v>110</v>
      </c>
      <c r="C798" s="4">
        <f t="shared" si="109"/>
        <v>805</v>
      </c>
      <c r="D798" s="4">
        <f>IF(B798&gt;'Mortality Table'!$A$118,D797,VLOOKUP(B798,'Mortality Table'!$A$2:$B$118,2,FALSE))</f>
        <v>0.59733000000000003</v>
      </c>
      <c r="E798" s="4">
        <f>IF(INT((C798-1)/12)+1&gt;'Lapse Table'!$A$11,E797,VLOOKUP(INT((C798-1)/12)+1,'Lapse Table'!$A$2:$B$11,2,FALSE))/12</f>
        <v>0</v>
      </c>
      <c r="F798" s="5">
        <f t="shared" si="116"/>
        <v>-13.012324865620776</v>
      </c>
      <c r="G798" s="6">
        <f t="shared" si="110"/>
        <v>4.9777500000000002E-2</v>
      </c>
      <c r="H798" s="6">
        <f t="shared" si="111"/>
        <v>0</v>
      </c>
      <c r="I798" s="7">
        <f t="shared" si="112"/>
        <v>-433.74416218735922</v>
      </c>
      <c r="J798" s="8">
        <f t="shared" si="113"/>
        <v>49777.5</v>
      </c>
      <c r="K798" s="7">
        <f t="shared" si="114"/>
        <v>-50211.244162187359</v>
      </c>
      <c r="L798" s="4">
        <f>IF(A798&gt;'Yield Curve'!A1412,L797,(1+VLOOKUP(A798,'Yield Curve'!A791:B1413,2,FALSE))^(1/12)-1)</f>
        <v>7.9741404289037643E-3</v>
      </c>
      <c r="M798" s="5">
        <f t="shared" si="115"/>
        <v>-94.57634867330971</v>
      </c>
    </row>
    <row r="799" spans="1:13" x14ac:dyDescent="0.25">
      <c r="A799" s="4">
        <v>791</v>
      </c>
      <c r="B799" s="4">
        <f t="shared" si="108"/>
        <v>110</v>
      </c>
      <c r="C799" s="4">
        <f t="shared" si="109"/>
        <v>806</v>
      </c>
      <c r="D799" s="4">
        <f>IF(B799&gt;'Mortality Table'!$A$118,D798,VLOOKUP(B799,'Mortality Table'!$A$2:$B$118,2,FALSE))</f>
        <v>0.59733000000000003</v>
      </c>
      <c r="E799" s="4">
        <f>IF(INT((C799-1)/12)+1&gt;'Lapse Table'!$A$11,E798,VLOOKUP(INT((C799-1)/12)+1,'Lapse Table'!$A$2:$B$11,2,FALSE))/12</f>
        <v>0</v>
      </c>
      <c r="F799" s="5">
        <f t="shared" si="116"/>
        <v>-13.062102365620776</v>
      </c>
      <c r="G799" s="6">
        <f t="shared" si="110"/>
        <v>4.9777500000000002E-2</v>
      </c>
      <c r="H799" s="6">
        <f t="shared" si="111"/>
        <v>0</v>
      </c>
      <c r="I799" s="7">
        <f t="shared" si="112"/>
        <v>-435.40341218735921</v>
      </c>
      <c r="J799" s="8">
        <f t="shared" si="113"/>
        <v>49777.5</v>
      </c>
      <c r="K799" s="7">
        <f t="shared" si="114"/>
        <v>-50212.903412187356</v>
      </c>
      <c r="L799" s="4">
        <f>IF(A799&gt;'Yield Curve'!A1413,L798,(1+VLOOKUP(A799,'Yield Curve'!A792:B1414,2,FALSE))^(1/12)-1)</f>
        <v>7.9741404289037643E-3</v>
      </c>
      <c r="M799" s="5">
        <f t="shared" si="115"/>
        <v>-93.831250417909871</v>
      </c>
    </row>
    <row r="800" spans="1:13" x14ac:dyDescent="0.25">
      <c r="A800" s="4">
        <v>792</v>
      </c>
      <c r="B800" s="4">
        <f t="shared" si="108"/>
        <v>111</v>
      </c>
      <c r="C800" s="4">
        <f t="shared" si="109"/>
        <v>807</v>
      </c>
      <c r="D800" s="4">
        <f>IF(B800&gt;'Mortality Table'!$A$118,D799,VLOOKUP(B800,'Mortality Table'!$A$2:$B$118,2,FALSE))</f>
        <v>0.59733000000000003</v>
      </c>
      <c r="E800" s="4">
        <f>IF(INT((C800-1)/12)+1&gt;'Lapse Table'!$A$11,E799,VLOOKUP(INT((C800-1)/12)+1,'Lapse Table'!$A$2:$B$11,2,FALSE))/12</f>
        <v>0</v>
      </c>
      <c r="F800" s="5">
        <f t="shared" si="116"/>
        <v>-13.111879865620775</v>
      </c>
      <c r="G800" s="6">
        <f t="shared" si="110"/>
        <v>4.9777500000000002E-2</v>
      </c>
      <c r="H800" s="6">
        <f t="shared" si="111"/>
        <v>0</v>
      </c>
      <c r="I800" s="7">
        <f t="shared" si="112"/>
        <v>-437.06266218735914</v>
      </c>
      <c r="J800" s="8">
        <f t="shared" si="113"/>
        <v>49777.5</v>
      </c>
      <c r="K800" s="7">
        <f t="shared" si="114"/>
        <v>-50214.56266218736</v>
      </c>
      <c r="L800" s="4">
        <f>IF(A800&gt;'Yield Curve'!A1414,L799,(1+VLOOKUP(A800,'Yield Curve'!A793:B1415,2,FALSE))^(1/12)-1)</f>
        <v>7.9741404289037643E-3</v>
      </c>
      <c r="M800" s="5">
        <f t="shared" si="115"/>
        <v>-93.092022148022735</v>
      </c>
    </row>
    <row r="801" spans="1:13" x14ac:dyDescent="0.25">
      <c r="A801" s="4">
        <v>793</v>
      </c>
      <c r="B801" s="4">
        <f t="shared" si="108"/>
        <v>111</v>
      </c>
      <c r="C801" s="4">
        <f t="shared" si="109"/>
        <v>808</v>
      </c>
      <c r="D801" s="4">
        <f>IF(B801&gt;'Mortality Table'!$A$118,D800,VLOOKUP(B801,'Mortality Table'!$A$2:$B$118,2,FALSE))</f>
        <v>0.59733000000000003</v>
      </c>
      <c r="E801" s="4">
        <f>IF(INT((C801-1)/12)+1&gt;'Lapse Table'!$A$11,E800,VLOOKUP(INT((C801-1)/12)+1,'Lapse Table'!$A$2:$B$11,2,FALSE))/12</f>
        <v>0</v>
      </c>
      <c r="F801" s="5">
        <f t="shared" si="116"/>
        <v>-13.161657365620774</v>
      </c>
      <c r="G801" s="6">
        <f t="shared" si="110"/>
        <v>4.9777500000000002E-2</v>
      </c>
      <c r="H801" s="6">
        <f t="shared" si="111"/>
        <v>0</v>
      </c>
      <c r="I801" s="7">
        <f t="shared" si="112"/>
        <v>-438.72191218735912</v>
      </c>
      <c r="J801" s="8">
        <f t="shared" si="113"/>
        <v>49777.5</v>
      </c>
      <c r="K801" s="7">
        <f t="shared" si="114"/>
        <v>-50216.221912187357</v>
      </c>
      <c r="L801" s="4">
        <f>IF(A801&gt;'Yield Curve'!A1415,L800,(1+VLOOKUP(A801,'Yield Curve'!A794:B1416,2,FALSE))^(1/12)-1)</f>
        <v>7.9741404289037643E-3</v>
      </c>
      <c r="M801" s="5">
        <f t="shared" si="115"/>
        <v>-92.358617619910632</v>
      </c>
    </row>
    <row r="802" spans="1:13" x14ac:dyDescent="0.25">
      <c r="A802" s="4">
        <v>794</v>
      </c>
      <c r="B802" s="4">
        <f t="shared" si="108"/>
        <v>111</v>
      </c>
      <c r="C802" s="4">
        <f t="shared" si="109"/>
        <v>809</v>
      </c>
      <c r="D802" s="4">
        <f>IF(B802&gt;'Mortality Table'!$A$118,D801,VLOOKUP(B802,'Mortality Table'!$A$2:$B$118,2,FALSE))</f>
        <v>0.59733000000000003</v>
      </c>
      <c r="E802" s="4">
        <f>IF(INT((C802-1)/12)+1&gt;'Lapse Table'!$A$11,E801,VLOOKUP(INT((C802-1)/12)+1,'Lapse Table'!$A$2:$B$11,2,FALSE))/12</f>
        <v>0</v>
      </c>
      <c r="F802" s="5">
        <f t="shared" si="116"/>
        <v>-13.211434865620774</v>
      </c>
      <c r="G802" s="6">
        <f t="shared" si="110"/>
        <v>4.9777500000000002E-2</v>
      </c>
      <c r="H802" s="6">
        <f t="shared" si="111"/>
        <v>0</v>
      </c>
      <c r="I802" s="7">
        <f t="shared" si="112"/>
        <v>-440.38116218735917</v>
      </c>
      <c r="J802" s="8">
        <f t="shared" si="113"/>
        <v>49777.5</v>
      </c>
      <c r="K802" s="7">
        <f t="shared" si="114"/>
        <v>-50217.881162187361</v>
      </c>
      <c r="L802" s="4">
        <f>IF(A802&gt;'Yield Curve'!A1416,L801,(1+VLOOKUP(A802,'Yield Curve'!A795:B1417,2,FALSE))^(1/12)-1)</f>
        <v>7.9741404289037643E-3</v>
      </c>
      <c r="M802" s="5">
        <f t="shared" si="115"/>
        <v>-91.63099095413763</v>
      </c>
    </row>
    <row r="803" spans="1:13" x14ac:dyDescent="0.25">
      <c r="A803" s="4">
        <v>795</v>
      </c>
      <c r="B803" s="4">
        <f t="shared" si="108"/>
        <v>111</v>
      </c>
      <c r="C803" s="4">
        <f t="shared" si="109"/>
        <v>810</v>
      </c>
      <c r="D803" s="4">
        <f>IF(B803&gt;'Mortality Table'!$A$118,D802,VLOOKUP(B803,'Mortality Table'!$A$2:$B$118,2,FALSE))</f>
        <v>0.59733000000000003</v>
      </c>
      <c r="E803" s="4">
        <f>IF(INT((C803-1)/12)+1&gt;'Lapse Table'!$A$11,E802,VLOOKUP(INT((C803-1)/12)+1,'Lapse Table'!$A$2:$B$11,2,FALSE))/12</f>
        <v>0</v>
      </c>
      <c r="F803" s="5">
        <f t="shared" si="116"/>
        <v>-13.261212365620773</v>
      </c>
      <c r="G803" s="6">
        <f t="shared" si="110"/>
        <v>4.9777500000000002E-2</v>
      </c>
      <c r="H803" s="6">
        <f t="shared" si="111"/>
        <v>0</v>
      </c>
      <c r="I803" s="7">
        <f t="shared" si="112"/>
        <v>-442.0404121873591</v>
      </c>
      <c r="J803" s="8">
        <f t="shared" si="113"/>
        <v>49777.5</v>
      </c>
      <c r="K803" s="7">
        <f t="shared" si="114"/>
        <v>-50219.540412187358</v>
      </c>
      <c r="L803" s="4">
        <f>IF(A803&gt;'Yield Curve'!A1417,L802,(1+VLOOKUP(A803,'Yield Curve'!A796:B1418,2,FALSE))^(1/12)-1)</f>
        <v>7.9741404289037643E-3</v>
      </c>
      <c r="M803" s="5">
        <f t="shared" si="115"/>
        <v>-90.909096632699516</v>
      </c>
    </row>
    <row r="804" spans="1:13" x14ac:dyDescent="0.25">
      <c r="A804" s="4">
        <v>796</v>
      </c>
      <c r="B804" s="4">
        <f t="shared" si="108"/>
        <v>111</v>
      </c>
      <c r="C804" s="4">
        <f t="shared" si="109"/>
        <v>811</v>
      </c>
      <c r="D804" s="4">
        <f>IF(B804&gt;'Mortality Table'!$A$118,D803,VLOOKUP(B804,'Mortality Table'!$A$2:$B$118,2,FALSE))</f>
        <v>0.59733000000000003</v>
      </c>
      <c r="E804" s="4">
        <f>IF(INT((C804-1)/12)+1&gt;'Lapse Table'!$A$11,E803,VLOOKUP(INT((C804-1)/12)+1,'Lapse Table'!$A$2:$B$11,2,FALSE))/12</f>
        <v>0</v>
      </c>
      <c r="F804" s="5">
        <f t="shared" si="116"/>
        <v>-13.310989865620773</v>
      </c>
      <c r="G804" s="6">
        <f t="shared" si="110"/>
        <v>4.9777500000000002E-2</v>
      </c>
      <c r="H804" s="6">
        <f t="shared" si="111"/>
        <v>0</v>
      </c>
      <c r="I804" s="7">
        <f t="shared" si="112"/>
        <v>-443.69966218735908</v>
      </c>
      <c r="J804" s="8">
        <f t="shared" si="113"/>
        <v>49777.5</v>
      </c>
      <c r="K804" s="7">
        <f t="shared" si="114"/>
        <v>-50221.199662187362</v>
      </c>
      <c r="L804" s="4">
        <f>IF(A804&gt;'Yield Curve'!A1418,L803,(1+VLOOKUP(A804,'Yield Curve'!A797:B1419,2,FALSE))^(1/12)-1)</f>
        <v>7.9741404289037643E-3</v>
      </c>
      <c r="M804" s="5">
        <f t="shared" si="115"/>
        <v>-90.192889496176775</v>
      </c>
    </row>
    <row r="805" spans="1:13" x14ac:dyDescent="0.25">
      <c r="A805" s="4">
        <v>797</v>
      </c>
      <c r="B805" s="4">
        <f t="shared" si="108"/>
        <v>111</v>
      </c>
      <c r="C805" s="4">
        <f t="shared" si="109"/>
        <v>812</v>
      </c>
      <c r="D805" s="4">
        <f>IF(B805&gt;'Mortality Table'!$A$118,D804,VLOOKUP(B805,'Mortality Table'!$A$2:$B$118,2,FALSE))</f>
        <v>0.59733000000000003</v>
      </c>
      <c r="E805" s="4">
        <f>IF(INT((C805-1)/12)+1&gt;'Lapse Table'!$A$11,E804,VLOOKUP(INT((C805-1)/12)+1,'Lapse Table'!$A$2:$B$11,2,FALSE))/12</f>
        <v>0</v>
      </c>
      <c r="F805" s="5">
        <f t="shared" si="116"/>
        <v>-13.360767365620772</v>
      </c>
      <c r="G805" s="6">
        <f t="shared" si="110"/>
        <v>4.9777500000000002E-2</v>
      </c>
      <c r="H805" s="6">
        <f t="shared" si="111"/>
        <v>0</v>
      </c>
      <c r="I805" s="7">
        <f t="shared" si="112"/>
        <v>-445.35891218735907</v>
      </c>
      <c r="J805" s="8">
        <f t="shared" si="113"/>
        <v>49777.5</v>
      </c>
      <c r="K805" s="7">
        <f t="shared" si="114"/>
        <v>-50222.858912187359</v>
      </c>
      <c r="L805" s="4">
        <f>IF(A805&gt;'Yield Curve'!A1419,L804,(1+VLOOKUP(A805,'Yield Curve'!A798:B1420,2,FALSE))^(1/12)-1)</f>
        <v>7.9741404289037643E-3</v>
      </c>
      <c r="M805" s="5">
        <f t="shared" si="115"/>
        <v>-89.482324740909476</v>
      </c>
    </row>
    <row r="806" spans="1:13" x14ac:dyDescent="0.25">
      <c r="A806" s="4">
        <v>798</v>
      </c>
      <c r="B806" s="4">
        <f t="shared" si="108"/>
        <v>111</v>
      </c>
      <c r="C806" s="4">
        <f t="shared" si="109"/>
        <v>813</v>
      </c>
      <c r="D806" s="4">
        <f>IF(B806&gt;'Mortality Table'!$A$118,D805,VLOOKUP(B806,'Mortality Table'!$A$2:$B$118,2,FALSE))</f>
        <v>0.59733000000000003</v>
      </c>
      <c r="E806" s="4">
        <f>IF(INT((C806-1)/12)+1&gt;'Lapse Table'!$A$11,E805,VLOOKUP(INT((C806-1)/12)+1,'Lapse Table'!$A$2:$B$11,2,FALSE))/12</f>
        <v>0</v>
      </c>
      <c r="F806" s="5">
        <f t="shared" si="116"/>
        <v>-13.410544865620771</v>
      </c>
      <c r="G806" s="6">
        <f t="shared" si="110"/>
        <v>4.9777500000000002E-2</v>
      </c>
      <c r="H806" s="6">
        <f t="shared" si="111"/>
        <v>0</v>
      </c>
      <c r="I806" s="7">
        <f t="shared" si="112"/>
        <v>-447.018162187359</v>
      </c>
      <c r="J806" s="8">
        <f t="shared" si="113"/>
        <v>49777.5</v>
      </c>
      <c r="K806" s="7">
        <f t="shared" si="114"/>
        <v>-50224.518162187356</v>
      </c>
      <c r="L806" s="4">
        <f>IF(A806&gt;'Yield Curve'!A1420,L805,(1+VLOOKUP(A806,'Yield Curve'!A799:B1421,2,FALSE))^(1/12)-1)</f>
        <v>7.9741404289037643E-3</v>
      </c>
      <c r="M806" s="5">
        <f t="shared" si="115"/>
        <v>-88.777357916194958</v>
      </c>
    </row>
    <row r="807" spans="1:13" x14ac:dyDescent="0.25">
      <c r="A807" s="4">
        <v>799</v>
      </c>
      <c r="B807" s="4">
        <f t="shared" si="108"/>
        <v>111</v>
      </c>
      <c r="C807" s="4">
        <f t="shared" si="109"/>
        <v>814</v>
      </c>
      <c r="D807" s="4">
        <f>IF(B807&gt;'Mortality Table'!$A$118,D806,VLOOKUP(B807,'Mortality Table'!$A$2:$B$118,2,FALSE))</f>
        <v>0.59733000000000003</v>
      </c>
      <c r="E807" s="4">
        <f>IF(INT((C807-1)/12)+1&gt;'Lapse Table'!$A$11,E806,VLOOKUP(INT((C807-1)/12)+1,'Lapse Table'!$A$2:$B$11,2,FALSE))/12</f>
        <v>0</v>
      </c>
      <c r="F807" s="5">
        <f t="shared" si="116"/>
        <v>-13.460322365620771</v>
      </c>
      <c r="G807" s="6">
        <f t="shared" si="110"/>
        <v>4.9777500000000002E-2</v>
      </c>
      <c r="H807" s="6">
        <f t="shared" si="111"/>
        <v>0</v>
      </c>
      <c r="I807" s="7">
        <f t="shared" si="112"/>
        <v>-448.67741218735904</v>
      </c>
      <c r="J807" s="8">
        <f t="shared" si="113"/>
        <v>49777.5</v>
      </c>
      <c r="K807" s="7">
        <f t="shared" si="114"/>
        <v>-50226.17741218736</v>
      </c>
      <c r="L807" s="4">
        <f>IF(A807&gt;'Yield Curve'!A1421,L806,(1+VLOOKUP(A807,'Yield Curve'!A800:B1422,2,FALSE))^(1/12)-1)</f>
        <v>7.9741404289037643E-3</v>
      </c>
      <c r="M807" s="5">
        <f t="shared" si="115"/>
        <v>-88.077944921507168</v>
      </c>
    </row>
    <row r="808" spans="1:13" x14ac:dyDescent="0.25">
      <c r="A808" s="4">
        <v>800</v>
      </c>
      <c r="B808" s="4">
        <f t="shared" si="108"/>
        <v>111</v>
      </c>
      <c r="C808" s="4">
        <f t="shared" si="109"/>
        <v>815</v>
      </c>
      <c r="D808" s="4">
        <f>IF(B808&gt;'Mortality Table'!$A$118,D807,VLOOKUP(B808,'Mortality Table'!$A$2:$B$118,2,FALSE))</f>
        <v>0.59733000000000003</v>
      </c>
      <c r="E808" s="4">
        <f>IF(INT((C808-1)/12)+1&gt;'Lapse Table'!$A$11,E807,VLOOKUP(INT((C808-1)/12)+1,'Lapse Table'!$A$2:$B$11,2,FALSE))/12</f>
        <v>0</v>
      </c>
      <c r="F808" s="5">
        <f t="shared" si="116"/>
        <v>-13.51009986562077</v>
      </c>
      <c r="G808" s="6">
        <f t="shared" si="110"/>
        <v>4.9777500000000002E-2</v>
      </c>
      <c r="H808" s="6">
        <f t="shared" si="111"/>
        <v>0</v>
      </c>
      <c r="I808" s="7">
        <f t="shared" si="112"/>
        <v>-450.33666218735902</v>
      </c>
      <c r="J808" s="8">
        <f t="shared" si="113"/>
        <v>49777.5</v>
      </c>
      <c r="K808" s="7">
        <f t="shared" si="114"/>
        <v>-50227.836662187357</v>
      </c>
      <c r="L808" s="4">
        <f>IF(A808&gt;'Yield Curve'!A1422,L807,(1+VLOOKUP(A808,'Yield Curve'!A801:B1423,2,FALSE))^(1/12)-1)</f>
        <v>7.9741404289037643E-3</v>
      </c>
      <c r="M808" s="5">
        <f t="shared" si="115"/>
        <v>-87.384042003738017</v>
      </c>
    </row>
    <row r="809" spans="1:13" x14ac:dyDescent="0.25">
      <c r="A809" s="4">
        <v>801</v>
      </c>
      <c r="B809" s="4">
        <f t="shared" si="108"/>
        <v>111</v>
      </c>
      <c r="C809" s="4">
        <f t="shared" si="109"/>
        <v>816</v>
      </c>
      <c r="D809" s="4">
        <f>IF(B809&gt;'Mortality Table'!$A$118,D808,VLOOKUP(B809,'Mortality Table'!$A$2:$B$118,2,FALSE))</f>
        <v>0.59733000000000003</v>
      </c>
      <c r="E809" s="4">
        <f>IF(INT((C809-1)/12)+1&gt;'Lapse Table'!$A$11,E808,VLOOKUP(INT((C809-1)/12)+1,'Lapse Table'!$A$2:$B$11,2,FALSE))/12</f>
        <v>0</v>
      </c>
      <c r="F809" s="5">
        <f t="shared" si="116"/>
        <v>-13.559877365620769</v>
      </c>
      <c r="G809" s="6">
        <f t="shared" si="110"/>
        <v>4.9777500000000002E-2</v>
      </c>
      <c r="H809" s="6">
        <f t="shared" si="111"/>
        <v>0</v>
      </c>
      <c r="I809" s="7">
        <f t="shared" si="112"/>
        <v>-451.99591218735895</v>
      </c>
      <c r="J809" s="8">
        <f t="shared" si="113"/>
        <v>49777.5</v>
      </c>
      <c r="K809" s="7">
        <f t="shared" si="114"/>
        <v>-50229.495912187362</v>
      </c>
      <c r="L809" s="4">
        <f>IF(A809&gt;'Yield Curve'!A1423,L808,(1+VLOOKUP(A809,'Yield Curve'!A802:B1424,2,FALSE))^(1/12)-1)</f>
        <v>7.9741404289037643E-3</v>
      </c>
      <c r="M809" s="5">
        <f t="shared" si="115"/>
        <v>-86.695605754460814</v>
      </c>
    </row>
    <row r="810" spans="1:13" x14ac:dyDescent="0.25">
      <c r="A810" s="4">
        <v>802</v>
      </c>
      <c r="B810" s="4">
        <f t="shared" si="108"/>
        <v>111</v>
      </c>
      <c r="C810" s="4">
        <f t="shared" si="109"/>
        <v>817</v>
      </c>
      <c r="D810" s="4">
        <f>IF(B810&gt;'Mortality Table'!$A$118,D809,VLOOKUP(B810,'Mortality Table'!$A$2:$B$118,2,FALSE))</f>
        <v>0.59733000000000003</v>
      </c>
      <c r="E810" s="4">
        <f>IF(INT((C810-1)/12)+1&gt;'Lapse Table'!$A$11,E809,VLOOKUP(INT((C810-1)/12)+1,'Lapse Table'!$A$2:$B$11,2,FALSE))/12</f>
        <v>0</v>
      </c>
      <c r="F810" s="5">
        <f t="shared" si="116"/>
        <v>-13.609654865620769</v>
      </c>
      <c r="G810" s="6">
        <f t="shared" si="110"/>
        <v>4.9777500000000002E-2</v>
      </c>
      <c r="H810" s="6">
        <f t="shared" si="111"/>
        <v>0</v>
      </c>
      <c r="I810" s="7">
        <f t="shared" si="112"/>
        <v>-453.65516218735894</v>
      </c>
      <c r="J810" s="8">
        <f t="shared" si="113"/>
        <v>49777.5</v>
      </c>
      <c r="K810" s="7">
        <f t="shared" si="114"/>
        <v>-50231.155162187359</v>
      </c>
      <c r="L810" s="4">
        <f>IF(A810&gt;'Yield Curve'!A1424,L809,(1+VLOOKUP(A810,'Yield Curve'!A803:B1425,2,FALSE))^(1/12)-1)</f>
        <v>7.9741404289037643E-3</v>
      </c>
      <c r="M810" s="5">
        <f t="shared" si="115"/>
        <v>-86.012593107214656</v>
      </c>
    </row>
    <row r="811" spans="1:13" x14ac:dyDescent="0.25">
      <c r="A811" s="4">
        <v>803</v>
      </c>
      <c r="B811" s="4">
        <f t="shared" si="108"/>
        <v>111</v>
      </c>
      <c r="C811" s="4">
        <f t="shared" si="109"/>
        <v>818</v>
      </c>
      <c r="D811" s="4">
        <f>IF(B811&gt;'Mortality Table'!$A$118,D810,VLOOKUP(B811,'Mortality Table'!$A$2:$B$118,2,FALSE))</f>
        <v>0.59733000000000003</v>
      </c>
      <c r="E811" s="4">
        <f>IF(INT((C811-1)/12)+1&gt;'Lapse Table'!$A$11,E810,VLOOKUP(INT((C811-1)/12)+1,'Lapse Table'!$A$2:$B$11,2,FALSE))/12</f>
        <v>0</v>
      </c>
      <c r="F811" s="5">
        <f t="shared" si="116"/>
        <v>-13.659432365620768</v>
      </c>
      <c r="G811" s="6">
        <f t="shared" si="110"/>
        <v>4.9777500000000002E-2</v>
      </c>
      <c r="H811" s="6">
        <f t="shared" si="111"/>
        <v>0</v>
      </c>
      <c r="I811" s="7">
        <f t="shared" si="112"/>
        <v>-455.31441218735898</v>
      </c>
      <c r="J811" s="8">
        <f t="shared" si="113"/>
        <v>49777.5</v>
      </c>
      <c r="K811" s="7">
        <f t="shared" si="114"/>
        <v>-50232.814412187356</v>
      </c>
      <c r="L811" s="4">
        <f>IF(A811&gt;'Yield Curve'!A1425,L810,(1+VLOOKUP(A811,'Yield Curve'!A804:B1426,2,FALSE))^(1/12)-1)</f>
        <v>7.9741404289037643E-3</v>
      </c>
      <c r="M811" s="5">
        <f t="shared" si="115"/>
        <v>-85.334961334810529</v>
      </c>
    </row>
    <row r="812" spans="1:13" x14ac:dyDescent="0.25">
      <c r="A812" s="4">
        <v>804</v>
      </c>
      <c r="B812" s="4">
        <f t="shared" si="108"/>
        <v>112</v>
      </c>
      <c r="C812" s="4">
        <f t="shared" si="109"/>
        <v>819</v>
      </c>
      <c r="D812" s="4">
        <f>IF(B812&gt;'Mortality Table'!$A$118,D811,VLOOKUP(B812,'Mortality Table'!$A$2:$B$118,2,FALSE))</f>
        <v>0.59733000000000003</v>
      </c>
      <c r="E812" s="4">
        <f>IF(INT((C812-1)/12)+1&gt;'Lapse Table'!$A$11,E811,VLOOKUP(INT((C812-1)/12)+1,'Lapse Table'!$A$2:$B$11,2,FALSE))/12</f>
        <v>0</v>
      </c>
      <c r="F812" s="5">
        <f t="shared" si="116"/>
        <v>-13.709209865620767</v>
      </c>
      <c r="G812" s="6">
        <f t="shared" si="110"/>
        <v>4.9777500000000002E-2</v>
      </c>
      <c r="H812" s="6">
        <f t="shared" si="111"/>
        <v>0</v>
      </c>
      <c r="I812" s="7">
        <f t="shared" si="112"/>
        <v>-456.97366218735891</v>
      </c>
      <c r="J812" s="8">
        <f t="shared" si="113"/>
        <v>49777.5</v>
      </c>
      <c r="K812" s="7">
        <f t="shared" si="114"/>
        <v>-50234.47366218736</v>
      </c>
      <c r="L812" s="4">
        <f>IF(A812&gt;'Yield Curve'!A1426,L811,(1+VLOOKUP(A812,'Yield Curve'!A805:B1427,2,FALSE))^(1/12)-1)</f>
        <v>7.9741404289037643E-3</v>
      </c>
      <c r="M812" s="5">
        <f t="shared" si="115"/>
        <v>-84.662668046658837</v>
      </c>
    </row>
    <row r="813" spans="1:13" x14ac:dyDescent="0.25">
      <c r="A813" s="4">
        <v>805</v>
      </c>
      <c r="B813" s="4">
        <f t="shared" si="108"/>
        <v>112</v>
      </c>
      <c r="C813" s="4">
        <f t="shared" si="109"/>
        <v>820</v>
      </c>
      <c r="D813" s="4">
        <f>IF(B813&gt;'Mortality Table'!$A$118,D812,VLOOKUP(B813,'Mortality Table'!$A$2:$B$118,2,FALSE))</f>
        <v>0.59733000000000003</v>
      </c>
      <c r="E813" s="4">
        <f>IF(INT((C813-1)/12)+1&gt;'Lapse Table'!$A$11,E812,VLOOKUP(INT((C813-1)/12)+1,'Lapse Table'!$A$2:$B$11,2,FALSE))/12</f>
        <v>0</v>
      </c>
      <c r="F813" s="5">
        <f t="shared" si="116"/>
        <v>-13.758987365620767</v>
      </c>
      <c r="G813" s="6">
        <f t="shared" si="110"/>
        <v>4.9777500000000002E-2</v>
      </c>
      <c r="H813" s="6">
        <f t="shared" si="111"/>
        <v>0</v>
      </c>
      <c r="I813" s="7">
        <f t="shared" si="112"/>
        <v>-458.6329121873589</v>
      </c>
      <c r="J813" s="8">
        <f t="shared" si="113"/>
        <v>49777.5</v>
      </c>
      <c r="K813" s="7">
        <f t="shared" si="114"/>
        <v>-50236.132912187357</v>
      </c>
      <c r="L813" s="4">
        <f>IF(A813&gt;'Yield Curve'!A1427,L812,(1+VLOOKUP(A813,'Yield Curve'!A806:B1428,2,FALSE))^(1/12)-1)</f>
        <v>7.9741404289037643E-3</v>
      </c>
      <c r="M813" s="5">
        <f t="shared" si="115"/>
        <v>-83.995671186117505</v>
      </c>
    </row>
    <row r="814" spans="1:13" x14ac:dyDescent="0.25">
      <c r="A814" s="4">
        <v>806</v>
      </c>
      <c r="B814" s="4">
        <f t="shared" si="108"/>
        <v>112</v>
      </c>
      <c r="C814" s="4">
        <f t="shared" si="109"/>
        <v>821</v>
      </c>
      <c r="D814" s="4">
        <f>IF(B814&gt;'Mortality Table'!$A$118,D813,VLOOKUP(B814,'Mortality Table'!$A$2:$B$118,2,FALSE))</f>
        <v>0.59733000000000003</v>
      </c>
      <c r="E814" s="4">
        <f>IF(INT((C814-1)/12)+1&gt;'Lapse Table'!$A$11,E813,VLOOKUP(INT((C814-1)/12)+1,'Lapse Table'!$A$2:$B$11,2,FALSE))/12</f>
        <v>0</v>
      </c>
      <c r="F814" s="5">
        <f t="shared" si="116"/>
        <v>-13.808764865620766</v>
      </c>
      <c r="G814" s="6">
        <f t="shared" si="110"/>
        <v>4.9777500000000002E-2</v>
      </c>
      <c r="H814" s="6">
        <f t="shared" si="111"/>
        <v>0</v>
      </c>
      <c r="I814" s="7">
        <f t="shared" si="112"/>
        <v>-460.29216218735888</v>
      </c>
      <c r="J814" s="8">
        <f t="shared" si="113"/>
        <v>49777.5</v>
      </c>
      <c r="K814" s="7">
        <f t="shared" si="114"/>
        <v>-50237.792162187361</v>
      </c>
      <c r="L814" s="4">
        <f>IF(A814&gt;'Yield Curve'!A1428,L813,(1+VLOOKUP(A814,'Yield Curve'!A807:B1429,2,FALSE))^(1/12)-1)</f>
        <v>7.9741404289037643E-3</v>
      </c>
      <c r="M814" s="5">
        <f t="shared" si="115"/>
        <v>-83.333929027861501</v>
      </c>
    </row>
    <row r="815" spans="1:13" x14ac:dyDescent="0.25">
      <c r="A815" s="4">
        <v>807</v>
      </c>
      <c r="B815" s="4">
        <f t="shared" si="108"/>
        <v>112</v>
      </c>
      <c r="C815" s="4">
        <f t="shared" si="109"/>
        <v>822</v>
      </c>
      <c r="D815" s="4">
        <f>IF(B815&gt;'Mortality Table'!$A$118,D814,VLOOKUP(B815,'Mortality Table'!$A$2:$B$118,2,FALSE))</f>
        <v>0.59733000000000003</v>
      </c>
      <c r="E815" s="4">
        <f>IF(INT((C815-1)/12)+1&gt;'Lapse Table'!$A$11,E814,VLOOKUP(INT((C815-1)/12)+1,'Lapse Table'!$A$2:$B$11,2,FALSE))/12</f>
        <v>0</v>
      </c>
      <c r="F815" s="5">
        <f t="shared" si="116"/>
        <v>-13.858542365620766</v>
      </c>
      <c r="G815" s="6">
        <f t="shared" si="110"/>
        <v>4.9777500000000002E-2</v>
      </c>
      <c r="H815" s="6">
        <f t="shared" si="111"/>
        <v>0</v>
      </c>
      <c r="I815" s="7">
        <f t="shared" si="112"/>
        <v>-461.95141218735881</v>
      </c>
      <c r="J815" s="8">
        <f t="shared" si="113"/>
        <v>49777.5</v>
      </c>
      <c r="K815" s="7">
        <f t="shared" si="114"/>
        <v>-50239.451412187358</v>
      </c>
      <c r="L815" s="4">
        <f>IF(A815&gt;'Yield Curve'!A1429,L814,(1+VLOOKUP(A815,'Yield Curve'!A808:B1430,2,FALSE))^(1/12)-1)</f>
        <v>7.9741404289037643E-3</v>
      </c>
      <c r="M815" s="5">
        <f t="shared" si="115"/>
        <v>-82.677400175272524</v>
      </c>
    </row>
    <row r="816" spans="1:13" x14ac:dyDescent="0.25">
      <c r="A816" s="4">
        <v>808</v>
      </c>
      <c r="B816" s="4">
        <f t="shared" si="108"/>
        <v>112</v>
      </c>
      <c r="C816" s="4">
        <f t="shared" si="109"/>
        <v>823</v>
      </c>
      <c r="D816" s="4">
        <f>IF(B816&gt;'Mortality Table'!$A$118,D815,VLOOKUP(B816,'Mortality Table'!$A$2:$B$118,2,FALSE))</f>
        <v>0.59733000000000003</v>
      </c>
      <c r="E816" s="4">
        <f>IF(INT((C816-1)/12)+1&gt;'Lapse Table'!$A$11,E815,VLOOKUP(INT((C816-1)/12)+1,'Lapse Table'!$A$2:$B$11,2,FALSE))/12</f>
        <v>0</v>
      </c>
      <c r="F816" s="5">
        <f t="shared" si="116"/>
        <v>-13.908319865620765</v>
      </c>
      <c r="G816" s="6">
        <f t="shared" si="110"/>
        <v>4.9777500000000002E-2</v>
      </c>
      <c r="H816" s="6">
        <f t="shared" si="111"/>
        <v>0</v>
      </c>
      <c r="I816" s="7">
        <f t="shared" si="112"/>
        <v>-463.61066218735886</v>
      </c>
      <c r="J816" s="8">
        <f t="shared" si="113"/>
        <v>49777.5</v>
      </c>
      <c r="K816" s="7">
        <f t="shared" si="114"/>
        <v>-50241.110662187362</v>
      </c>
      <c r="L816" s="4">
        <f>IF(A816&gt;'Yield Curve'!A1430,L815,(1+VLOOKUP(A816,'Yield Curve'!A809:B1431,2,FALSE))^(1/12)-1)</f>
        <v>7.9741404289037643E-3</v>
      </c>
      <c r="M816" s="5">
        <f t="shared" si="115"/>
        <v>-82.026043557849704</v>
      </c>
    </row>
    <row r="817" spans="1:13" x14ac:dyDescent="0.25">
      <c r="A817" s="4">
        <v>809</v>
      </c>
      <c r="B817" s="4">
        <f t="shared" si="108"/>
        <v>112</v>
      </c>
      <c r="C817" s="4">
        <f t="shared" si="109"/>
        <v>824</v>
      </c>
      <c r="D817" s="4">
        <f>IF(B817&gt;'Mortality Table'!$A$118,D816,VLOOKUP(B817,'Mortality Table'!$A$2:$B$118,2,FALSE))</f>
        <v>0.59733000000000003</v>
      </c>
      <c r="E817" s="4">
        <f>IF(INT((C817-1)/12)+1&gt;'Lapse Table'!$A$11,E816,VLOOKUP(INT((C817-1)/12)+1,'Lapse Table'!$A$2:$B$11,2,FALSE))/12</f>
        <v>0</v>
      </c>
      <c r="F817" s="5">
        <f t="shared" si="116"/>
        <v>-13.958097365620764</v>
      </c>
      <c r="G817" s="6">
        <f t="shared" si="110"/>
        <v>4.9777500000000002E-2</v>
      </c>
      <c r="H817" s="6">
        <f t="shared" si="111"/>
        <v>0</v>
      </c>
      <c r="I817" s="7">
        <f t="shared" si="112"/>
        <v>-465.26991218735884</v>
      </c>
      <c r="J817" s="8">
        <f t="shared" si="113"/>
        <v>49777.5</v>
      </c>
      <c r="K817" s="7">
        <f t="shared" si="114"/>
        <v>-50242.769912187359</v>
      </c>
      <c r="L817" s="4">
        <f>IF(A817&gt;'Yield Curve'!A1431,L816,(1+VLOOKUP(A817,'Yield Curve'!A810:B1432,2,FALSE))^(1/12)-1)</f>
        <v>7.9741404289037643E-3</v>
      </c>
      <c r="M817" s="5">
        <f t="shared" si="115"/>
        <v>-81.379818428640561</v>
      </c>
    </row>
    <row r="818" spans="1:13" x14ac:dyDescent="0.25">
      <c r="A818" s="4">
        <v>810</v>
      </c>
      <c r="B818" s="4">
        <f t="shared" si="108"/>
        <v>112</v>
      </c>
      <c r="C818" s="4">
        <f t="shared" si="109"/>
        <v>825</v>
      </c>
      <c r="D818" s="4">
        <f>IF(B818&gt;'Mortality Table'!$A$118,D817,VLOOKUP(B818,'Mortality Table'!$A$2:$B$118,2,FALSE))</f>
        <v>0.59733000000000003</v>
      </c>
      <c r="E818" s="4">
        <f>IF(INT((C818-1)/12)+1&gt;'Lapse Table'!$A$11,E817,VLOOKUP(INT((C818-1)/12)+1,'Lapse Table'!$A$2:$B$11,2,FALSE))/12</f>
        <v>0</v>
      </c>
      <c r="F818" s="5">
        <f t="shared" si="116"/>
        <v>-14.007874865620764</v>
      </c>
      <c r="G818" s="6">
        <f t="shared" si="110"/>
        <v>4.9777500000000002E-2</v>
      </c>
      <c r="H818" s="6">
        <f t="shared" si="111"/>
        <v>0</v>
      </c>
      <c r="I818" s="7">
        <f t="shared" si="112"/>
        <v>-466.92916218735877</v>
      </c>
      <c r="J818" s="8">
        <f t="shared" si="113"/>
        <v>49777.5</v>
      </c>
      <c r="K818" s="7">
        <f t="shared" si="114"/>
        <v>-50244.429162187356</v>
      </c>
      <c r="L818" s="4">
        <f>IF(A818&gt;'Yield Curve'!A1432,L817,(1+VLOOKUP(A818,'Yield Curve'!A811:B1433,2,FALSE))^(1/12)-1)</f>
        <v>7.9741404289037643E-3</v>
      </c>
      <c r="M818" s="5">
        <f t="shared" si="115"/>
        <v>-80.738684361692094</v>
      </c>
    </row>
    <row r="819" spans="1:13" x14ac:dyDescent="0.25">
      <c r="A819" s="4">
        <v>811</v>
      </c>
      <c r="B819" s="4">
        <f t="shared" si="108"/>
        <v>112</v>
      </c>
      <c r="C819" s="4">
        <f t="shared" si="109"/>
        <v>826</v>
      </c>
      <c r="D819" s="4">
        <f>IF(B819&gt;'Mortality Table'!$A$118,D818,VLOOKUP(B819,'Mortality Table'!$A$2:$B$118,2,FALSE))</f>
        <v>0.59733000000000003</v>
      </c>
      <c r="E819" s="4">
        <f>IF(INT((C819-1)/12)+1&gt;'Lapse Table'!$A$11,E818,VLOOKUP(INT((C819-1)/12)+1,'Lapse Table'!$A$2:$B$11,2,FALSE))/12</f>
        <v>0</v>
      </c>
      <c r="F819" s="5">
        <f t="shared" si="116"/>
        <v>-14.057652365620763</v>
      </c>
      <c r="G819" s="6">
        <f t="shared" si="110"/>
        <v>4.9777500000000002E-2</v>
      </c>
      <c r="H819" s="6">
        <f t="shared" si="111"/>
        <v>0</v>
      </c>
      <c r="I819" s="7">
        <f t="shared" si="112"/>
        <v>-468.58841218735876</v>
      </c>
      <c r="J819" s="8">
        <f t="shared" si="113"/>
        <v>49777.5</v>
      </c>
      <c r="K819" s="7">
        <f t="shared" si="114"/>
        <v>-50246.088412187361</v>
      </c>
      <c r="L819" s="4">
        <f>IF(A819&gt;'Yield Curve'!A1433,L818,(1+VLOOKUP(A819,'Yield Curve'!A812:B1434,2,FALSE))^(1/12)-1)</f>
        <v>7.9741404289037643E-3</v>
      </c>
      <c r="M819" s="5">
        <f t="shared" si="115"/>
        <v>-80.102601249522053</v>
      </c>
    </row>
    <row r="820" spans="1:13" x14ac:dyDescent="0.25">
      <c r="A820" s="4">
        <v>812</v>
      </c>
      <c r="B820" s="4">
        <f t="shared" si="108"/>
        <v>112</v>
      </c>
      <c r="C820" s="4">
        <f t="shared" si="109"/>
        <v>827</v>
      </c>
      <c r="D820" s="4">
        <f>IF(B820&gt;'Mortality Table'!$A$118,D819,VLOOKUP(B820,'Mortality Table'!$A$2:$B$118,2,FALSE))</f>
        <v>0.59733000000000003</v>
      </c>
      <c r="E820" s="4">
        <f>IF(INT((C820-1)/12)+1&gt;'Lapse Table'!$A$11,E819,VLOOKUP(INT((C820-1)/12)+1,'Lapse Table'!$A$2:$B$11,2,FALSE))/12</f>
        <v>0</v>
      </c>
      <c r="F820" s="5">
        <f t="shared" si="116"/>
        <v>-14.107429865620762</v>
      </c>
      <c r="G820" s="6">
        <f t="shared" si="110"/>
        <v>4.9777500000000002E-2</v>
      </c>
      <c r="H820" s="6">
        <f t="shared" si="111"/>
        <v>0</v>
      </c>
      <c r="I820" s="7">
        <f t="shared" si="112"/>
        <v>-470.2476621873588</v>
      </c>
      <c r="J820" s="8">
        <f t="shared" si="113"/>
        <v>49777.5</v>
      </c>
      <c r="K820" s="7">
        <f t="shared" si="114"/>
        <v>-50247.747662187357</v>
      </c>
      <c r="L820" s="4">
        <f>IF(A820&gt;'Yield Curve'!A1434,L819,(1+VLOOKUP(A820,'Yield Curve'!A813:B1435,2,FALSE))^(1/12)-1)</f>
        <v>7.9741404289037643E-3</v>
      </c>
      <c r="M820" s="5">
        <f t="shared" si="115"/>
        <v>-79.471529300610086</v>
      </c>
    </row>
    <row r="821" spans="1:13" x14ac:dyDescent="0.25">
      <c r="A821" s="4">
        <v>813</v>
      </c>
      <c r="B821" s="4">
        <f t="shared" si="108"/>
        <v>112</v>
      </c>
      <c r="C821" s="4">
        <f t="shared" si="109"/>
        <v>828</v>
      </c>
      <c r="D821" s="4">
        <f>IF(B821&gt;'Mortality Table'!$A$118,D820,VLOOKUP(B821,'Mortality Table'!$A$2:$B$118,2,FALSE))</f>
        <v>0.59733000000000003</v>
      </c>
      <c r="E821" s="4">
        <f>IF(INT((C821-1)/12)+1&gt;'Lapse Table'!$A$11,E820,VLOOKUP(INT((C821-1)/12)+1,'Lapse Table'!$A$2:$B$11,2,FALSE))/12</f>
        <v>0</v>
      </c>
      <c r="F821" s="5">
        <f t="shared" si="116"/>
        <v>-14.157207365620762</v>
      </c>
      <c r="G821" s="6">
        <f t="shared" si="110"/>
        <v>4.9777500000000002E-2</v>
      </c>
      <c r="H821" s="6">
        <f t="shared" si="111"/>
        <v>0</v>
      </c>
      <c r="I821" s="7">
        <f t="shared" si="112"/>
        <v>-471.90691218735873</v>
      </c>
      <c r="J821" s="8">
        <f t="shared" si="113"/>
        <v>49777.5</v>
      </c>
      <c r="K821" s="7">
        <f t="shared" si="114"/>
        <v>-50249.406912187362</v>
      </c>
      <c r="L821" s="4">
        <f>IF(A821&gt;'Yield Curve'!A1435,L820,(1+VLOOKUP(A821,'Yield Curve'!A814:B1436,2,FALSE))^(1/12)-1)</f>
        <v>7.9741404289037643E-3</v>
      </c>
      <c r="M821" s="5">
        <f t="shared" si="115"/>
        <v>-78.845429036908754</v>
      </c>
    </row>
    <row r="822" spans="1:13" x14ac:dyDescent="0.25">
      <c r="A822" s="4">
        <v>814</v>
      </c>
      <c r="B822" s="4">
        <f t="shared" si="108"/>
        <v>112</v>
      </c>
      <c r="C822" s="4">
        <f t="shared" si="109"/>
        <v>829</v>
      </c>
      <c r="D822" s="4">
        <f>IF(B822&gt;'Mortality Table'!$A$118,D821,VLOOKUP(B822,'Mortality Table'!$A$2:$B$118,2,FALSE))</f>
        <v>0.59733000000000003</v>
      </c>
      <c r="E822" s="4">
        <f>IF(INT((C822-1)/12)+1&gt;'Lapse Table'!$A$11,E821,VLOOKUP(INT((C822-1)/12)+1,'Lapse Table'!$A$2:$B$11,2,FALSE))/12</f>
        <v>0</v>
      </c>
      <c r="F822" s="5">
        <f t="shared" si="116"/>
        <v>-14.206984865620761</v>
      </c>
      <c r="G822" s="6">
        <f t="shared" si="110"/>
        <v>4.9777500000000002E-2</v>
      </c>
      <c r="H822" s="6">
        <f t="shared" si="111"/>
        <v>0</v>
      </c>
      <c r="I822" s="7">
        <f t="shared" si="112"/>
        <v>-473.56616218735871</v>
      </c>
      <c r="J822" s="8">
        <f t="shared" si="113"/>
        <v>49777.5</v>
      </c>
      <c r="K822" s="7">
        <f t="shared" si="114"/>
        <v>-50251.066162187359</v>
      </c>
      <c r="L822" s="4">
        <f>IF(A822&gt;'Yield Curve'!A1436,L821,(1+VLOOKUP(A822,'Yield Curve'!A815:B1437,2,FALSE))^(1/12)-1)</f>
        <v>7.9741404289037643E-3</v>
      </c>
      <c r="M822" s="5">
        <f t="shared" si="115"/>
        <v>-78.224261291373992</v>
      </c>
    </row>
    <row r="823" spans="1:13" x14ac:dyDescent="0.25">
      <c r="A823" s="4">
        <v>815</v>
      </c>
      <c r="B823" s="4">
        <f t="shared" si="108"/>
        <v>112</v>
      </c>
      <c r="C823" s="4">
        <f t="shared" si="109"/>
        <v>830</v>
      </c>
      <c r="D823" s="4">
        <f>IF(B823&gt;'Mortality Table'!$A$118,D822,VLOOKUP(B823,'Mortality Table'!$A$2:$B$118,2,FALSE))</f>
        <v>0.59733000000000003</v>
      </c>
      <c r="E823" s="4">
        <f>IF(INT((C823-1)/12)+1&gt;'Lapse Table'!$A$11,E822,VLOOKUP(INT((C823-1)/12)+1,'Lapse Table'!$A$2:$B$11,2,FALSE))/12</f>
        <v>0</v>
      </c>
      <c r="F823" s="5">
        <f t="shared" si="116"/>
        <v>-14.25676236562076</v>
      </c>
      <c r="G823" s="6">
        <f t="shared" si="110"/>
        <v>4.9777500000000002E-2</v>
      </c>
      <c r="H823" s="6">
        <f t="shared" si="111"/>
        <v>0</v>
      </c>
      <c r="I823" s="7">
        <f t="shared" si="112"/>
        <v>-475.2254121873587</v>
      </c>
      <c r="J823" s="8">
        <f t="shared" si="113"/>
        <v>49777.5</v>
      </c>
      <c r="K823" s="7">
        <f t="shared" si="114"/>
        <v>-50252.725412187356</v>
      </c>
      <c r="L823" s="4">
        <f>IF(A823&gt;'Yield Curve'!A1437,L822,(1+VLOOKUP(A823,'Yield Curve'!A816:B1438,2,FALSE))^(1/12)-1)</f>
        <v>7.9741404289037643E-3</v>
      </c>
      <c r="M823" s="5">
        <f t="shared" si="115"/>
        <v>-77.607987205515116</v>
      </c>
    </row>
    <row r="824" spans="1:13" x14ac:dyDescent="0.25">
      <c r="A824" s="4">
        <v>816</v>
      </c>
      <c r="B824" s="4">
        <f t="shared" si="108"/>
        <v>113</v>
      </c>
      <c r="C824" s="4">
        <f t="shared" si="109"/>
        <v>831</v>
      </c>
      <c r="D824" s="4">
        <f>IF(B824&gt;'Mortality Table'!$A$118,D823,VLOOKUP(B824,'Mortality Table'!$A$2:$B$118,2,FALSE))</f>
        <v>0.59733000000000003</v>
      </c>
      <c r="E824" s="4">
        <f>IF(INT((C824-1)/12)+1&gt;'Lapse Table'!$A$11,E823,VLOOKUP(INT((C824-1)/12)+1,'Lapse Table'!$A$2:$B$11,2,FALSE))/12</f>
        <v>0</v>
      </c>
      <c r="F824" s="5">
        <f t="shared" si="116"/>
        <v>-14.30653986562076</v>
      </c>
      <c r="G824" s="6">
        <f t="shared" si="110"/>
        <v>4.9777500000000002E-2</v>
      </c>
      <c r="H824" s="6">
        <f t="shared" si="111"/>
        <v>0</v>
      </c>
      <c r="I824" s="7">
        <f t="shared" si="112"/>
        <v>-476.88466218735863</v>
      </c>
      <c r="J824" s="8">
        <f t="shared" si="113"/>
        <v>49777.5</v>
      </c>
      <c r="K824" s="7">
        <f t="shared" si="114"/>
        <v>-50254.38466218736</v>
      </c>
      <c r="L824" s="4">
        <f>IF(A824&gt;'Yield Curve'!A1438,L823,(1+VLOOKUP(A824,'Yield Curve'!A817:B1439,2,FALSE))^(1/12)-1)</f>
        <v>7.9741404289037643E-3</v>
      </c>
      <c r="M824" s="5">
        <f t="shared" si="115"/>
        <v>-76.996568226964186</v>
      </c>
    </row>
    <row r="825" spans="1:13" x14ac:dyDescent="0.25">
      <c r="A825" s="4">
        <v>817</v>
      </c>
      <c r="B825" s="4">
        <f t="shared" si="108"/>
        <v>113</v>
      </c>
      <c r="C825" s="4">
        <f t="shared" si="109"/>
        <v>832</v>
      </c>
      <c r="D825" s="4">
        <f>IF(B825&gt;'Mortality Table'!$A$118,D824,VLOOKUP(B825,'Mortality Table'!$A$2:$B$118,2,FALSE))</f>
        <v>0.59733000000000003</v>
      </c>
      <c r="E825" s="4">
        <f>IF(INT((C825-1)/12)+1&gt;'Lapse Table'!$A$11,E824,VLOOKUP(INT((C825-1)/12)+1,'Lapse Table'!$A$2:$B$11,2,FALSE))/12</f>
        <v>0</v>
      </c>
      <c r="F825" s="5">
        <f t="shared" si="116"/>
        <v>-14.356317365620759</v>
      </c>
      <c r="G825" s="6">
        <f t="shared" si="110"/>
        <v>4.9777500000000002E-2</v>
      </c>
      <c r="H825" s="6">
        <f t="shared" si="111"/>
        <v>0</v>
      </c>
      <c r="I825" s="7">
        <f t="shared" si="112"/>
        <v>-478.54391218735867</v>
      </c>
      <c r="J825" s="8">
        <f t="shared" si="113"/>
        <v>49777.5</v>
      </c>
      <c r="K825" s="7">
        <f t="shared" si="114"/>
        <v>-50256.043912187357</v>
      </c>
      <c r="L825" s="4">
        <f>IF(A825&gt;'Yield Curve'!A1439,L824,(1+VLOOKUP(A825,'Yield Curve'!A818:B1440,2,FALSE))^(1/12)-1)</f>
        <v>7.9741404289037643E-3</v>
      </c>
      <c r="M825" s="5">
        <f t="shared" si="115"/>
        <v>-76.389966107064367</v>
      </c>
    </row>
    <row r="826" spans="1:13" x14ac:dyDescent="0.25">
      <c r="A826" s="4">
        <v>818</v>
      </c>
      <c r="B826" s="4">
        <f t="shared" si="108"/>
        <v>113</v>
      </c>
      <c r="C826" s="4">
        <f t="shared" si="109"/>
        <v>833</v>
      </c>
      <c r="D826" s="4">
        <f>IF(B826&gt;'Mortality Table'!$A$118,D825,VLOOKUP(B826,'Mortality Table'!$A$2:$B$118,2,FALSE))</f>
        <v>0.59733000000000003</v>
      </c>
      <c r="E826" s="4">
        <f>IF(INT((C826-1)/12)+1&gt;'Lapse Table'!$A$11,E825,VLOOKUP(INT((C826-1)/12)+1,'Lapse Table'!$A$2:$B$11,2,FALSE))/12</f>
        <v>0</v>
      </c>
      <c r="F826" s="5">
        <f t="shared" si="116"/>
        <v>-14.406094865620759</v>
      </c>
      <c r="G826" s="6">
        <f t="shared" si="110"/>
        <v>4.9777500000000002E-2</v>
      </c>
      <c r="H826" s="6">
        <f t="shared" si="111"/>
        <v>0</v>
      </c>
      <c r="I826" s="7">
        <f t="shared" si="112"/>
        <v>-480.2031621873586</v>
      </c>
      <c r="J826" s="8">
        <f t="shared" si="113"/>
        <v>49777.5</v>
      </c>
      <c r="K826" s="7">
        <f t="shared" si="114"/>
        <v>-50257.703162187361</v>
      </c>
      <c r="L826" s="4">
        <f>IF(A826&gt;'Yield Curve'!A1440,L825,(1+VLOOKUP(A826,'Yield Curve'!A819:B1441,2,FALSE))^(1/12)-1)</f>
        <v>7.9741404289037643E-3</v>
      </c>
      <c r="M826" s="5">
        <f t="shared" si="115"/>
        <v>-75.788142898477389</v>
      </c>
    </row>
    <row r="827" spans="1:13" x14ac:dyDescent="0.25">
      <c r="A827" s="4">
        <v>819</v>
      </c>
      <c r="B827" s="4">
        <f t="shared" si="108"/>
        <v>113</v>
      </c>
      <c r="C827" s="4">
        <f t="shared" si="109"/>
        <v>834</v>
      </c>
      <c r="D827" s="4">
        <f>IF(B827&gt;'Mortality Table'!$A$118,D826,VLOOKUP(B827,'Mortality Table'!$A$2:$B$118,2,FALSE))</f>
        <v>0.59733000000000003</v>
      </c>
      <c r="E827" s="4">
        <f>IF(INT((C827-1)/12)+1&gt;'Lapse Table'!$A$11,E826,VLOOKUP(INT((C827-1)/12)+1,'Lapse Table'!$A$2:$B$11,2,FALSE))/12</f>
        <v>0</v>
      </c>
      <c r="F827" s="5">
        <f t="shared" si="116"/>
        <v>-14.455872365620758</v>
      </c>
      <c r="G827" s="6">
        <f t="shared" si="110"/>
        <v>4.9777500000000002E-2</v>
      </c>
      <c r="H827" s="6">
        <f t="shared" si="111"/>
        <v>0</v>
      </c>
      <c r="I827" s="7">
        <f t="shared" si="112"/>
        <v>-481.86241218735859</v>
      </c>
      <c r="J827" s="8">
        <f t="shared" si="113"/>
        <v>49777.5</v>
      </c>
      <c r="K827" s="7">
        <f t="shared" si="114"/>
        <v>-50259.362412187358</v>
      </c>
      <c r="L827" s="4">
        <f>IF(A827&gt;'Yield Curve'!A1441,L826,(1+VLOOKUP(A827,'Yield Curve'!A820:B1442,2,FALSE))^(1/12)-1)</f>
        <v>7.9741404289037643E-3</v>
      </c>
      <c r="M827" s="5">
        <f t="shared" si="115"/>
        <v>-75.191060952809892</v>
      </c>
    </row>
    <row r="828" spans="1:13" x14ac:dyDescent="0.25">
      <c r="A828" s="4">
        <v>820</v>
      </c>
      <c r="B828" s="4">
        <f t="shared" si="108"/>
        <v>113</v>
      </c>
      <c r="C828" s="4">
        <f t="shared" si="109"/>
        <v>835</v>
      </c>
      <c r="D828" s="4">
        <f>IF(B828&gt;'Mortality Table'!$A$118,D827,VLOOKUP(B828,'Mortality Table'!$A$2:$B$118,2,FALSE))</f>
        <v>0.59733000000000003</v>
      </c>
      <c r="E828" s="4">
        <f>IF(INT((C828-1)/12)+1&gt;'Lapse Table'!$A$11,E827,VLOOKUP(INT((C828-1)/12)+1,'Lapse Table'!$A$2:$B$11,2,FALSE))/12</f>
        <v>0</v>
      </c>
      <c r="F828" s="5">
        <f t="shared" si="116"/>
        <v>-14.505649865620757</v>
      </c>
      <c r="G828" s="6">
        <f t="shared" si="110"/>
        <v>4.9777500000000002E-2</v>
      </c>
      <c r="H828" s="6">
        <f t="shared" si="111"/>
        <v>0</v>
      </c>
      <c r="I828" s="7">
        <f t="shared" si="112"/>
        <v>-483.52166218735857</v>
      </c>
      <c r="J828" s="8">
        <f t="shared" si="113"/>
        <v>49777.5</v>
      </c>
      <c r="K828" s="7">
        <f t="shared" si="114"/>
        <v>-50261.021662187355</v>
      </c>
      <c r="L828" s="4">
        <f>IF(A828&gt;'Yield Curve'!A1442,L827,(1+VLOOKUP(A828,'Yield Curve'!A821:B1443,2,FALSE))^(1/12)-1)</f>
        <v>7.9741404289037643E-3</v>
      </c>
      <c r="M828" s="5">
        <f t="shared" si="115"/>
        <v>-74.598682918258319</v>
      </c>
    </row>
    <row r="829" spans="1:13" x14ac:dyDescent="0.25">
      <c r="A829" s="4">
        <v>821</v>
      </c>
      <c r="B829" s="4">
        <f t="shared" si="108"/>
        <v>113</v>
      </c>
      <c r="C829" s="4">
        <f t="shared" si="109"/>
        <v>836</v>
      </c>
      <c r="D829" s="4">
        <f>IF(B829&gt;'Mortality Table'!$A$118,D828,VLOOKUP(B829,'Mortality Table'!$A$2:$B$118,2,FALSE))</f>
        <v>0.59733000000000003</v>
      </c>
      <c r="E829" s="4">
        <f>IF(INT((C829-1)/12)+1&gt;'Lapse Table'!$A$11,E828,VLOOKUP(INT((C829-1)/12)+1,'Lapse Table'!$A$2:$B$11,2,FALSE))/12</f>
        <v>0</v>
      </c>
      <c r="F829" s="5">
        <f t="shared" si="116"/>
        <v>-14.555427365620757</v>
      </c>
      <c r="G829" s="6">
        <f t="shared" si="110"/>
        <v>4.9777500000000002E-2</v>
      </c>
      <c r="H829" s="6">
        <f t="shared" si="111"/>
        <v>0</v>
      </c>
      <c r="I829" s="7">
        <f t="shared" si="112"/>
        <v>-485.1809121873585</v>
      </c>
      <c r="J829" s="8">
        <f t="shared" si="113"/>
        <v>49777.5</v>
      </c>
      <c r="K829" s="7">
        <f t="shared" si="114"/>
        <v>-50262.680912187359</v>
      </c>
      <c r="L829" s="4">
        <f>IF(A829&gt;'Yield Curve'!A1443,L828,(1+VLOOKUP(A829,'Yield Curve'!A822:B1444,2,FALSE))^(1/12)-1)</f>
        <v>7.9741404289037643E-3</v>
      </c>
      <c r="M829" s="5">
        <f t="shared" si="115"/>
        <v>-74.010971737272513</v>
      </c>
    </row>
    <row r="830" spans="1:13" x14ac:dyDescent="0.25">
      <c r="A830" s="4">
        <v>822</v>
      </c>
      <c r="B830" s="4">
        <f t="shared" si="108"/>
        <v>113</v>
      </c>
      <c r="C830" s="4">
        <f t="shared" si="109"/>
        <v>837</v>
      </c>
      <c r="D830" s="4">
        <f>IF(B830&gt;'Mortality Table'!$A$118,D829,VLOOKUP(B830,'Mortality Table'!$A$2:$B$118,2,FALSE))</f>
        <v>0.59733000000000003</v>
      </c>
      <c r="E830" s="4">
        <f>IF(INT((C830-1)/12)+1&gt;'Lapse Table'!$A$11,E829,VLOOKUP(INT((C830-1)/12)+1,'Lapse Table'!$A$2:$B$11,2,FALSE))/12</f>
        <v>0</v>
      </c>
      <c r="F830" s="5">
        <f t="shared" si="116"/>
        <v>-14.605204865620756</v>
      </c>
      <c r="G830" s="6">
        <f t="shared" si="110"/>
        <v>4.9777500000000002E-2</v>
      </c>
      <c r="H830" s="6">
        <f t="shared" si="111"/>
        <v>0</v>
      </c>
      <c r="I830" s="7">
        <f t="shared" si="112"/>
        <v>-486.84016218735854</v>
      </c>
      <c r="J830" s="8">
        <f t="shared" si="113"/>
        <v>49777.5</v>
      </c>
      <c r="K830" s="7">
        <f t="shared" si="114"/>
        <v>-50264.340162187356</v>
      </c>
      <c r="L830" s="4">
        <f>IF(A830&gt;'Yield Curve'!A1444,L829,(1+VLOOKUP(A830,'Yield Curve'!A823:B1445,2,FALSE))^(1/12)-1)</f>
        <v>7.9741404289037643E-3</v>
      </c>
      <c r="M830" s="5">
        <f t="shared" si="115"/>
        <v>-73.427890644237735</v>
      </c>
    </row>
    <row r="831" spans="1:13" x14ac:dyDescent="0.25">
      <c r="A831" s="4">
        <v>823</v>
      </c>
      <c r="B831" s="4">
        <f t="shared" si="108"/>
        <v>113</v>
      </c>
      <c r="C831" s="4">
        <f t="shared" si="109"/>
        <v>838</v>
      </c>
      <c r="D831" s="4">
        <f>IF(B831&gt;'Mortality Table'!$A$118,D830,VLOOKUP(B831,'Mortality Table'!$A$2:$B$118,2,FALSE))</f>
        <v>0.59733000000000003</v>
      </c>
      <c r="E831" s="4">
        <f>IF(INT((C831-1)/12)+1&gt;'Lapse Table'!$A$11,E830,VLOOKUP(INT((C831-1)/12)+1,'Lapse Table'!$A$2:$B$11,2,FALSE))/12</f>
        <v>0</v>
      </c>
      <c r="F831" s="5">
        <f t="shared" si="116"/>
        <v>-14.654982365620755</v>
      </c>
      <c r="G831" s="6">
        <f t="shared" si="110"/>
        <v>4.9777500000000002E-2</v>
      </c>
      <c r="H831" s="6">
        <f t="shared" si="111"/>
        <v>0</v>
      </c>
      <c r="I831" s="7">
        <f t="shared" si="112"/>
        <v>-488.49941218735853</v>
      </c>
      <c r="J831" s="8">
        <f t="shared" si="113"/>
        <v>49777.5</v>
      </c>
      <c r="K831" s="7">
        <f t="shared" si="114"/>
        <v>-50265.999412187361</v>
      </c>
      <c r="L831" s="4">
        <f>IF(A831&gt;'Yield Curve'!A1445,L830,(1+VLOOKUP(A831,'Yield Curve'!A824:B1446,2,FALSE))^(1/12)-1)</f>
        <v>7.9741404289037643E-3</v>
      </c>
      <c r="M831" s="5">
        <f t="shared" si="115"/>
        <v>-72.849403163174685</v>
      </c>
    </row>
    <row r="832" spans="1:13" x14ac:dyDescent="0.25">
      <c r="A832" s="4">
        <v>824</v>
      </c>
      <c r="B832" s="4">
        <f t="shared" si="108"/>
        <v>113</v>
      </c>
      <c r="C832" s="4">
        <f t="shared" si="109"/>
        <v>839</v>
      </c>
      <c r="D832" s="4">
        <f>IF(B832&gt;'Mortality Table'!$A$118,D831,VLOOKUP(B832,'Mortality Table'!$A$2:$B$118,2,FALSE))</f>
        <v>0.59733000000000003</v>
      </c>
      <c r="E832" s="4">
        <f>IF(INT((C832-1)/12)+1&gt;'Lapse Table'!$A$11,E831,VLOOKUP(INT((C832-1)/12)+1,'Lapse Table'!$A$2:$B$11,2,FALSE))/12</f>
        <v>0</v>
      </c>
      <c r="F832" s="5">
        <f t="shared" si="116"/>
        <v>-14.704759865620755</v>
      </c>
      <c r="G832" s="6">
        <f t="shared" si="110"/>
        <v>4.9777500000000002E-2</v>
      </c>
      <c r="H832" s="6">
        <f t="shared" si="111"/>
        <v>0</v>
      </c>
      <c r="I832" s="7">
        <f t="shared" si="112"/>
        <v>-490.15866218735846</v>
      </c>
      <c r="J832" s="8">
        <f t="shared" si="113"/>
        <v>49777.5</v>
      </c>
      <c r="K832" s="7">
        <f t="shared" si="114"/>
        <v>-50267.658662187358</v>
      </c>
      <c r="L832" s="4">
        <f>IF(A832&gt;'Yield Curve'!A1446,L831,(1+VLOOKUP(A832,'Yield Curve'!A825:B1447,2,FALSE))^(1/12)-1)</f>
        <v>7.9741404289037643E-3</v>
      </c>
      <c r="M832" s="5">
        <f t="shared" si="115"/>
        <v>-72.275473105457962</v>
      </c>
    </row>
    <row r="833" spans="1:13" x14ac:dyDescent="0.25">
      <c r="A833" s="4">
        <v>825</v>
      </c>
      <c r="B833" s="4">
        <f t="shared" si="108"/>
        <v>113</v>
      </c>
      <c r="C833" s="4">
        <f t="shared" si="109"/>
        <v>840</v>
      </c>
      <c r="D833" s="4">
        <f>IF(B833&gt;'Mortality Table'!$A$118,D832,VLOOKUP(B833,'Mortality Table'!$A$2:$B$118,2,FALSE))</f>
        <v>0.59733000000000003</v>
      </c>
      <c r="E833" s="4">
        <f>IF(INT((C833-1)/12)+1&gt;'Lapse Table'!$A$11,E832,VLOOKUP(INT((C833-1)/12)+1,'Lapse Table'!$A$2:$B$11,2,FALSE))/12</f>
        <v>0</v>
      </c>
      <c r="F833" s="5">
        <f t="shared" si="116"/>
        <v>-14.754537365620754</v>
      </c>
      <c r="G833" s="6">
        <f t="shared" si="110"/>
        <v>4.9777500000000002E-2</v>
      </c>
      <c r="H833" s="6">
        <f t="shared" si="111"/>
        <v>0</v>
      </c>
      <c r="I833" s="7">
        <f t="shared" si="112"/>
        <v>-491.81791218735844</v>
      </c>
      <c r="J833" s="8">
        <f t="shared" si="113"/>
        <v>49777.5</v>
      </c>
      <c r="K833" s="7">
        <f t="shared" si="114"/>
        <v>-50269.317912187362</v>
      </c>
      <c r="L833" s="4">
        <f>IF(A833&gt;'Yield Curve'!A1447,L832,(1+VLOOKUP(A833,'Yield Curve'!A826:B1448,2,FALSE))^(1/12)-1)</f>
        <v>7.9741404289037643E-3</v>
      </c>
      <c r="M833" s="5">
        <f t="shared" si="115"/>
        <v>-71.706064567552431</v>
      </c>
    </row>
    <row r="834" spans="1:13" x14ac:dyDescent="0.25">
      <c r="A834" s="4">
        <v>826</v>
      </c>
      <c r="B834" s="4">
        <f t="shared" si="108"/>
        <v>113</v>
      </c>
      <c r="C834" s="4">
        <f t="shared" si="109"/>
        <v>841</v>
      </c>
      <c r="D834" s="4">
        <f>IF(B834&gt;'Mortality Table'!$A$118,D833,VLOOKUP(B834,'Mortality Table'!$A$2:$B$118,2,FALSE))</f>
        <v>0.59733000000000003</v>
      </c>
      <c r="E834" s="4">
        <f>IF(INT((C834-1)/12)+1&gt;'Lapse Table'!$A$11,E833,VLOOKUP(INT((C834-1)/12)+1,'Lapse Table'!$A$2:$B$11,2,FALSE))/12</f>
        <v>0</v>
      </c>
      <c r="F834" s="5">
        <f t="shared" si="116"/>
        <v>-14.804314865620753</v>
      </c>
      <c r="G834" s="6">
        <f t="shared" si="110"/>
        <v>4.9777500000000002E-2</v>
      </c>
      <c r="H834" s="6">
        <f t="shared" si="111"/>
        <v>0</v>
      </c>
      <c r="I834" s="7">
        <f t="shared" si="112"/>
        <v>-493.47716218735849</v>
      </c>
      <c r="J834" s="8">
        <f t="shared" si="113"/>
        <v>49777.5</v>
      </c>
      <c r="K834" s="7">
        <f t="shared" si="114"/>
        <v>-50270.977162187359</v>
      </c>
      <c r="L834" s="4">
        <f>IF(A834&gt;'Yield Curve'!A1448,L833,(1+VLOOKUP(A834,'Yield Curve'!A827:B1449,2,FALSE))^(1/12)-1)</f>
        <v>7.9741404289037643E-3</v>
      </c>
      <c r="M834" s="5">
        <f t="shared" si="115"/>
        <v>-71.141141928767041</v>
      </c>
    </row>
    <row r="835" spans="1:13" x14ac:dyDescent="0.25">
      <c r="A835" s="4">
        <v>827</v>
      </c>
      <c r="B835" s="4">
        <f t="shared" si="108"/>
        <v>113</v>
      </c>
      <c r="C835" s="4">
        <f t="shared" si="109"/>
        <v>842</v>
      </c>
      <c r="D835" s="4">
        <f>IF(B835&gt;'Mortality Table'!$A$118,D834,VLOOKUP(B835,'Mortality Table'!$A$2:$B$118,2,FALSE))</f>
        <v>0.59733000000000003</v>
      </c>
      <c r="E835" s="4">
        <f>IF(INT((C835-1)/12)+1&gt;'Lapse Table'!$A$11,E834,VLOOKUP(INT((C835-1)/12)+1,'Lapse Table'!$A$2:$B$11,2,FALSE))/12</f>
        <v>0</v>
      </c>
      <c r="F835" s="5">
        <f t="shared" si="116"/>
        <v>-14.854092365620753</v>
      </c>
      <c r="G835" s="6">
        <f t="shared" si="110"/>
        <v>4.9777500000000002E-2</v>
      </c>
      <c r="H835" s="6">
        <f t="shared" si="111"/>
        <v>0</v>
      </c>
      <c r="I835" s="7">
        <f t="shared" si="112"/>
        <v>-495.13641218735842</v>
      </c>
      <c r="J835" s="8">
        <f t="shared" si="113"/>
        <v>49777.5</v>
      </c>
      <c r="K835" s="7">
        <f t="shared" si="114"/>
        <v>-50272.636412187356</v>
      </c>
      <c r="L835" s="4">
        <f>IF(A835&gt;'Yield Curve'!A1449,L834,(1+VLOOKUP(A835,'Yield Curve'!A828:B1450,2,FALSE))^(1/12)-1)</f>
        <v>7.9741404289037643E-3</v>
      </c>
      <c r="M835" s="5">
        <f t="shared" si="115"/>
        <v>-70.580669849027046</v>
      </c>
    </row>
    <row r="836" spans="1:13" x14ac:dyDescent="0.25">
      <c r="A836" s="4">
        <v>828</v>
      </c>
      <c r="B836" s="4">
        <f t="shared" si="108"/>
        <v>114</v>
      </c>
      <c r="C836" s="4">
        <f t="shared" si="109"/>
        <v>843</v>
      </c>
      <c r="D836" s="4">
        <f>IF(B836&gt;'Mortality Table'!$A$118,D835,VLOOKUP(B836,'Mortality Table'!$A$2:$B$118,2,FALSE))</f>
        <v>0.59733000000000003</v>
      </c>
      <c r="E836" s="4">
        <f>IF(INT((C836-1)/12)+1&gt;'Lapse Table'!$A$11,E835,VLOOKUP(INT((C836-1)/12)+1,'Lapse Table'!$A$2:$B$11,2,FALSE))/12</f>
        <v>0</v>
      </c>
      <c r="F836" s="5">
        <f t="shared" si="116"/>
        <v>-14.903869865620752</v>
      </c>
      <c r="G836" s="6">
        <f t="shared" si="110"/>
        <v>4.9777500000000002E-2</v>
      </c>
      <c r="H836" s="6">
        <f t="shared" si="111"/>
        <v>0</v>
      </c>
      <c r="I836" s="7">
        <f t="shared" si="112"/>
        <v>-496.7956621873584</v>
      </c>
      <c r="J836" s="8">
        <f t="shared" si="113"/>
        <v>49777.5</v>
      </c>
      <c r="K836" s="7">
        <f t="shared" si="114"/>
        <v>-50274.29566218736</v>
      </c>
      <c r="L836" s="4">
        <f>IF(A836&gt;'Yield Curve'!A1450,L835,(1+VLOOKUP(A836,'Yield Curve'!A829:B1451,2,FALSE))^(1/12)-1)</f>
        <v>7.9741404289037643E-3</v>
      </c>
      <c r="M836" s="5">
        <f t="shared" si="115"/>
        <v>-70.024613266663152</v>
      </c>
    </row>
    <row r="837" spans="1:13" x14ac:dyDescent="0.25">
      <c r="A837" s="4">
        <v>829</v>
      </c>
      <c r="B837" s="4">
        <f t="shared" si="108"/>
        <v>114</v>
      </c>
      <c r="C837" s="4">
        <f t="shared" si="109"/>
        <v>844</v>
      </c>
      <c r="D837" s="4">
        <f>IF(B837&gt;'Mortality Table'!$A$118,D836,VLOOKUP(B837,'Mortality Table'!$A$2:$B$118,2,FALSE))</f>
        <v>0.59733000000000003</v>
      </c>
      <c r="E837" s="4">
        <f>IF(INT((C837-1)/12)+1&gt;'Lapse Table'!$A$11,E836,VLOOKUP(INT((C837-1)/12)+1,'Lapse Table'!$A$2:$B$11,2,FALSE))/12</f>
        <v>0</v>
      </c>
      <c r="F837" s="5">
        <f t="shared" si="116"/>
        <v>-14.953647365620752</v>
      </c>
      <c r="G837" s="6">
        <f t="shared" si="110"/>
        <v>4.9777500000000002E-2</v>
      </c>
      <c r="H837" s="6">
        <f t="shared" si="111"/>
        <v>0</v>
      </c>
      <c r="I837" s="7">
        <f t="shared" si="112"/>
        <v>-498.45491218735839</v>
      </c>
      <c r="J837" s="8">
        <f t="shared" si="113"/>
        <v>49777.5</v>
      </c>
      <c r="K837" s="7">
        <f t="shared" si="114"/>
        <v>-50275.954912187357</v>
      </c>
      <c r="L837" s="4">
        <f>IF(A837&gt;'Yield Curve'!A1451,L836,(1+VLOOKUP(A837,'Yield Curve'!A830:B1452,2,FALSE))^(1/12)-1)</f>
        <v>7.9741404289037643E-3</v>
      </c>
      <c r="M837" s="5">
        <f t="shared" si="115"/>
        <v>-69.472937396218256</v>
      </c>
    </row>
    <row r="838" spans="1:13" x14ac:dyDescent="0.25">
      <c r="A838" s="4">
        <v>830</v>
      </c>
      <c r="B838" s="4">
        <f t="shared" si="108"/>
        <v>114</v>
      </c>
      <c r="C838" s="4">
        <f t="shared" si="109"/>
        <v>845</v>
      </c>
      <c r="D838" s="4">
        <f>IF(B838&gt;'Mortality Table'!$A$118,D837,VLOOKUP(B838,'Mortality Table'!$A$2:$B$118,2,FALSE))</f>
        <v>0.59733000000000003</v>
      </c>
      <c r="E838" s="4">
        <f>IF(INT((C838-1)/12)+1&gt;'Lapse Table'!$A$11,E837,VLOOKUP(INT((C838-1)/12)+1,'Lapse Table'!$A$2:$B$11,2,FALSE))/12</f>
        <v>0</v>
      </c>
      <c r="F838" s="5">
        <f t="shared" si="116"/>
        <v>-15.003424865620751</v>
      </c>
      <c r="G838" s="6">
        <f t="shared" si="110"/>
        <v>4.9777500000000002E-2</v>
      </c>
      <c r="H838" s="6">
        <f t="shared" si="111"/>
        <v>0</v>
      </c>
      <c r="I838" s="7">
        <f t="shared" si="112"/>
        <v>-500.11416218735832</v>
      </c>
      <c r="J838" s="8">
        <f t="shared" si="113"/>
        <v>49777.5</v>
      </c>
      <c r="K838" s="7">
        <f t="shared" si="114"/>
        <v>-50277.614162187361</v>
      </c>
      <c r="L838" s="4">
        <f>IF(A838&gt;'Yield Curve'!A1452,L837,(1+VLOOKUP(A838,'Yield Curve'!A831:B1453,2,FALSE))^(1/12)-1)</f>
        <v>7.9741404289037643E-3</v>
      </c>
      <c r="M838" s="5">
        <f t="shared" si="115"/>
        <v>-68.92560772627175</v>
      </c>
    </row>
    <row r="839" spans="1:13" x14ac:dyDescent="0.25">
      <c r="A839" s="4">
        <v>831</v>
      </c>
      <c r="B839" s="4">
        <f t="shared" si="108"/>
        <v>114</v>
      </c>
      <c r="C839" s="4">
        <f t="shared" si="109"/>
        <v>846</v>
      </c>
      <c r="D839" s="4">
        <f>IF(B839&gt;'Mortality Table'!$A$118,D838,VLOOKUP(B839,'Mortality Table'!$A$2:$B$118,2,FALSE))</f>
        <v>0.59733000000000003</v>
      </c>
      <c r="E839" s="4">
        <f>IF(INT((C839-1)/12)+1&gt;'Lapse Table'!$A$11,E838,VLOOKUP(INT((C839-1)/12)+1,'Lapse Table'!$A$2:$B$11,2,FALSE))/12</f>
        <v>0</v>
      </c>
      <c r="F839" s="5">
        <f t="shared" si="116"/>
        <v>-15.05320236562075</v>
      </c>
      <c r="G839" s="6">
        <f t="shared" si="110"/>
        <v>4.9777500000000002E-2</v>
      </c>
      <c r="H839" s="6">
        <f t="shared" si="111"/>
        <v>0</v>
      </c>
      <c r="I839" s="7">
        <f t="shared" si="112"/>
        <v>-501.77341218735836</v>
      </c>
      <c r="J839" s="8">
        <f t="shared" si="113"/>
        <v>49777.5</v>
      </c>
      <c r="K839" s="7">
        <f t="shared" si="114"/>
        <v>-50279.273412187358</v>
      </c>
      <c r="L839" s="4">
        <f>IF(A839&gt;'Yield Curve'!A1453,L838,(1+VLOOKUP(A839,'Yield Curve'!A832:B1454,2,FALSE))^(1/12)-1)</f>
        <v>7.9741404289037643E-3</v>
      </c>
      <c r="M839" s="5">
        <f t="shared" si="115"/>
        <v>-68.382590017280393</v>
      </c>
    </row>
    <row r="840" spans="1:13" x14ac:dyDescent="0.25">
      <c r="A840" s="4">
        <v>832</v>
      </c>
      <c r="B840" s="4">
        <f t="shared" si="108"/>
        <v>114</v>
      </c>
      <c r="C840" s="4">
        <f t="shared" si="109"/>
        <v>847</v>
      </c>
      <c r="D840" s="4">
        <f>IF(B840&gt;'Mortality Table'!$A$118,D839,VLOOKUP(B840,'Mortality Table'!$A$2:$B$118,2,FALSE))</f>
        <v>0.59733000000000003</v>
      </c>
      <c r="E840" s="4">
        <f>IF(INT((C840-1)/12)+1&gt;'Lapse Table'!$A$11,E839,VLOOKUP(INT((C840-1)/12)+1,'Lapse Table'!$A$2:$B$11,2,FALSE))/12</f>
        <v>0</v>
      </c>
      <c r="F840" s="5">
        <f t="shared" si="116"/>
        <v>-15.10297986562075</v>
      </c>
      <c r="G840" s="6">
        <f t="shared" si="110"/>
        <v>4.9777500000000002E-2</v>
      </c>
      <c r="H840" s="6">
        <f t="shared" si="111"/>
        <v>0</v>
      </c>
      <c r="I840" s="7">
        <f t="shared" si="112"/>
        <v>-503.43266218735835</v>
      </c>
      <c r="J840" s="8">
        <f t="shared" si="113"/>
        <v>49777.5</v>
      </c>
      <c r="K840" s="7">
        <f t="shared" si="114"/>
        <v>-50280.932662187355</v>
      </c>
      <c r="L840" s="4">
        <f>IF(A840&gt;'Yield Curve'!A1454,L839,(1+VLOOKUP(A840,'Yield Curve'!A833:B1455,2,FALSE))^(1/12)-1)</f>
        <v>7.9741404289037643E-3</v>
      </c>
      <c r="M840" s="5">
        <f t="shared" si="115"/>
        <v>-67.843850299436852</v>
      </c>
    </row>
    <row r="841" spans="1:13" x14ac:dyDescent="0.25">
      <c r="A841" s="4">
        <v>833</v>
      </c>
      <c r="B841" s="4">
        <f t="shared" si="108"/>
        <v>114</v>
      </c>
      <c r="C841" s="4">
        <f t="shared" si="109"/>
        <v>848</v>
      </c>
      <c r="D841" s="4">
        <f>IF(B841&gt;'Mortality Table'!$A$118,D840,VLOOKUP(B841,'Mortality Table'!$A$2:$B$118,2,FALSE))</f>
        <v>0.59733000000000003</v>
      </c>
      <c r="E841" s="4">
        <f>IF(INT((C841-1)/12)+1&gt;'Lapse Table'!$A$11,E840,VLOOKUP(INT((C841-1)/12)+1,'Lapse Table'!$A$2:$B$11,2,FALSE))/12</f>
        <v>0</v>
      </c>
      <c r="F841" s="5">
        <f t="shared" si="116"/>
        <v>-15.152757365620749</v>
      </c>
      <c r="G841" s="6">
        <f t="shared" si="110"/>
        <v>4.9777500000000002E-2</v>
      </c>
      <c r="H841" s="6">
        <f t="shared" si="111"/>
        <v>0</v>
      </c>
      <c r="I841" s="7">
        <f t="shared" si="112"/>
        <v>-505.09191218735828</v>
      </c>
      <c r="J841" s="8">
        <f t="shared" si="113"/>
        <v>49777.5</v>
      </c>
      <c r="K841" s="7">
        <f t="shared" si="114"/>
        <v>-50282.591912187359</v>
      </c>
      <c r="L841" s="4">
        <f>IF(A841&gt;'Yield Curve'!A1455,L840,(1+VLOOKUP(A841,'Yield Curve'!A834:B1456,2,FALSE))^(1/12)-1)</f>
        <v>7.9741404289037643E-3</v>
      </c>
      <c r="M841" s="5">
        <f t="shared" si="115"/>
        <v>-67.309354870544638</v>
      </c>
    </row>
    <row r="842" spans="1:13" x14ac:dyDescent="0.25">
      <c r="A842" s="4">
        <v>834</v>
      </c>
      <c r="B842" s="4">
        <f t="shared" ref="B842:B905" si="117">INT($B$3+A842/12)</f>
        <v>114</v>
      </c>
      <c r="C842" s="4">
        <f t="shared" ref="C842:C905" si="118">$B$4+A842</f>
        <v>849</v>
      </c>
      <c r="D842" s="4">
        <f>IF(B842&gt;'Mortality Table'!$A$118,D841,VLOOKUP(B842,'Mortality Table'!$A$2:$B$118,2,FALSE))</f>
        <v>0.59733000000000003</v>
      </c>
      <c r="E842" s="4">
        <f>IF(INT((C842-1)/12)+1&gt;'Lapse Table'!$A$11,E841,VLOOKUP(INT((C842-1)/12)+1,'Lapse Table'!$A$2:$B$11,2,FALSE))/12</f>
        <v>0</v>
      </c>
      <c r="F842" s="5">
        <f t="shared" si="116"/>
        <v>-15.202534865620748</v>
      </c>
      <c r="G842" s="6">
        <f t="shared" ref="G842:G905" si="119">D842/12*(1-0.5*E842)</f>
        <v>4.9777500000000002E-2</v>
      </c>
      <c r="H842" s="6">
        <f t="shared" ref="H842:H905" si="120">E842*(1-0.5*D842)</f>
        <v>0</v>
      </c>
      <c r="I842" s="7">
        <f t="shared" ref="I842:I905" si="121">F842*$B$5/12</f>
        <v>-506.75116218735826</v>
      </c>
      <c r="J842" s="8">
        <f t="shared" ref="J842:J905" si="122">$B$6*G842</f>
        <v>49777.5</v>
      </c>
      <c r="K842" s="7">
        <f t="shared" ref="K842:K905" si="123">I842-J842</f>
        <v>-50284.251162187356</v>
      </c>
      <c r="L842" s="4">
        <f>IF(A842&gt;'Yield Curve'!A1456,L841,(1+VLOOKUP(A842,'Yield Curve'!A835:B1457,2,FALSE))^(1/12)-1)</f>
        <v>7.9741404289037643E-3</v>
      </c>
      <c r="M842" s="5">
        <f t="shared" ref="M842:M905" si="124">K842*(1+L842)^-A842</f>
        <v>-66.77907029390984</v>
      </c>
    </row>
    <row r="843" spans="1:13" x14ac:dyDescent="0.25">
      <c r="A843" s="4">
        <v>835</v>
      </c>
      <c r="B843" s="4">
        <f t="shared" si="117"/>
        <v>114</v>
      </c>
      <c r="C843" s="4">
        <f t="shared" si="118"/>
        <v>850</v>
      </c>
      <c r="D843" s="4">
        <f>IF(B843&gt;'Mortality Table'!$A$118,D842,VLOOKUP(B843,'Mortality Table'!$A$2:$B$118,2,FALSE))</f>
        <v>0.59733000000000003</v>
      </c>
      <c r="E843" s="4">
        <f>IF(INT((C843-1)/12)+1&gt;'Lapse Table'!$A$11,E842,VLOOKUP(INT((C843-1)/12)+1,'Lapse Table'!$A$2:$B$11,2,FALSE))/12</f>
        <v>0</v>
      </c>
      <c r="F843" s="5">
        <f t="shared" ref="F843:F906" si="125">F842-G843-H843</f>
        <v>-15.252312365620748</v>
      </c>
      <c r="G843" s="6">
        <f t="shared" si="119"/>
        <v>4.9777500000000002E-2</v>
      </c>
      <c r="H843" s="6">
        <f t="shared" si="120"/>
        <v>0</v>
      </c>
      <c r="I843" s="7">
        <f t="shared" si="121"/>
        <v>-508.4104121873583</v>
      </c>
      <c r="J843" s="8">
        <f t="shared" si="122"/>
        <v>49777.5</v>
      </c>
      <c r="K843" s="7">
        <f t="shared" si="123"/>
        <v>-50285.910412187361</v>
      </c>
      <c r="L843" s="4">
        <f>IF(A843&gt;'Yield Curve'!A1457,L842,(1+VLOOKUP(A843,'Yield Curve'!A836:B1458,2,FALSE))^(1/12)-1)</f>
        <v>7.9741404289037643E-3</v>
      </c>
      <c r="M843" s="5">
        <f t="shared" si="124"/>
        <v>-66.252963396249797</v>
      </c>
    </row>
    <row r="844" spans="1:13" x14ac:dyDescent="0.25">
      <c r="A844" s="4">
        <v>836</v>
      </c>
      <c r="B844" s="4">
        <f t="shared" si="117"/>
        <v>114</v>
      </c>
      <c r="C844" s="4">
        <f t="shared" si="118"/>
        <v>851</v>
      </c>
      <c r="D844" s="4">
        <f>IF(B844&gt;'Mortality Table'!$A$118,D843,VLOOKUP(B844,'Mortality Table'!$A$2:$B$118,2,FALSE))</f>
        <v>0.59733000000000003</v>
      </c>
      <c r="E844" s="4">
        <f>IF(INT((C844-1)/12)+1&gt;'Lapse Table'!$A$11,E843,VLOOKUP(INT((C844-1)/12)+1,'Lapse Table'!$A$2:$B$11,2,FALSE))/12</f>
        <v>0</v>
      </c>
      <c r="F844" s="5">
        <f t="shared" si="125"/>
        <v>-15.302089865620747</v>
      </c>
      <c r="G844" s="6">
        <f t="shared" si="119"/>
        <v>4.9777500000000002E-2</v>
      </c>
      <c r="H844" s="6">
        <f t="shared" si="120"/>
        <v>0</v>
      </c>
      <c r="I844" s="7">
        <f t="shared" si="121"/>
        <v>-510.06966218735823</v>
      </c>
      <c r="J844" s="8">
        <f t="shared" si="122"/>
        <v>49777.5</v>
      </c>
      <c r="K844" s="7">
        <f t="shared" si="123"/>
        <v>-50287.569662187358</v>
      </c>
      <c r="L844" s="4">
        <f>IF(A844&gt;'Yield Curve'!A1458,L843,(1+VLOOKUP(A844,'Yield Curve'!A837:B1459,2,FALSE))^(1/12)-1)</f>
        <v>7.9741404289037643E-3</v>
      </c>
      <c r="M844" s="5">
        <f t="shared" si="124"/>
        <v>-65.731001265617749</v>
      </c>
    </row>
    <row r="845" spans="1:13" x14ac:dyDescent="0.25">
      <c r="A845" s="4">
        <v>837</v>
      </c>
      <c r="B845" s="4">
        <f t="shared" si="117"/>
        <v>114</v>
      </c>
      <c r="C845" s="4">
        <f t="shared" si="118"/>
        <v>852</v>
      </c>
      <c r="D845" s="4">
        <f>IF(B845&gt;'Mortality Table'!$A$118,D844,VLOOKUP(B845,'Mortality Table'!$A$2:$B$118,2,FALSE))</f>
        <v>0.59733000000000003</v>
      </c>
      <c r="E845" s="4">
        <f>IF(INT((C845-1)/12)+1&gt;'Lapse Table'!$A$11,E844,VLOOKUP(INT((C845-1)/12)+1,'Lapse Table'!$A$2:$B$11,2,FALSE))/12</f>
        <v>0</v>
      </c>
      <c r="F845" s="5">
        <f t="shared" si="125"/>
        <v>-15.351867365620746</v>
      </c>
      <c r="G845" s="6">
        <f t="shared" si="119"/>
        <v>4.9777500000000002E-2</v>
      </c>
      <c r="H845" s="6">
        <f t="shared" si="120"/>
        <v>0</v>
      </c>
      <c r="I845" s="7">
        <f t="shared" si="121"/>
        <v>-511.72891218735822</v>
      </c>
      <c r="J845" s="8">
        <f t="shared" si="122"/>
        <v>49777.5</v>
      </c>
      <c r="K845" s="7">
        <f t="shared" si="123"/>
        <v>-50289.228912187362</v>
      </c>
      <c r="L845" s="4">
        <f>IF(A845&gt;'Yield Curve'!A1459,L844,(1+VLOOKUP(A845,'Yield Curve'!A838:B1460,2,FALSE))^(1/12)-1)</f>
        <v>7.9741404289037643E-3</v>
      </c>
      <c r="M845" s="5">
        <f t="shared" si="124"/>
        <v>-65.21315124934425</v>
      </c>
    </row>
    <row r="846" spans="1:13" x14ac:dyDescent="0.25">
      <c r="A846" s="4">
        <v>838</v>
      </c>
      <c r="B846" s="4">
        <f t="shared" si="117"/>
        <v>114</v>
      </c>
      <c r="C846" s="4">
        <f t="shared" si="118"/>
        <v>853</v>
      </c>
      <c r="D846" s="4">
        <f>IF(B846&gt;'Mortality Table'!$A$118,D845,VLOOKUP(B846,'Mortality Table'!$A$2:$B$118,2,FALSE))</f>
        <v>0.59733000000000003</v>
      </c>
      <c r="E846" s="4">
        <f>IF(INT((C846-1)/12)+1&gt;'Lapse Table'!$A$11,E845,VLOOKUP(INT((C846-1)/12)+1,'Lapse Table'!$A$2:$B$11,2,FALSE))/12</f>
        <v>0</v>
      </c>
      <c r="F846" s="5">
        <f t="shared" si="125"/>
        <v>-15.401644865620746</v>
      </c>
      <c r="G846" s="6">
        <f t="shared" si="119"/>
        <v>4.9777500000000002E-2</v>
      </c>
      <c r="H846" s="6">
        <f t="shared" si="120"/>
        <v>0</v>
      </c>
      <c r="I846" s="7">
        <f t="shared" si="121"/>
        <v>-513.38816218735826</v>
      </c>
      <c r="J846" s="8">
        <f t="shared" si="122"/>
        <v>49777.5</v>
      </c>
      <c r="K846" s="7">
        <f t="shared" si="123"/>
        <v>-50290.888162187359</v>
      </c>
      <c r="L846" s="4">
        <f>IF(A846&gt;'Yield Curve'!A1460,L845,(1+VLOOKUP(A846,'Yield Curve'!A839:B1461,2,FALSE))^(1/12)-1)</f>
        <v>7.9741404289037643E-3</v>
      </c>
      <c r="M846" s="5">
        <f t="shared" si="124"/>
        <v>-64.699380951994627</v>
      </c>
    </row>
    <row r="847" spans="1:13" x14ac:dyDescent="0.25">
      <c r="A847" s="4">
        <v>839</v>
      </c>
      <c r="B847" s="4">
        <f t="shared" si="117"/>
        <v>114</v>
      </c>
      <c r="C847" s="4">
        <f t="shared" si="118"/>
        <v>854</v>
      </c>
      <c r="D847" s="4">
        <f>IF(B847&gt;'Mortality Table'!$A$118,D846,VLOOKUP(B847,'Mortality Table'!$A$2:$B$118,2,FALSE))</f>
        <v>0.59733000000000003</v>
      </c>
      <c r="E847" s="4">
        <f>IF(INT((C847-1)/12)+1&gt;'Lapse Table'!$A$11,E846,VLOOKUP(INT((C847-1)/12)+1,'Lapse Table'!$A$2:$B$11,2,FALSE))/12</f>
        <v>0</v>
      </c>
      <c r="F847" s="5">
        <f t="shared" si="125"/>
        <v>-15.451422365620745</v>
      </c>
      <c r="G847" s="6">
        <f t="shared" si="119"/>
        <v>4.9777500000000002E-2</v>
      </c>
      <c r="H847" s="6">
        <f t="shared" si="120"/>
        <v>0</v>
      </c>
      <c r="I847" s="7">
        <f t="shared" si="121"/>
        <v>-515.04741218735819</v>
      </c>
      <c r="J847" s="8">
        <f t="shared" si="122"/>
        <v>49777.5</v>
      </c>
      <c r="K847" s="7">
        <f t="shared" si="123"/>
        <v>-50292.547412187356</v>
      </c>
      <c r="L847" s="4">
        <f>IF(A847&gt;'Yield Curve'!A1461,L846,(1+VLOOKUP(A847,'Yield Curve'!A840:B1462,2,FALSE))^(1/12)-1)</f>
        <v>7.9741404289037643E-3</v>
      </c>
      <c r="M847" s="5">
        <f t="shared" si="124"/>
        <v>-64.189658233342499</v>
      </c>
    </row>
    <row r="848" spans="1:13" x14ac:dyDescent="0.25">
      <c r="A848" s="4">
        <v>840</v>
      </c>
      <c r="B848" s="4">
        <f t="shared" si="117"/>
        <v>115</v>
      </c>
      <c r="C848" s="4">
        <f t="shared" si="118"/>
        <v>855</v>
      </c>
      <c r="D848" s="4">
        <f>IF(B848&gt;'Mortality Table'!$A$118,D847,VLOOKUP(B848,'Mortality Table'!$A$2:$B$118,2,FALSE))</f>
        <v>0.59733000000000003</v>
      </c>
      <c r="E848" s="4">
        <f>IF(INT((C848-1)/12)+1&gt;'Lapse Table'!$A$11,E847,VLOOKUP(INT((C848-1)/12)+1,'Lapse Table'!$A$2:$B$11,2,FALSE))/12</f>
        <v>0</v>
      </c>
      <c r="F848" s="5">
        <f t="shared" si="125"/>
        <v>-15.501199865620745</v>
      </c>
      <c r="G848" s="6">
        <f t="shared" si="119"/>
        <v>4.9777500000000002E-2</v>
      </c>
      <c r="H848" s="6">
        <f t="shared" si="120"/>
        <v>0</v>
      </c>
      <c r="I848" s="7">
        <f t="shared" si="121"/>
        <v>-516.70666218735812</v>
      </c>
      <c r="J848" s="8">
        <f t="shared" si="122"/>
        <v>49777.5</v>
      </c>
      <c r="K848" s="7">
        <f t="shared" si="123"/>
        <v>-50294.20666218736</v>
      </c>
      <c r="L848" s="4">
        <f>IF(A848&gt;'Yield Curve'!A1462,L847,(1+VLOOKUP(A848,'Yield Curve'!A841:B1463,2,FALSE))^(1/12)-1)</f>
        <v>7.9741404289037643E-3</v>
      </c>
      <c r="M848" s="5">
        <f t="shared" si="124"/>
        <v>-63.683951206359282</v>
      </c>
    </row>
    <row r="849" spans="1:13" x14ac:dyDescent="0.25">
      <c r="A849" s="4">
        <v>841</v>
      </c>
      <c r="B849" s="4">
        <f t="shared" si="117"/>
        <v>115</v>
      </c>
      <c r="C849" s="4">
        <f t="shared" si="118"/>
        <v>856</v>
      </c>
      <c r="D849" s="4">
        <f>IF(B849&gt;'Mortality Table'!$A$118,D848,VLOOKUP(B849,'Mortality Table'!$A$2:$B$118,2,FALSE))</f>
        <v>0.59733000000000003</v>
      </c>
      <c r="E849" s="4">
        <f>IF(INT((C849-1)/12)+1&gt;'Lapse Table'!$A$11,E848,VLOOKUP(INT((C849-1)/12)+1,'Lapse Table'!$A$2:$B$11,2,FALSE))/12</f>
        <v>0</v>
      </c>
      <c r="F849" s="5">
        <f t="shared" si="125"/>
        <v>-15.550977365620744</v>
      </c>
      <c r="G849" s="6">
        <f t="shared" si="119"/>
        <v>4.9777500000000002E-2</v>
      </c>
      <c r="H849" s="6">
        <f t="shared" si="120"/>
        <v>0</v>
      </c>
      <c r="I849" s="7">
        <f t="shared" si="121"/>
        <v>-518.36591218735816</v>
      </c>
      <c r="J849" s="8">
        <f t="shared" si="122"/>
        <v>49777.5</v>
      </c>
      <c r="K849" s="7">
        <f t="shared" si="123"/>
        <v>-50295.865912187357</v>
      </c>
      <c r="L849" s="4">
        <f>IF(A849&gt;'Yield Curve'!A1463,L848,(1+VLOOKUP(A849,'Yield Curve'!A842:B1464,2,FALSE))^(1/12)-1)</f>
        <v>7.9741404289037643E-3</v>
      </c>
      <c r="M849" s="5">
        <f t="shared" si="124"/>
        <v>-63.182228235219682</v>
      </c>
    </row>
    <row r="850" spans="1:13" x14ac:dyDescent="0.25">
      <c r="A850" s="4">
        <v>842</v>
      </c>
      <c r="B850" s="4">
        <f t="shared" si="117"/>
        <v>115</v>
      </c>
      <c r="C850" s="4">
        <f t="shared" si="118"/>
        <v>857</v>
      </c>
      <c r="D850" s="4">
        <f>IF(B850&gt;'Mortality Table'!$A$118,D849,VLOOKUP(B850,'Mortality Table'!$A$2:$B$118,2,FALSE))</f>
        <v>0.59733000000000003</v>
      </c>
      <c r="E850" s="4">
        <f>IF(INT((C850-1)/12)+1&gt;'Lapse Table'!$A$11,E849,VLOOKUP(INT((C850-1)/12)+1,'Lapse Table'!$A$2:$B$11,2,FALSE))/12</f>
        <v>0</v>
      </c>
      <c r="F850" s="5">
        <f t="shared" si="125"/>
        <v>-15.600754865620743</v>
      </c>
      <c r="G850" s="6">
        <f t="shared" si="119"/>
        <v>4.9777500000000002E-2</v>
      </c>
      <c r="H850" s="6">
        <f t="shared" si="120"/>
        <v>0</v>
      </c>
      <c r="I850" s="7">
        <f t="shared" si="121"/>
        <v>-520.02516218735809</v>
      </c>
      <c r="J850" s="8">
        <f t="shared" si="122"/>
        <v>49777.5</v>
      </c>
      <c r="K850" s="7">
        <f t="shared" si="123"/>
        <v>-50297.525162187361</v>
      </c>
      <c r="L850" s="4">
        <f>IF(A850&gt;'Yield Curve'!A1464,L849,(1+VLOOKUP(A850,'Yield Curve'!A843:B1465,2,FALSE))^(1/12)-1)</f>
        <v>7.9741404289037643E-3</v>
      </c>
      <c r="M850" s="5">
        <f t="shared" si="124"/>
        <v>-62.684457933322641</v>
      </c>
    </row>
    <row r="851" spans="1:13" x14ac:dyDescent="0.25">
      <c r="A851" s="4">
        <v>843</v>
      </c>
      <c r="B851" s="4">
        <f t="shared" si="117"/>
        <v>115</v>
      </c>
      <c r="C851" s="4">
        <f t="shared" si="118"/>
        <v>858</v>
      </c>
      <c r="D851" s="4">
        <f>IF(B851&gt;'Mortality Table'!$A$118,D850,VLOOKUP(B851,'Mortality Table'!$A$2:$B$118,2,FALSE))</f>
        <v>0.59733000000000003</v>
      </c>
      <c r="E851" s="4">
        <f>IF(INT((C851-1)/12)+1&gt;'Lapse Table'!$A$11,E850,VLOOKUP(INT((C851-1)/12)+1,'Lapse Table'!$A$2:$B$11,2,FALSE))/12</f>
        <v>0</v>
      </c>
      <c r="F851" s="5">
        <f t="shared" si="125"/>
        <v>-15.650532365620743</v>
      </c>
      <c r="G851" s="6">
        <f t="shared" si="119"/>
        <v>4.9777500000000002E-2</v>
      </c>
      <c r="H851" s="6">
        <f t="shared" si="120"/>
        <v>0</v>
      </c>
      <c r="I851" s="7">
        <f t="shared" si="121"/>
        <v>-521.68441218735813</v>
      </c>
      <c r="J851" s="8">
        <f t="shared" si="122"/>
        <v>49777.5</v>
      </c>
      <c r="K851" s="7">
        <f t="shared" si="123"/>
        <v>-50299.184412187358</v>
      </c>
      <c r="L851" s="4">
        <f>IF(A851&gt;'Yield Curve'!A1465,L850,(1+VLOOKUP(A851,'Yield Curve'!A844:B1466,2,FALSE))^(1/12)-1)</f>
        <v>7.9741404289037643E-3</v>
      </c>
      <c r="M851" s="5">
        <f t="shared" si="124"/>
        <v>-62.190609161328062</v>
      </c>
    </row>
    <row r="852" spans="1:13" x14ac:dyDescent="0.25">
      <c r="A852" s="4">
        <v>844</v>
      </c>
      <c r="B852" s="4">
        <f t="shared" si="117"/>
        <v>115</v>
      </c>
      <c r="C852" s="4">
        <f t="shared" si="118"/>
        <v>859</v>
      </c>
      <c r="D852" s="4">
        <f>IF(B852&gt;'Mortality Table'!$A$118,D851,VLOOKUP(B852,'Mortality Table'!$A$2:$B$118,2,FALSE))</f>
        <v>0.59733000000000003</v>
      </c>
      <c r="E852" s="4">
        <f>IF(INT((C852-1)/12)+1&gt;'Lapse Table'!$A$11,E851,VLOOKUP(INT((C852-1)/12)+1,'Lapse Table'!$A$2:$B$11,2,FALSE))/12</f>
        <v>0</v>
      </c>
      <c r="F852" s="5">
        <f t="shared" si="125"/>
        <v>-15.700309865620742</v>
      </c>
      <c r="G852" s="6">
        <f t="shared" si="119"/>
        <v>4.9777500000000002E-2</v>
      </c>
      <c r="H852" s="6">
        <f t="shared" si="120"/>
        <v>0</v>
      </c>
      <c r="I852" s="7">
        <f t="shared" si="121"/>
        <v>-523.34366218735806</v>
      </c>
      <c r="J852" s="8">
        <f t="shared" si="122"/>
        <v>49777.5</v>
      </c>
      <c r="K852" s="7">
        <f t="shared" si="123"/>
        <v>-50300.843662187355</v>
      </c>
      <c r="L852" s="4">
        <f>IF(A852&gt;'Yield Curve'!A1466,L851,(1+VLOOKUP(A852,'Yield Curve'!A845:B1467,2,FALSE))^(1/12)-1)</f>
        <v>7.9741404289037643E-3</v>
      </c>
      <c r="M852" s="5">
        <f t="shared" si="124"/>
        <v>-61.700651025208899</v>
      </c>
    </row>
    <row r="853" spans="1:13" x14ac:dyDescent="0.25">
      <c r="A853" s="4">
        <v>845</v>
      </c>
      <c r="B853" s="4">
        <f t="shared" si="117"/>
        <v>115</v>
      </c>
      <c r="C853" s="4">
        <f t="shared" si="118"/>
        <v>860</v>
      </c>
      <c r="D853" s="4">
        <f>IF(B853&gt;'Mortality Table'!$A$118,D852,VLOOKUP(B853,'Mortality Table'!$A$2:$B$118,2,FALSE))</f>
        <v>0.59733000000000003</v>
      </c>
      <c r="E853" s="4">
        <f>IF(INT((C853-1)/12)+1&gt;'Lapse Table'!$A$11,E852,VLOOKUP(INT((C853-1)/12)+1,'Lapse Table'!$A$2:$B$11,2,FALSE))/12</f>
        <v>0</v>
      </c>
      <c r="F853" s="5">
        <f t="shared" si="125"/>
        <v>-15.750087365620741</v>
      </c>
      <c r="G853" s="6">
        <f t="shared" si="119"/>
        <v>4.9777500000000002E-2</v>
      </c>
      <c r="H853" s="6">
        <f t="shared" si="120"/>
        <v>0</v>
      </c>
      <c r="I853" s="7">
        <f t="shared" si="121"/>
        <v>-525.00291218735799</v>
      </c>
      <c r="J853" s="8">
        <f t="shared" si="122"/>
        <v>49777.5</v>
      </c>
      <c r="K853" s="7">
        <f t="shared" si="123"/>
        <v>-50302.502912187359</v>
      </c>
      <c r="L853" s="4">
        <f>IF(A853&gt;'Yield Curve'!A1467,L852,(1+VLOOKUP(A853,'Yield Curve'!A846:B1468,2,FALSE))^(1/12)-1)</f>
        <v>7.9741404289037643E-3</v>
      </c>
      <c r="M853" s="5">
        <f t="shared" si="124"/>
        <v>-61.214552874318727</v>
      </c>
    </row>
    <row r="854" spans="1:13" x14ac:dyDescent="0.25">
      <c r="A854" s="4">
        <v>846</v>
      </c>
      <c r="B854" s="4">
        <f t="shared" si="117"/>
        <v>115</v>
      </c>
      <c r="C854" s="4">
        <f t="shared" si="118"/>
        <v>861</v>
      </c>
      <c r="D854" s="4">
        <f>IF(B854&gt;'Mortality Table'!$A$118,D853,VLOOKUP(B854,'Mortality Table'!$A$2:$B$118,2,FALSE))</f>
        <v>0.59733000000000003</v>
      </c>
      <c r="E854" s="4">
        <f>IF(INT((C854-1)/12)+1&gt;'Lapse Table'!$A$11,E853,VLOOKUP(INT((C854-1)/12)+1,'Lapse Table'!$A$2:$B$11,2,FALSE))/12</f>
        <v>0</v>
      </c>
      <c r="F854" s="5">
        <f t="shared" si="125"/>
        <v>-15.799864865620741</v>
      </c>
      <c r="G854" s="6">
        <f t="shared" si="119"/>
        <v>4.9777500000000002E-2</v>
      </c>
      <c r="H854" s="6">
        <f t="shared" si="120"/>
        <v>0</v>
      </c>
      <c r="I854" s="7">
        <f t="shared" si="121"/>
        <v>-526.66216218735804</v>
      </c>
      <c r="J854" s="8">
        <f t="shared" si="122"/>
        <v>49777.5</v>
      </c>
      <c r="K854" s="7">
        <f t="shared" si="123"/>
        <v>-50304.162162187356</v>
      </c>
      <c r="L854" s="4">
        <f>IF(A854&gt;'Yield Curve'!A1468,L853,(1+VLOOKUP(A854,'Yield Curve'!A847:B1469,2,FALSE))^(1/12)-1)</f>
        <v>7.9741404289037643E-3</v>
      </c>
      <c r="M854" s="5">
        <f t="shared" si="124"/>
        <v>-60.732284299474337</v>
      </c>
    </row>
    <row r="855" spans="1:13" x14ac:dyDescent="0.25">
      <c r="A855" s="4">
        <v>847</v>
      </c>
      <c r="B855" s="4">
        <f t="shared" si="117"/>
        <v>115</v>
      </c>
      <c r="C855" s="4">
        <f t="shared" si="118"/>
        <v>862</v>
      </c>
      <c r="D855" s="4">
        <f>IF(B855&gt;'Mortality Table'!$A$118,D854,VLOOKUP(B855,'Mortality Table'!$A$2:$B$118,2,FALSE))</f>
        <v>0.59733000000000003</v>
      </c>
      <c r="E855" s="4">
        <f>IF(INT((C855-1)/12)+1&gt;'Lapse Table'!$A$11,E854,VLOOKUP(INT((C855-1)/12)+1,'Lapse Table'!$A$2:$B$11,2,FALSE))/12</f>
        <v>0</v>
      </c>
      <c r="F855" s="5">
        <f t="shared" si="125"/>
        <v>-15.84964236562074</v>
      </c>
      <c r="G855" s="6">
        <f t="shared" si="119"/>
        <v>4.9777500000000002E-2</v>
      </c>
      <c r="H855" s="6">
        <f t="shared" si="120"/>
        <v>0</v>
      </c>
      <c r="I855" s="7">
        <f t="shared" si="121"/>
        <v>-528.32141218735808</v>
      </c>
      <c r="J855" s="8">
        <f t="shared" si="122"/>
        <v>49777.5</v>
      </c>
      <c r="K855" s="7">
        <f t="shared" si="123"/>
        <v>-50305.821412187361</v>
      </c>
      <c r="L855" s="4">
        <f>IF(A855&gt;'Yield Curve'!A1469,L854,(1+VLOOKUP(A855,'Yield Curve'!A848:B1470,2,FALSE))^(1/12)-1)</f>
        <v>7.9741404289037643E-3</v>
      </c>
      <c r="M855" s="5">
        <f t="shared" si="124"/>
        <v>-60.253815131053635</v>
      </c>
    </row>
    <row r="856" spans="1:13" x14ac:dyDescent="0.25">
      <c r="A856" s="4">
        <v>848</v>
      </c>
      <c r="B856" s="4">
        <f t="shared" si="117"/>
        <v>115</v>
      </c>
      <c r="C856" s="4">
        <f t="shared" si="118"/>
        <v>863</v>
      </c>
      <c r="D856" s="4">
        <f>IF(B856&gt;'Mortality Table'!$A$118,D855,VLOOKUP(B856,'Mortality Table'!$A$2:$B$118,2,FALSE))</f>
        <v>0.59733000000000003</v>
      </c>
      <c r="E856" s="4">
        <f>IF(INT((C856-1)/12)+1&gt;'Lapse Table'!$A$11,E855,VLOOKUP(INT((C856-1)/12)+1,'Lapse Table'!$A$2:$B$11,2,FALSE))/12</f>
        <v>0</v>
      </c>
      <c r="F856" s="5">
        <f t="shared" si="125"/>
        <v>-15.89941986562074</v>
      </c>
      <c r="G856" s="6">
        <f t="shared" si="119"/>
        <v>4.9777500000000002E-2</v>
      </c>
      <c r="H856" s="6">
        <f t="shared" si="120"/>
        <v>0</v>
      </c>
      <c r="I856" s="7">
        <f t="shared" si="121"/>
        <v>-529.98066218735801</v>
      </c>
      <c r="J856" s="8">
        <f t="shared" si="122"/>
        <v>49777.5</v>
      </c>
      <c r="K856" s="7">
        <f t="shared" si="123"/>
        <v>-50307.480662187358</v>
      </c>
      <c r="L856" s="4">
        <f>IF(A856&gt;'Yield Curve'!A1470,L855,(1+VLOOKUP(A856,'Yield Curve'!A849:B1471,2,FALSE))^(1/12)-1)</f>
        <v>7.9741404289037643E-3</v>
      </c>
      <c r="M856" s="5">
        <f t="shared" si="124"/>
        <v>-59.779115437108295</v>
      </c>
    </row>
    <row r="857" spans="1:13" x14ac:dyDescent="0.25">
      <c r="A857" s="4">
        <v>849</v>
      </c>
      <c r="B857" s="4">
        <f t="shared" si="117"/>
        <v>115</v>
      </c>
      <c r="C857" s="4">
        <f t="shared" si="118"/>
        <v>864</v>
      </c>
      <c r="D857" s="4">
        <f>IF(B857&gt;'Mortality Table'!$A$118,D856,VLOOKUP(B857,'Mortality Table'!$A$2:$B$118,2,FALSE))</f>
        <v>0.59733000000000003</v>
      </c>
      <c r="E857" s="4">
        <f>IF(INT((C857-1)/12)+1&gt;'Lapse Table'!$A$11,E856,VLOOKUP(INT((C857-1)/12)+1,'Lapse Table'!$A$2:$B$11,2,FALSE))/12</f>
        <v>0</v>
      </c>
      <c r="F857" s="5">
        <f t="shared" si="125"/>
        <v>-15.949197365620739</v>
      </c>
      <c r="G857" s="6">
        <f t="shared" si="119"/>
        <v>4.9777500000000002E-2</v>
      </c>
      <c r="H857" s="6">
        <f t="shared" si="120"/>
        <v>0</v>
      </c>
      <c r="I857" s="7">
        <f t="shared" si="121"/>
        <v>-531.63991218735794</v>
      </c>
      <c r="J857" s="8">
        <f t="shared" si="122"/>
        <v>49777.5</v>
      </c>
      <c r="K857" s="7">
        <f t="shared" si="123"/>
        <v>-50309.139912187355</v>
      </c>
      <c r="L857" s="4">
        <f>IF(A857&gt;'Yield Curve'!A1471,L856,(1+VLOOKUP(A857,'Yield Curve'!A850:B1472,2,FALSE))^(1/12)-1)</f>
        <v>7.9741404289037643E-3</v>
      </c>
      <c r="M857" s="5">
        <f t="shared" si="124"/>
        <v>-59.308155521491692</v>
      </c>
    </row>
    <row r="858" spans="1:13" x14ac:dyDescent="0.25">
      <c r="A858" s="4">
        <v>850</v>
      </c>
      <c r="B858" s="4">
        <f t="shared" si="117"/>
        <v>115</v>
      </c>
      <c r="C858" s="4">
        <f t="shared" si="118"/>
        <v>865</v>
      </c>
      <c r="D858" s="4">
        <f>IF(B858&gt;'Mortality Table'!$A$118,D857,VLOOKUP(B858,'Mortality Table'!$A$2:$B$118,2,FALSE))</f>
        <v>0.59733000000000003</v>
      </c>
      <c r="E858" s="4">
        <f>IF(INT((C858-1)/12)+1&gt;'Lapse Table'!$A$11,E857,VLOOKUP(INT((C858-1)/12)+1,'Lapse Table'!$A$2:$B$11,2,FALSE))/12</f>
        <v>0</v>
      </c>
      <c r="F858" s="5">
        <f t="shared" si="125"/>
        <v>-15.998974865620738</v>
      </c>
      <c r="G858" s="6">
        <f t="shared" si="119"/>
        <v>4.9777500000000002E-2</v>
      </c>
      <c r="H858" s="6">
        <f t="shared" si="120"/>
        <v>0</v>
      </c>
      <c r="I858" s="7">
        <f t="shared" si="121"/>
        <v>-533.29916218735798</v>
      </c>
      <c r="J858" s="8">
        <f t="shared" si="122"/>
        <v>49777.5</v>
      </c>
      <c r="K858" s="7">
        <f t="shared" si="123"/>
        <v>-50310.799162187359</v>
      </c>
      <c r="L858" s="4">
        <f>IF(A858&gt;'Yield Curve'!A1472,L857,(1+VLOOKUP(A858,'Yield Curve'!A851:B1473,2,FALSE))^(1/12)-1)</f>
        <v>7.9741404289037643E-3</v>
      </c>
      <c r="M858" s="5">
        <f t="shared" si="124"/>
        <v>-58.840905922000935</v>
      </c>
    </row>
    <row r="859" spans="1:13" x14ac:dyDescent="0.25">
      <c r="A859" s="4">
        <v>851</v>
      </c>
      <c r="B859" s="4">
        <f t="shared" si="117"/>
        <v>115</v>
      </c>
      <c r="C859" s="4">
        <f t="shared" si="118"/>
        <v>866</v>
      </c>
      <c r="D859" s="4">
        <f>IF(B859&gt;'Mortality Table'!$A$118,D858,VLOOKUP(B859,'Mortality Table'!$A$2:$B$118,2,FALSE))</f>
        <v>0.59733000000000003</v>
      </c>
      <c r="E859" s="4">
        <f>IF(INT((C859-1)/12)+1&gt;'Lapse Table'!$A$11,E858,VLOOKUP(INT((C859-1)/12)+1,'Lapse Table'!$A$2:$B$11,2,FALSE))/12</f>
        <v>0</v>
      </c>
      <c r="F859" s="5">
        <f t="shared" si="125"/>
        <v>-16.048752365620739</v>
      </c>
      <c r="G859" s="6">
        <f t="shared" si="119"/>
        <v>4.9777500000000002E-2</v>
      </c>
      <c r="H859" s="6">
        <f t="shared" si="120"/>
        <v>0</v>
      </c>
      <c r="I859" s="7">
        <f t="shared" si="121"/>
        <v>-534.95841218735802</v>
      </c>
      <c r="J859" s="8">
        <f t="shared" si="122"/>
        <v>49777.5</v>
      </c>
      <c r="K859" s="7">
        <f t="shared" si="123"/>
        <v>-50312.458412187356</v>
      </c>
      <c r="L859" s="4">
        <f>IF(A859&gt;'Yield Curve'!A1473,L858,(1+VLOOKUP(A859,'Yield Curve'!A852:B1474,2,FALSE))^(1/12)-1)</f>
        <v>7.9741404289037643E-3</v>
      </c>
      <c r="M859" s="5">
        <f t="shared" si="124"/>
        <v>-58.377337408534224</v>
      </c>
    </row>
    <row r="860" spans="1:13" x14ac:dyDescent="0.25">
      <c r="A860" s="4">
        <v>852</v>
      </c>
      <c r="B860" s="4">
        <f t="shared" si="117"/>
        <v>116</v>
      </c>
      <c r="C860" s="4">
        <f t="shared" si="118"/>
        <v>867</v>
      </c>
      <c r="D860" s="4">
        <f>IF(B860&gt;'Mortality Table'!$A$118,D859,VLOOKUP(B860,'Mortality Table'!$A$2:$B$118,2,FALSE))</f>
        <v>0.59733000000000003</v>
      </c>
      <c r="E860" s="4">
        <f>IF(INT((C860-1)/12)+1&gt;'Lapse Table'!$A$11,E859,VLOOKUP(INT((C860-1)/12)+1,'Lapse Table'!$A$2:$B$11,2,FALSE))/12</f>
        <v>0</v>
      </c>
      <c r="F860" s="5">
        <f t="shared" si="125"/>
        <v>-16.098529865620741</v>
      </c>
      <c r="G860" s="6">
        <f t="shared" si="119"/>
        <v>4.9777500000000002E-2</v>
      </c>
      <c r="H860" s="6">
        <f t="shared" si="120"/>
        <v>0</v>
      </c>
      <c r="I860" s="7">
        <f t="shared" si="121"/>
        <v>-536.61766218735795</v>
      </c>
      <c r="J860" s="8">
        <f t="shared" si="122"/>
        <v>49777.5</v>
      </c>
      <c r="K860" s="7">
        <f t="shared" si="123"/>
        <v>-50314.11766218736</v>
      </c>
      <c r="L860" s="4">
        <f>IF(A860&gt;'Yield Curve'!A1474,L859,(1+VLOOKUP(A860,'Yield Curve'!A853:B1475,2,FALSE))^(1/12)-1)</f>
        <v>7.9741404289037643E-3</v>
      </c>
      <c r="M860" s="5">
        <f t="shared" si="124"/>
        <v>-57.917420981262218</v>
      </c>
    </row>
    <row r="861" spans="1:13" x14ac:dyDescent="0.25">
      <c r="A861" s="4">
        <v>853</v>
      </c>
      <c r="B861" s="4">
        <f t="shared" si="117"/>
        <v>116</v>
      </c>
      <c r="C861" s="4">
        <f t="shared" si="118"/>
        <v>868</v>
      </c>
      <c r="D861" s="4">
        <f>IF(B861&gt;'Mortality Table'!$A$118,D860,VLOOKUP(B861,'Mortality Table'!$A$2:$B$118,2,FALSE))</f>
        <v>0.59733000000000003</v>
      </c>
      <c r="E861" s="4">
        <f>IF(INT((C861-1)/12)+1&gt;'Lapse Table'!$A$11,E860,VLOOKUP(INT((C861-1)/12)+1,'Lapse Table'!$A$2:$B$11,2,FALSE))/12</f>
        <v>0</v>
      </c>
      <c r="F861" s="5">
        <f t="shared" si="125"/>
        <v>-16.148307365620742</v>
      </c>
      <c r="G861" s="6">
        <f t="shared" si="119"/>
        <v>4.9777500000000002E-2</v>
      </c>
      <c r="H861" s="6">
        <f t="shared" si="120"/>
        <v>0</v>
      </c>
      <c r="I861" s="7">
        <f t="shared" si="121"/>
        <v>-538.27691218735811</v>
      </c>
      <c r="J861" s="8">
        <f t="shared" si="122"/>
        <v>49777.5</v>
      </c>
      <c r="K861" s="7">
        <f t="shared" si="123"/>
        <v>-50315.776912187357</v>
      </c>
      <c r="L861" s="4">
        <f>IF(A861&gt;'Yield Curve'!A1475,L860,(1+VLOOKUP(A861,'Yield Curve'!A854:B1476,2,FALSE))^(1/12)-1)</f>
        <v>7.9741404289037643E-3</v>
      </c>
      <c r="M861" s="5">
        <f t="shared" si="124"/>
        <v>-57.461127868814067</v>
      </c>
    </row>
    <row r="862" spans="1:13" x14ac:dyDescent="0.25">
      <c r="A862" s="4">
        <v>854</v>
      </c>
      <c r="B862" s="4">
        <f t="shared" si="117"/>
        <v>116</v>
      </c>
      <c r="C862" s="4">
        <f t="shared" si="118"/>
        <v>869</v>
      </c>
      <c r="D862" s="4">
        <f>IF(B862&gt;'Mortality Table'!$A$118,D861,VLOOKUP(B862,'Mortality Table'!$A$2:$B$118,2,FALSE))</f>
        <v>0.59733000000000003</v>
      </c>
      <c r="E862" s="4">
        <f>IF(INT((C862-1)/12)+1&gt;'Lapse Table'!$A$11,E861,VLOOKUP(INT((C862-1)/12)+1,'Lapse Table'!$A$2:$B$11,2,FALSE))/12</f>
        <v>0</v>
      </c>
      <c r="F862" s="5">
        <f t="shared" si="125"/>
        <v>-16.198084865620743</v>
      </c>
      <c r="G862" s="6">
        <f t="shared" si="119"/>
        <v>4.9777500000000002E-2</v>
      </c>
      <c r="H862" s="6">
        <f t="shared" si="120"/>
        <v>0</v>
      </c>
      <c r="I862" s="7">
        <f t="shared" si="121"/>
        <v>-539.93616218735804</v>
      </c>
      <c r="J862" s="8">
        <f t="shared" si="122"/>
        <v>49777.5</v>
      </c>
      <c r="K862" s="7">
        <f t="shared" si="123"/>
        <v>-50317.436162187361</v>
      </c>
      <c r="L862" s="4">
        <f>IF(A862&gt;'Yield Curve'!A1476,L861,(1+VLOOKUP(A862,'Yield Curve'!A855:B1477,2,FALSE))^(1/12)-1)</f>
        <v>7.9741404289037643E-3</v>
      </c>
      <c r="M862" s="5">
        <f t="shared" si="124"/>
        <v>-57.008429526477777</v>
      </c>
    </row>
    <row r="863" spans="1:13" x14ac:dyDescent="0.25">
      <c r="A863" s="4">
        <v>855</v>
      </c>
      <c r="B863" s="4">
        <f t="shared" si="117"/>
        <v>116</v>
      </c>
      <c r="C863" s="4">
        <f t="shared" si="118"/>
        <v>870</v>
      </c>
      <c r="D863" s="4">
        <f>IF(B863&gt;'Mortality Table'!$A$118,D862,VLOOKUP(B863,'Mortality Table'!$A$2:$B$118,2,FALSE))</f>
        <v>0.59733000000000003</v>
      </c>
      <c r="E863" s="4">
        <f>IF(INT((C863-1)/12)+1&gt;'Lapse Table'!$A$11,E862,VLOOKUP(INT((C863-1)/12)+1,'Lapse Table'!$A$2:$B$11,2,FALSE))/12</f>
        <v>0</v>
      </c>
      <c r="F863" s="5">
        <f t="shared" si="125"/>
        <v>-16.247862365620744</v>
      </c>
      <c r="G863" s="6">
        <f t="shared" si="119"/>
        <v>4.9777500000000002E-2</v>
      </c>
      <c r="H863" s="6">
        <f t="shared" si="120"/>
        <v>0</v>
      </c>
      <c r="I863" s="7">
        <f t="shared" si="121"/>
        <v>-541.59541218735819</v>
      </c>
      <c r="J863" s="8">
        <f t="shared" si="122"/>
        <v>49777.5</v>
      </c>
      <c r="K863" s="7">
        <f t="shared" si="123"/>
        <v>-50319.095412187358</v>
      </c>
      <c r="L863" s="4">
        <f>IF(A863&gt;'Yield Curve'!A1477,L862,(1+VLOOKUP(A863,'Yield Curve'!A856:B1478,2,FALSE))^(1/12)-1)</f>
        <v>7.9741404289037643E-3</v>
      </c>
      <c r="M863" s="5">
        <f t="shared" si="124"/>
        <v>-56.559297634414357</v>
      </c>
    </row>
    <row r="864" spans="1:13" x14ac:dyDescent="0.25">
      <c r="A864" s="4">
        <v>856</v>
      </c>
      <c r="B864" s="4">
        <f t="shared" si="117"/>
        <v>116</v>
      </c>
      <c r="C864" s="4">
        <f t="shared" si="118"/>
        <v>871</v>
      </c>
      <c r="D864" s="4">
        <f>IF(B864&gt;'Mortality Table'!$A$118,D863,VLOOKUP(B864,'Mortality Table'!$A$2:$B$118,2,FALSE))</f>
        <v>0.59733000000000003</v>
      </c>
      <c r="E864" s="4">
        <f>IF(INT((C864-1)/12)+1&gt;'Lapse Table'!$A$11,E863,VLOOKUP(INT((C864-1)/12)+1,'Lapse Table'!$A$2:$B$11,2,FALSE))/12</f>
        <v>0</v>
      </c>
      <c r="F864" s="5">
        <f t="shared" si="125"/>
        <v>-16.297639865620745</v>
      </c>
      <c r="G864" s="6">
        <f t="shared" si="119"/>
        <v>4.9777500000000002E-2</v>
      </c>
      <c r="H864" s="6">
        <f t="shared" si="120"/>
        <v>0</v>
      </c>
      <c r="I864" s="7">
        <f t="shared" si="121"/>
        <v>-543.25466218735812</v>
      </c>
      <c r="J864" s="8">
        <f t="shared" si="122"/>
        <v>49777.5</v>
      </c>
      <c r="K864" s="7">
        <f t="shared" si="123"/>
        <v>-50320.754662187355</v>
      </c>
      <c r="L864" s="4">
        <f>IF(A864&gt;'Yield Curve'!A1478,L863,(1+VLOOKUP(A864,'Yield Curve'!A857:B1479,2,FALSE))^(1/12)-1)</f>
        <v>7.9741404289037643E-3</v>
      </c>
      <c r="M864" s="5">
        <f t="shared" si="124"/>
        <v>-56.113704095886547</v>
      </c>
    </row>
    <row r="865" spans="1:13" x14ac:dyDescent="0.25">
      <c r="A865" s="4">
        <v>857</v>
      </c>
      <c r="B865" s="4">
        <f t="shared" si="117"/>
        <v>116</v>
      </c>
      <c r="C865" s="4">
        <f t="shared" si="118"/>
        <v>872</v>
      </c>
      <c r="D865" s="4">
        <f>IF(B865&gt;'Mortality Table'!$A$118,D864,VLOOKUP(B865,'Mortality Table'!$A$2:$B$118,2,FALSE))</f>
        <v>0.59733000000000003</v>
      </c>
      <c r="E865" s="4">
        <f>IF(INT((C865-1)/12)+1&gt;'Lapse Table'!$A$11,E864,VLOOKUP(INT((C865-1)/12)+1,'Lapse Table'!$A$2:$B$11,2,FALSE))/12</f>
        <v>0</v>
      </c>
      <c r="F865" s="5">
        <f t="shared" si="125"/>
        <v>-16.347417365620746</v>
      </c>
      <c r="G865" s="6">
        <f t="shared" si="119"/>
        <v>4.9777500000000002E-2</v>
      </c>
      <c r="H865" s="6">
        <f t="shared" si="120"/>
        <v>0</v>
      </c>
      <c r="I865" s="7">
        <f t="shared" si="121"/>
        <v>-544.91391218735828</v>
      </c>
      <c r="J865" s="8">
        <f t="shared" si="122"/>
        <v>49777.5</v>
      </c>
      <c r="K865" s="7">
        <f t="shared" si="123"/>
        <v>-50322.41391218736</v>
      </c>
      <c r="L865" s="4">
        <f>IF(A865&gt;'Yield Curve'!A1479,L864,(1+VLOOKUP(A865,'Yield Curve'!A858:B1480,2,FALSE))^(1/12)-1)</f>
        <v>7.9741404289037643E-3</v>
      </c>
      <c r="M865" s="5">
        <f t="shared" si="124"/>
        <v>-55.671621035501289</v>
      </c>
    </row>
    <row r="866" spans="1:13" x14ac:dyDescent="0.25">
      <c r="A866" s="4">
        <v>858</v>
      </c>
      <c r="B866" s="4">
        <f t="shared" si="117"/>
        <v>116</v>
      </c>
      <c r="C866" s="4">
        <f t="shared" si="118"/>
        <v>873</v>
      </c>
      <c r="D866" s="4">
        <f>IF(B866&gt;'Mortality Table'!$A$118,D865,VLOOKUP(B866,'Mortality Table'!$A$2:$B$118,2,FALSE))</f>
        <v>0.59733000000000003</v>
      </c>
      <c r="E866" s="4">
        <f>IF(INT((C866-1)/12)+1&gt;'Lapse Table'!$A$11,E865,VLOOKUP(INT((C866-1)/12)+1,'Lapse Table'!$A$2:$B$11,2,FALSE))/12</f>
        <v>0</v>
      </c>
      <c r="F866" s="5">
        <f t="shared" si="125"/>
        <v>-16.397194865620747</v>
      </c>
      <c r="G866" s="6">
        <f t="shared" si="119"/>
        <v>4.9777500000000002E-2</v>
      </c>
      <c r="H866" s="6">
        <f t="shared" si="120"/>
        <v>0</v>
      </c>
      <c r="I866" s="7">
        <f t="shared" si="121"/>
        <v>-546.57316218735821</v>
      </c>
      <c r="J866" s="8">
        <f t="shared" si="122"/>
        <v>49777.5</v>
      </c>
      <c r="K866" s="7">
        <f t="shared" si="123"/>
        <v>-50324.073162187357</v>
      </c>
      <c r="L866" s="4">
        <f>IF(A866&gt;'Yield Curve'!A1480,L865,(1+VLOOKUP(A866,'Yield Curve'!A859:B1481,2,FALSE))^(1/12)-1)</f>
        <v>7.9741404289037643E-3</v>
      </c>
      <c r="M866" s="5">
        <f t="shared" si="124"/>
        <v>-55.233020797465841</v>
      </c>
    </row>
    <row r="867" spans="1:13" x14ac:dyDescent="0.25">
      <c r="A867" s="4">
        <v>859</v>
      </c>
      <c r="B867" s="4">
        <f t="shared" si="117"/>
        <v>116</v>
      </c>
      <c r="C867" s="4">
        <f t="shared" si="118"/>
        <v>874</v>
      </c>
      <c r="D867" s="4">
        <f>IF(B867&gt;'Mortality Table'!$A$118,D866,VLOOKUP(B867,'Mortality Table'!$A$2:$B$118,2,FALSE))</f>
        <v>0.59733000000000003</v>
      </c>
      <c r="E867" s="4">
        <f>IF(INT((C867-1)/12)+1&gt;'Lapse Table'!$A$11,E866,VLOOKUP(INT((C867-1)/12)+1,'Lapse Table'!$A$2:$B$11,2,FALSE))/12</f>
        <v>0</v>
      </c>
      <c r="F867" s="5">
        <f t="shared" si="125"/>
        <v>-16.446972365620748</v>
      </c>
      <c r="G867" s="6">
        <f t="shared" si="119"/>
        <v>4.9777500000000002E-2</v>
      </c>
      <c r="H867" s="6">
        <f t="shared" si="120"/>
        <v>0</v>
      </c>
      <c r="I867" s="7">
        <f t="shared" si="121"/>
        <v>-548.23241218735825</v>
      </c>
      <c r="J867" s="8">
        <f t="shared" si="122"/>
        <v>49777.5</v>
      </c>
      <c r="K867" s="7">
        <f t="shared" si="123"/>
        <v>-50325.732412187361</v>
      </c>
      <c r="L867" s="4">
        <f>IF(A867&gt;'Yield Curve'!A1481,L866,(1+VLOOKUP(A867,'Yield Curve'!A860:B1482,2,FALSE))^(1/12)-1)</f>
        <v>7.9741404289037643E-3</v>
      </c>
      <c r="M867" s="5">
        <f t="shared" si="124"/>
        <v>-54.797875943857989</v>
      </c>
    </row>
    <row r="868" spans="1:13" x14ac:dyDescent="0.25">
      <c r="A868" s="4">
        <v>860</v>
      </c>
      <c r="B868" s="4">
        <f t="shared" si="117"/>
        <v>116</v>
      </c>
      <c r="C868" s="4">
        <f t="shared" si="118"/>
        <v>875</v>
      </c>
      <c r="D868" s="4">
        <f>IF(B868&gt;'Mortality Table'!$A$118,D867,VLOOKUP(B868,'Mortality Table'!$A$2:$B$118,2,FALSE))</f>
        <v>0.59733000000000003</v>
      </c>
      <c r="E868" s="4">
        <f>IF(INT((C868-1)/12)+1&gt;'Lapse Table'!$A$11,E867,VLOOKUP(INT((C868-1)/12)+1,'Lapse Table'!$A$2:$B$11,2,FALSE))/12</f>
        <v>0</v>
      </c>
      <c r="F868" s="5">
        <f t="shared" si="125"/>
        <v>-16.49674986562075</v>
      </c>
      <c r="G868" s="6">
        <f t="shared" si="119"/>
        <v>4.9777500000000002E-2</v>
      </c>
      <c r="H868" s="6">
        <f t="shared" si="120"/>
        <v>0</v>
      </c>
      <c r="I868" s="7">
        <f t="shared" si="121"/>
        <v>-549.89166218735829</v>
      </c>
      <c r="J868" s="8">
        <f t="shared" si="122"/>
        <v>49777.5</v>
      </c>
      <c r="K868" s="7">
        <f t="shared" si="123"/>
        <v>-50327.391662187358</v>
      </c>
      <c r="L868" s="4">
        <f>IF(A868&gt;'Yield Curve'!A1482,L867,(1+VLOOKUP(A868,'Yield Curve'!A861:B1483,2,FALSE))^(1/12)-1)</f>
        <v>7.9741404289037643E-3</v>
      </c>
      <c r="M868" s="5">
        <f t="shared" si="124"/>
        <v>-54.36615925290954</v>
      </c>
    </row>
    <row r="869" spans="1:13" x14ac:dyDescent="0.25">
      <c r="A869" s="4">
        <v>861</v>
      </c>
      <c r="B869" s="4">
        <f t="shared" si="117"/>
        <v>116</v>
      </c>
      <c r="C869" s="4">
        <f t="shared" si="118"/>
        <v>876</v>
      </c>
      <c r="D869" s="4">
        <f>IF(B869&gt;'Mortality Table'!$A$118,D868,VLOOKUP(B869,'Mortality Table'!$A$2:$B$118,2,FALSE))</f>
        <v>0.59733000000000003</v>
      </c>
      <c r="E869" s="4">
        <f>IF(INT((C869-1)/12)+1&gt;'Lapse Table'!$A$11,E868,VLOOKUP(INT((C869-1)/12)+1,'Lapse Table'!$A$2:$B$11,2,FALSE))/12</f>
        <v>0</v>
      </c>
      <c r="F869" s="5">
        <f t="shared" si="125"/>
        <v>-16.546527365620751</v>
      </c>
      <c r="G869" s="6">
        <f t="shared" si="119"/>
        <v>4.9777500000000002E-2</v>
      </c>
      <c r="H869" s="6">
        <f t="shared" si="120"/>
        <v>0</v>
      </c>
      <c r="I869" s="7">
        <f t="shared" si="121"/>
        <v>-551.55091218735834</v>
      </c>
      <c r="J869" s="8">
        <f t="shared" si="122"/>
        <v>49777.5</v>
      </c>
      <c r="K869" s="7">
        <f t="shared" si="123"/>
        <v>-50329.050912187362</v>
      </c>
      <c r="L869" s="4">
        <f>IF(A869&gt;'Yield Curve'!A1483,L868,(1+VLOOKUP(A869,'Yield Curve'!A862:B1484,2,FALSE))^(1/12)-1)</f>
        <v>7.9741404289037643E-3</v>
      </c>
      <c r="M869" s="5">
        <f t="shared" si="124"/>
        <v>-53.937843717303693</v>
      </c>
    </row>
    <row r="870" spans="1:13" x14ac:dyDescent="0.25">
      <c r="A870" s="4">
        <v>862</v>
      </c>
      <c r="B870" s="4">
        <f t="shared" si="117"/>
        <v>116</v>
      </c>
      <c r="C870" s="4">
        <f t="shared" si="118"/>
        <v>877</v>
      </c>
      <c r="D870" s="4">
        <f>IF(B870&gt;'Mortality Table'!$A$118,D869,VLOOKUP(B870,'Mortality Table'!$A$2:$B$118,2,FALSE))</f>
        <v>0.59733000000000003</v>
      </c>
      <c r="E870" s="4">
        <f>IF(INT((C870-1)/12)+1&gt;'Lapse Table'!$A$11,E869,VLOOKUP(INT((C870-1)/12)+1,'Lapse Table'!$A$2:$B$11,2,FALSE))/12</f>
        <v>0</v>
      </c>
      <c r="F870" s="5">
        <f t="shared" si="125"/>
        <v>-16.596304865620752</v>
      </c>
      <c r="G870" s="6">
        <f t="shared" si="119"/>
        <v>4.9777500000000002E-2</v>
      </c>
      <c r="H870" s="6">
        <f t="shared" si="120"/>
        <v>0</v>
      </c>
      <c r="I870" s="7">
        <f t="shared" si="121"/>
        <v>-553.21016218735838</v>
      </c>
      <c r="J870" s="8">
        <f t="shared" si="122"/>
        <v>49777.5</v>
      </c>
      <c r="K870" s="7">
        <f t="shared" si="123"/>
        <v>-50330.710162187359</v>
      </c>
      <c r="L870" s="4">
        <f>IF(A870&gt;'Yield Curve'!A1484,L869,(1+VLOOKUP(A870,'Yield Curve'!A863:B1485,2,FALSE))^(1/12)-1)</f>
        <v>7.9741404289037643E-3</v>
      </c>
      <c r="M870" s="5">
        <f t="shared" si="124"/>
        <v>-53.512902542485513</v>
      </c>
    </row>
    <row r="871" spans="1:13" x14ac:dyDescent="0.25">
      <c r="A871" s="4">
        <v>863</v>
      </c>
      <c r="B871" s="4">
        <f t="shared" si="117"/>
        <v>116</v>
      </c>
      <c r="C871" s="4">
        <f t="shared" si="118"/>
        <v>878</v>
      </c>
      <c r="D871" s="4">
        <f>IF(B871&gt;'Mortality Table'!$A$118,D870,VLOOKUP(B871,'Mortality Table'!$A$2:$B$118,2,FALSE))</f>
        <v>0.59733000000000003</v>
      </c>
      <c r="E871" s="4">
        <f>IF(INT((C871-1)/12)+1&gt;'Lapse Table'!$A$11,E870,VLOOKUP(INT((C871-1)/12)+1,'Lapse Table'!$A$2:$B$11,2,FALSE))/12</f>
        <v>0</v>
      </c>
      <c r="F871" s="5">
        <f t="shared" si="125"/>
        <v>-16.646082365620753</v>
      </c>
      <c r="G871" s="6">
        <f t="shared" si="119"/>
        <v>4.9777500000000002E-2</v>
      </c>
      <c r="H871" s="6">
        <f t="shared" si="120"/>
        <v>0</v>
      </c>
      <c r="I871" s="7">
        <f t="shared" si="121"/>
        <v>-554.86941218735842</v>
      </c>
      <c r="J871" s="8">
        <f t="shared" si="122"/>
        <v>49777.5</v>
      </c>
      <c r="K871" s="7">
        <f t="shared" si="123"/>
        <v>-50332.369412187356</v>
      </c>
      <c r="L871" s="4">
        <f>IF(A871&gt;'Yield Curve'!A1485,L870,(1+VLOOKUP(A871,'Yield Curve'!A864:B1486,2,FALSE))^(1/12)-1)</f>
        <v>7.9741404289037643E-3</v>
      </c>
      <c r="M871" s="5">
        <f t="shared" si="124"/>
        <v>-53.091309144985786</v>
      </c>
    </row>
    <row r="872" spans="1:13" x14ac:dyDescent="0.25">
      <c r="A872" s="4">
        <v>864</v>
      </c>
      <c r="B872" s="4">
        <f t="shared" si="117"/>
        <v>117</v>
      </c>
      <c r="C872" s="4">
        <f t="shared" si="118"/>
        <v>879</v>
      </c>
      <c r="D872" s="4">
        <f>IF(B872&gt;'Mortality Table'!$A$118,D871,VLOOKUP(B872,'Mortality Table'!$A$2:$B$118,2,FALSE))</f>
        <v>0.59733000000000003</v>
      </c>
      <c r="E872" s="4">
        <f>IF(INT((C872-1)/12)+1&gt;'Lapse Table'!$A$11,E871,VLOOKUP(INT((C872-1)/12)+1,'Lapse Table'!$A$2:$B$11,2,FALSE))/12</f>
        <v>0</v>
      </c>
      <c r="F872" s="5">
        <f t="shared" si="125"/>
        <v>-16.695859865620754</v>
      </c>
      <c r="G872" s="6">
        <f t="shared" si="119"/>
        <v>4.9777500000000002E-2</v>
      </c>
      <c r="H872" s="6">
        <f t="shared" si="120"/>
        <v>0</v>
      </c>
      <c r="I872" s="7">
        <f t="shared" si="121"/>
        <v>-556.52866218735846</v>
      </c>
      <c r="J872" s="8">
        <f t="shared" si="122"/>
        <v>49777.5</v>
      </c>
      <c r="K872" s="7">
        <f t="shared" si="123"/>
        <v>-50334.02866218736</v>
      </c>
      <c r="L872" s="4">
        <f>IF(A872&gt;'Yield Curve'!A1486,L871,(1+VLOOKUP(A872,'Yield Curve'!A865:B1487,2,FALSE))^(1/12)-1)</f>
        <v>7.9741404289037643E-3</v>
      </c>
      <c r="M872" s="5">
        <f t="shared" si="124"/>
        <v>-52.673037150758333</v>
      </c>
    </row>
    <row r="873" spans="1:13" x14ac:dyDescent="0.25">
      <c r="A873" s="4">
        <v>865</v>
      </c>
      <c r="B873" s="4">
        <f t="shared" si="117"/>
        <v>117</v>
      </c>
      <c r="C873" s="4">
        <f t="shared" si="118"/>
        <v>880</v>
      </c>
      <c r="D873" s="4">
        <f>IF(B873&gt;'Mortality Table'!$A$118,D872,VLOOKUP(B873,'Mortality Table'!$A$2:$B$118,2,FALSE))</f>
        <v>0.59733000000000003</v>
      </c>
      <c r="E873" s="4">
        <f>IF(INT((C873-1)/12)+1&gt;'Lapse Table'!$A$11,E872,VLOOKUP(INT((C873-1)/12)+1,'Lapse Table'!$A$2:$B$11,2,FALSE))/12</f>
        <v>0</v>
      </c>
      <c r="F873" s="5">
        <f t="shared" si="125"/>
        <v>-16.745637365620755</v>
      </c>
      <c r="G873" s="6">
        <f t="shared" si="119"/>
        <v>4.9777500000000002E-2</v>
      </c>
      <c r="H873" s="6">
        <f t="shared" si="120"/>
        <v>0</v>
      </c>
      <c r="I873" s="7">
        <f t="shared" si="121"/>
        <v>-558.18791218735851</v>
      </c>
      <c r="J873" s="8">
        <f t="shared" si="122"/>
        <v>49777.5</v>
      </c>
      <c r="K873" s="7">
        <f t="shared" si="123"/>
        <v>-50335.687912187357</v>
      </c>
      <c r="L873" s="4">
        <f>IF(A873&gt;'Yield Curve'!A1487,L872,(1+VLOOKUP(A873,'Yield Curve'!A866:B1488,2,FALSE))^(1/12)-1)</f>
        <v>7.9741404289037643E-3</v>
      </c>
      <c r="M873" s="5">
        <f t="shared" si="124"/>
        <v>-52.258060393529995</v>
      </c>
    </row>
    <row r="874" spans="1:13" x14ac:dyDescent="0.25">
      <c r="A874" s="4">
        <v>866</v>
      </c>
      <c r="B874" s="4">
        <f t="shared" si="117"/>
        <v>117</v>
      </c>
      <c r="C874" s="4">
        <f t="shared" si="118"/>
        <v>881</v>
      </c>
      <c r="D874" s="4">
        <f>IF(B874&gt;'Mortality Table'!$A$118,D873,VLOOKUP(B874,'Mortality Table'!$A$2:$B$118,2,FALSE))</f>
        <v>0.59733000000000003</v>
      </c>
      <c r="E874" s="4">
        <f>IF(INT((C874-1)/12)+1&gt;'Lapse Table'!$A$11,E873,VLOOKUP(INT((C874-1)/12)+1,'Lapse Table'!$A$2:$B$11,2,FALSE))/12</f>
        <v>0</v>
      </c>
      <c r="F874" s="5">
        <f t="shared" si="125"/>
        <v>-16.795414865620756</v>
      </c>
      <c r="G874" s="6">
        <f t="shared" si="119"/>
        <v>4.9777500000000002E-2</v>
      </c>
      <c r="H874" s="6">
        <f t="shared" si="120"/>
        <v>0</v>
      </c>
      <c r="I874" s="7">
        <f t="shared" si="121"/>
        <v>-559.84716218735855</v>
      </c>
      <c r="J874" s="8">
        <f t="shared" si="122"/>
        <v>49777.5</v>
      </c>
      <c r="K874" s="7">
        <f t="shared" si="123"/>
        <v>-50337.347162187361</v>
      </c>
      <c r="L874" s="4">
        <f>IF(A874&gt;'Yield Curve'!A1488,L873,(1+VLOOKUP(A874,'Yield Curve'!A867:B1489,2,FALSE))^(1/12)-1)</f>
        <v>7.9741404289037643E-3</v>
      </c>
      <c r="M874" s="5">
        <f t="shared" si="124"/>
        <v>-51.84635291316399</v>
      </c>
    </row>
    <row r="875" spans="1:13" x14ac:dyDescent="0.25">
      <c r="A875" s="4">
        <v>867</v>
      </c>
      <c r="B875" s="4">
        <f t="shared" si="117"/>
        <v>117</v>
      </c>
      <c r="C875" s="4">
        <f t="shared" si="118"/>
        <v>882</v>
      </c>
      <c r="D875" s="4">
        <f>IF(B875&gt;'Mortality Table'!$A$118,D874,VLOOKUP(B875,'Mortality Table'!$A$2:$B$118,2,FALSE))</f>
        <v>0.59733000000000003</v>
      </c>
      <c r="E875" s="4">
        <f>IF(INT((C875-1)/12)+1&gt;'Lapse Table'!$A$11,E874,VLOOKUP(INT((C875-1)/12)+1,'Lapse Table'!$A$2:$B$11,2,FALSE))/12</f>
        <v>0</v>
      </c>
      <c r="F875" s="5">
        <f t="shared" si="125"/>
        <v>-16.845192365620758</v>
      </c>
      <c r="G875" s="6">
        <f t="shared" si="119"/>
        <v>4.9777500000000002E-2</v>
      </c>
      <c r="H875" s="6">
        <f t="shared" si="120"/>
        <v>0</v>
      </c>
      <c r="I875" s="7">
        <f t="shared" si="121"/>
        <v>-561.50641218735859</v>
      </c>
      <c r="J875" s="8">
        <f t="shared" si="122"/>
        <v>49777.5</v>
      </c>
      <c r="K875" s="7">
        <f t="shared" si="123"/>
        <v>-50339.006412187358</v>
      </c>
      <c r="L875" s="4">
        <f>IF(A875&gt;'Yield Curve'!A1489,L874,(1+VLOOKUP(A875,'Yield Curve'!A868:B1490,2,FALSE))^(1/12)-1)</f>
        <v>7.9741404289037643E-3</v>
      </c>
      <c r="M875" s="5">
        <f t="shared" si="124"/>
        <v>-51.437888954035941</v>
      </c>
    </row>
    <row r="876" spans="1:13" x14ac:dyDescent="0.25">
      <c r="A876" s="4">
        <v>868</v>
      </c>
      <c r="B876" s="4">
        <f t="shared" si="117"/>
        <v>117</v>
      </c>
      <c r="C876" s="4">
        <f t="shared" si="118"/>
        <v>883</v>
      </c>
      <c r="D876" s="4">
        <f>IF(B876&gt;'Mortality Table'!$A$118,D875,VLOOKUP(B876,'Mortality Table'!$A$2:$B$118,2,FALSE))</f>
        <v>0.59733000000000003</v>
      </c>
      <c r="E876" s="4">
        <f>IF(INT((C876-1)/12)+1&gt;'Lapse Table'!$A$11,E875,VLOOKUP(INT((C876-1)/12)+1,'Lapse Table'!$A$2:$B$11,2,FALSE))/12</f>
        <v>0</v>
      </c>
      <c r="F876" s="5">
        <f t="shared" si="125"/>
        <v>-16.894969865620759</v>
      </c>
      <c r="G876" s="6">
        <f t="shared" si="119"/>
        <v>4.9777500000000002E-2</v>
      </c>
      <c r="H876" s="6">
        <f t="shared" si="120"/>
        <v>0</v>
      </c>
      <c r="I876" s="7">
        <f t="shared" si="121"/>
        <v>-563.16566218735863</v>
      </c>
      <c r="J876" s="8">
        <f t="shared" si="122"/>
        <v>49777.5</v>
      </c>
      <c r="K876" s="7">
        <f t="shared" si="123"/>
        <v>-50340.665662187355</v>
      </c>
      <c r="L876" s="4">
        <f>IF(A876&gt;'Yield Curve'!A1490,L875,(1+VLOOKUP(A876,'Yield Curve'!A869:B1491,2,FALSE))^(1/12)-1)</f>
        <v>7.9741404289037643E-3</v>
      </c>
      <c r="M876" s="5">
        <f t="shared" si="124"/>
        <v>-51.032642963422724</v>
      </c>
    </row>
    <row r="877" spans="1:13" x14ac:dyDescent="0.25">
      <c r="A877" s="4">
        <v>869</v>
      </c>
      <c r="B877" s="4">
        <f t="shared" si="117"/>
        <v>117</v>
      </c>
      <c r="C877" s="4">
        <f t="shared" si="118"/>
        <v>884</v>
      </c>
      <c r="D877" s="4">
        <f>IF(B877&gt;'Mortality Table'!$A$118,D876,VLOOKUP(B877,'Mortality Table'!$A$2:$B$118,2,FALSE))</f>
        <v>0.59733000000000003</v>
      </c>
      <c r="E877" s="4">
        <f>IF(INT((C877-1)/12)+1&gt;'Lapse Table'!$A$11,E876,VLOOKUP(INT((C877-1)/12)+1,'Lapse Table'!$A$2:$B$11,2,FALSE))/12</f>
        <v>0</v>
      </c>
      <c r="F877" s="5">
        <f t="shared" si="125"/>
        <v>-16.94474736562076</v>
      </c>
      <c r="G877" s="6">
        <f t="shared" si="119"/>
        <v>4.9777500000000002E-2</v>
      </c>
      <c r="H877" s="6">
        <f t="shared" si="120"/>
        <v>0</v>
      </c>
      <c r="I877" s="7">
        <f t="shared" si="121"/>
        <v>-564.82491218735868</v>
      </c>
      <c r="J877" s="8">
        <f t="shared" si="122"/>
        <v>49777.5</v>
      </c>
      <c r="K877" s="7">
        <f t="shared" si="123"/>
        <v>-50342.32491218736</v>
      </c>
      <c r="L877" s="4">
        <f>IF(A877&gt;'Yield Curve'!A1491,L876,(1+VLOOKUP(A877,'Yield Curve'!A870:B1492,2,FALSE))^(1/12)-1)</f>
        <v>7.9741404289037643E-3</v>
      </c>
      <c r="M877" s="5">
        <f t="shared" si="124"/>
        <v>-50.63058958990424</v>
      </c>
    </row>
    <row r="878" spans="1:13" x14ac:dyDescent="0.25">
      <c r="A878" s="4">
        <v>870</v>
      </c>
      <c r="B878" s="4">
        <f t="shared" si="117"/>
        <v>117</v>
      </c>
      <c r="C878" s="4">
        <f t="shared" si="118"/>
        <v>885</v>
      </c>
      <c r="D878" s="4">
        <f>IF(B878&gt;'Mortality Table'!$A$118,D877,VLOOKUP(B878,'Mortality Table'!$A$2:$B$118,2,FALSE))</f>
        <v>0.59733000000000003</v>
      </c>
      <c r="E878" s="4">
        <f>IF(INT((C878-1)/12)+1&gt;'Lapse Table'!$A$11,E877,VLOOKUP(INT((C878-1)/12)+1,'Lapse Table'!$A$2:$B$11,2,FALSE))/12</f>
        <v>0</v>
      </c>
      <c r="F878" s="5">
        <f t="shared" si="125"/>
        <v>-16.994524865620761</v>
      </c>
      <c r="G878" s="6">
        <f t="shared" si="119"/>
        <v>4.9777500000000002E-2</v>
      </c>
      <c r="H878" s="6">
        <f t="shared" si="120"/>
        <v>0</v>
      </c>
      <c r="I878" s="7">
        <f t="shared" si="121"/>
        <v>-566.48416218735872</v>
      </c>
      <c r="J878" s="8">
        <f t="shared" si="122"/>
        <v>49777.5</v>
      </c>
      <c r="K878" s="7">
        <f t="shared" si="123"/>
        <v>-50343.984162187357</v>
      </c>
      <c r="L878" s="4">
        <f>IF(A878&gt;'Yield Curve'!A1492,L877,(1+VLOOKUP(A878,'Yield Curve'!A871:B1493,2,FALSE))^(1/12)-1)</f>
        <v>7.9741404289037643E-3</v>
      </c>
      <c r="M878" s="5">
        <f t="shared" si="124"/>
        <v>-50.231703681777311</v>
      </c>
    </row>
    <row r="879" spans="1:13" x14ac:dyDescent="0.25">
      <c r="A879" s="4">
        <v>871</v>
      </c>
      <c r="B879" s="4">
        <f t="shared" si="117"/>
        <v>117</v>
      </c>
      <c r="C879" s="4">
        <f t="shared" si="118"/>
        <v>886</v>
      </c>
      <c r="D879" s="4">
        <f>IF(B879&gt;'Mortality Table'!$A$118,D878,VLOOKUP(B879,'Mortality Table'!$A$2:$B$118,2,FALSE))</f>
        <v>0.59733000000000003</v>
      </c>
      <c r="E879" s="4">
        <f>IF(INT((C879-1)/12)+1&gt;'Lapse Table'!$A$11,E878,VLOOKUP(INT((C879-1)/12)+1,'Lapse Table'!$A$2:$B$11,2,FALSE))/12</f>
        <v>0</v>
      </c>
      <c r="F879" s="5">
        <f t="shared" si="125"/>
        <v>-17.044302365620762</v>
      </c>
      <c r="G879" s="6">
        <f t="shared" si="119"/>
        <v>4.9777500000000002E-2</v>
      </c>
      <c r="H879" s="6">
        <f t="shared" si="120"/>
        <v>0</v>
      </c>
      <c r="I879" s="7">
        <f t="shared" si="121"/>
        <v>-568.14341218735876</v>
      </c>
      <c r="J879" s="8">
        <f t="shared" si="122"/>
        <v>49777.5</v>
      </c>
      <c r="K879" s="7">
        <f t="shared" si="123"/>
        <v>-50345.643412187361</v>
      </c>
      <c r="L879" s="4">
        <f>IF(A879&gt;'Yield Curve'!A1493,L878,(1+VLOOKUP(A879,'Yield Curve'!A872:B1494,2,FALSE))^(1/12)-1)</f>
        <v>7.9741404289037643E-3</v>
      </c>
      <c r="M879" s="5">
        <f t="shared" si="124"/>
        <v>-49.835960285482599</v>
      </c>
    </row>
    <row r="880" spans="1:13" x14ac:dyDescent="0.25">
      <c r="A880" s="4">
        <v>872</v>
      </c>
      <c r="B880" s="4">
        <f t="shared" si="117"/>
        <v>117</v>
      </c>
      <c r="C880" s="4">
        <f t="shared" si="118"/>
        <v>887</v>
      </c>
      <c r="D880" s="4">
        <f>IF(B880&gt;'Mortality Table'!$A$118,D879,VLOOKUP(B880,'Mortality Table'!$A$2:$B$118,2,FALSE))</f>
        <v>0.59733000000000003</v>
      </c>
      <c r="E880" s="4">
        <f>IF(INT((C880-1)/12)+1&gt;'Lapse Table'!$A$11,E879,VLOOKUP(INT((C880-1)/12)+1,'Lapse Table'!$A$2:$B$11,2,FALSE))/12</f>
        <v>0</v>
      </c>
      <c r="F880" s="5">
        <f t="shared" si="125"/>
        <v>-17.094079865620763</v>
      </c>
      <c r="G880" s="6">
        <f t="shared" si="119"/>
        <v>4.9777500000000002E-2</v>
      </c>
      <c r="H880" s="6">
        <f t="shared" si="120"/>
        <v>0</v>
      </c>
      <c r="I880" s="7">
        <f t="shared" si="121"/>
        <v>-569.80266218735881</v>
      </c>
      <c r="J880" s="8">
        <f t="shared" si="122"/>
        <v>49777.5</v>
      </c>
      <c r="K880" s="7">
        <f t="shared" si="123"/>
        <v>-50347.302662187358</v>
      </c>
      <c r="L880" s="4">
        <f>IF(A880&gt;'Yield Curve'!A1494,L879,(1+VLOOKUP(A880,'Yield Curve'!A873:B1495,2,FALSE))^(1/12)-1)</f>
        <v>7.9741404289037643E-3</v>
      </c>
      <c r="M880" s="5">
        <f t="shared" si="124"/>
        <v>-49.443334644043532</v>
      </c>
    </row>
    <row r="881" spans="1:13" x14ac:dyDescent="0.25">
      <c r="A881" s="4">
        <v>873</v>
      </c>
      <c r="B881" s="4">
        <f t="shared" si="117"/>
        <v>117</v>
      </c>
      <c r="C881" s="4">
        <f t="shared" si="118"/>
        <v>888</v>
      </c>
      <c r="D881" s="4">
        <f>IF(B881&gt;'Mortality Table'!$A$118,D880,VLOOKUP(B881,'Mortality Table'!$A$2:$B$118,2,FALSE))</f>
        <v>0.59733000000000003</v>
      </c>
      <c r="E881" s="4">
        <f>IF(INT((C881-1)/12)+1&gt;'Lapse Table'!$A$11,E880,VLOOKUP(INT((C881-1)/12)+1,'Lapse Table'!$A$2:$B$11,2,FALSE))/12</f>
        <v>0</v>
      </c>
      <c r="F881" s="5">
        <f t="shared" si="125"/>
        <v>-17.143857365620764</v>
      </c>
      <c r="G881" s="6">
        <f t="shared" si="119"/>
        <v>4.9777500000000002E-2</v>
      </c>
      <c r="H881" s="6">
        <f t="shared" si="120"/>
        <v>0</v>
      </c>
      <c r="I881" s="7">
        <f t="shared" si="121"/>
        <v>-571.46191218735885</v>
      </c>
      <c r="J881" s="8">
        <f t="shared" si="122"/>
        <v>49777.5</v>
      </c>
      <c r="K881" s="7">
        <f t="shared" si="123"/>
        <v>-50348.961912187362</v>
      </c>
      <c r="L881" s="4">
        <f>IF(A881&gt;'Yield Curve'!A1495,L880,(1+VLOOKUP(A881,'Yield Curve'!A874:B1496,2,FALSE))^(1/12)-1)</f>
        <v>7.9741404289037643E-3</v>
      </c>
      <c r="M881" s="5">
        <f t="shared" si="124"/>
        <v>-49.053802195517726</v>
      </c>
    </row>
    <row r="882" spans="1:13" x14ac:dyDescent="0.25">
      <c r="A882" s="4">
        <v>874</v>
      </c>
      <c r="B882" s="4">
        <f t="shared" si="117"/>
        <v>117</v>
      </c>
      <c r="C882" s="4">
        <f t="shared" si="118"/>
        <v>889</v>
      </c>
      <c r="D882" s="4">
        <f>IF(B882&gt;'Mortality Table'!$A$118,D881,VLOOKUP(B882,'Mortality Table'!$A$2:$B$118,2,FALSE))</f>
        <v>0.59733000000000003</v>
      </c>
      <c r="E882" s="4">
        <f>IF(INT((C882-1)/12)+1&gt;'Lapse Table'!$A$11,E881,VLOOKUP(INT((C882-1)/12)+1,'Lapse Table'!$A$2:$B$11,2,FALSE))/12</f>
        <v>0</v>
      </c>
      <c r="F882" s="5">
        <f t="shared" si="125"/>
        <v>-17.193634865620766</v>
      </c>
      <c r="G882" s="6">
        <f t="shared" si="119"/>
        <v>4.9777500000000002E-2</v>
      </c>
      <c r="H882" s="6">
        <f t="shared" si="120"/>
        <v>0</v>
      </c>
      <c r="I882" s="7">
        <f t="shared" si="121"/>
        <v>-573.12116218735889</v>
      </c>
      <c r="J882" s="8">
        <f t="shared" si="122"/>
        <v>49777.5</v>
      </c>
      <c r="K882" s="7">
        <f t="shared" si="123"/>
        <v>-50350.621162187359</v>
      </c>
      <c r="L882" s="4">
        <f>IF(A882&gt;'Yield Curve'!A1496,L881,(1+VLOOKUP(A882,'Yield Curve'!A875:B1497,2,FALSE))^(1/12)-1)</f>
        <v>7.9741404289037643E-3</v>
      </c>
      <c r="M882" s="5">
        <f t="shared" si="124"/>
        <v>-48.667338571460434</v>
      </c>
    </row>
    <row r="883" spans="1:13" x14ac:dyDescent="0.25">
      <c r="A883" s="4">
        <v>875</v>
      </c>
      <c r="B883" s="4">
        <f t="shared" si="117"/>
        <v>117</v>
      </c>
      <c r="C883" s="4">
        <f t="shared" si="118"/>
        <v>890</v>
      </c>
      <c r="D883" s="4">
        <f>IF(B883&gt;'Mortality Table'!$A$118,D882,VLOOKUP(B883,'Mortality Table'!$A$2:$B$118,2,FALSE))</f>
        <v>0.59733000000000003</v>
      </c>
      <c r="E883" s="4">
        <f>IF(INT((C883-1)/12)+1&gt;'Lapse Table'!$A$11,E882,VLOOKUP(INT((C883-1)/12)+1,'Lapse Table'!$A$2:$B$11,2,FALSE))/12</f>
        <v>0</v>
      </c>
      <c r="F883" s="5">
        <f t="shared" si="125"/>
        <v>-17.243412365620767</v>
      </c>
      <c r="G883" s="6">
        <f t="shared" si="119"/>
        <v>4.9777500000000002E-2</v>
      </c>
      <c r="H883" s="6">
        <f t="shared" si="120"/>
        <v>0</v>
      </c>
      <c r="I883" s="7">
        <f t="shared" si="121"/>
        <v>-574.78041218735882</v>
      </c>
      <c r="J883" s="8">
        <f t="shared" si="122"/>
        <v>49777.5</v>
      </c>
      <c r="K883" s="7">
        <f t="shared" si="123"/>
        <v>-50352.280412187356</v>
      </c>
      <c r="L883" s="4">
        <f>IF(A883&gt;'Yield Curve'!A1497,L882,(1+VLOOKUP(A883,'Yield Curve'!A876:B1498,2,FALSE))^(1/12)-1)</f>
        <v>7.9741404289037643E-3</v>
      </c>
      <c r="M883" s="5">
        <f t="shared" si="124"/>
        <v>-48.28391959540042</v>
      </c>
    </row>
    <row r="884" spans="1:13" x14ac:dyDescent="0.25">
      <c r="A884" s="4">
        <v>876</v>
      </c>
      <c r="B884" s="4">
        <f t="shared" si="117"/>
        <v>118</v>
      </c>
      <c r="C884" s="4">
        <f t="shared" si="118"/>
        <v>891</v>
      </c>
      <c r="D884" s="4">
        <f>IF(B884&gt;'Mortality Table'!$A$118,D883,VLOOKUP(B884,'Mortality Table'!$A$2:$B$118,2,FALSE))</f>
        <v>0.59733000000000003</v>
      </c>
      <c r="E884" s="4">
        <f>IF(INT((C884-1)/12)+1&gt;'Lapse Table'!$A$11,E883,VLOOKUP(INT((C884-1)/12)+1,'Lapse Table'!$A$2:$B$11,2,FALSE))/12</f>
        <v>0</v>
      </c>
      <c r="F884" s="5">
        <f t="shared" si="125"/>
        <v>-17.293189865620768</v>
      </c>
      <c r="G884" s="6">
        <f t="shared" si="119"/>
        <v>4.9777500000000002E-2</v>
      </c>
      <c r="H884" s="6">
        <f t="shared" si="120"/>
        <v>0</v>
      </c>
      <c r="I884" s="7">
        <f t="shared" si="121"/>
        <v>-576.43966218735898</v>
      </c>
      <c r="J884" s="8">
        <f t="shared" si="122"/>
        <v>49777.5</v>
      </c>
      <c r="K884" s="7">
        <f t="shared" si="123"/>
        <v>-50353.93966218736</v>
      </c>
      <c r="L884" s="4">
        <f>IF(A884&gt;'Yield Curve'!A1498,L883,(1+VLOOKUP(A884,'Yield Curve'!A877:B1499,2,FALSE))^(1/12)-1)</f>
        <v>7.9741404289037643E-3</v>
      </c>
      <c r="M884" s="5">
        <f t="shared" si="124"/>
        <v>-47.903521281327357</v>
      </c>
    </row>
    <row r="885" spans="1:13" x14ac:dyDescent="0.25">
      <c r="A885" s="4">
        <v>877</v>
      </c>
      <c r="B885" s="4">
        <f t="shared" si="117"/>
        <v>118</v>
      </c>
      <c r="C885" s="4">
        <f t="shared" si="118"/>
        <v>892</v>
      </c>
      <c r="D885" s="4">
        <f>IF(B885&gt;'Mortality Table'!$A$118,D884,VLOOKUP(B885,'Mortality Table'!$A$2:$B$118,2,FALSE))</f>
        <v>0.59733000000000003</v>
      </c>
      <c r="E885" s="4">
        <f>IF(INT((C885-1)/12)+1&gt;'Lapse Table'!$A$11,E884,VLOOKUP(INT((C885-1)/12)+1,'Lapse Table'!$A$2:$B$11,2,FALSE))/12</f>
        <v>0</v>
      </c>
      <c r="F885" s="5">
        <f t="shared" si="125"/>
        <v>-17.342967365620769</v>
      </c>
      <c r="G885" s="6">
        <f t="shared" si="119"/>
        <v>4.9777500000000002E-2</v>
      </c>
      <c r="H885" s="6">
        <f t="shared" si="120"/>
        <v>0</v>
      </c>
      <c r="I885" s="7">
        <f t="shared" si="121"/>
        <v>-578.09891218735891</v>
      </c>
      <c r="J885" s="8">
        <f t="shared" si="122"/>
        <v>49777.5</v>
      </c>
      <c r="K885" s="7">
        <f t="shared" si="123"/>
        <v>-50355.598912187357</v>
      </c>
      <c r="L885" s="4">
        <f>IF(A885&gt;'Yield Curve'!A1499,L884,(1+VLOOKUP(A885,'Yield Curve'!A878:B1500,2,FALSE))^(1/12)-1)</f>
        <v>7.9741404289037643E-3</v>
      </c>
      <c r="M885" s="5">
        <f t="shared" si="124"/>
        <v>-47.526119832191668</v>
      </c>
    </row>
    <row r="886" spans="1:13" x14ac:dyDescent="0.25">
      <c r="A886" s="4">
        <v>878</v>
      </c>
      <c r="B886" s="4">
        <f t="shared" si="117"/>
        <v>118</v>
      </c>
      <c r="C886" s="4">
        <f t="shared" si="118"/>
        <v>893</v>
      </c>
      <c r="D886" s="4">
        <f>IF(B886&gt;'Mortality Table'!$A$118,D885,VLOOKUP(B886,'Mortality Table'!$A$2:$B$118,2,FALSE))</f>
        <v>0.59733000000000003</v>
      </c>
      <c r="E886" s="4">
        <f>IF(INT((C886-1)/12)+1&gt;'Lapse Table'!$A$11,E885,VLOOKUP(INT((C886-1)/12)+1,'Lapse Table'!$A$2:$B$11,2,FALSE))/12</f>
        <v>0</v>
      </c>
      <c r="F886" s="5">
        <f t="shared" si="125"/>
        <v>-17.39274486562077</v>
      </c>
      <c r="G886" s="6">
        <f t="shared" si="119"/>
        <v>4.9777500000000002E-2</v>
      </c>
      <c r="H886" s="6">
        <f t="shared" si="120"/>
        <v>0</v>
      </c>
      <c r="I886" s="7">
        <f t="shared" si="121"/>
        <v>-579.75816218735906</v>
      </c>
      <c r="J886" s="8">
        <f t="shared" si="122"/>
        <v>49777.5</v>
      </c>
      <c r="K886" s="7">
        <f t="shared" si="123"/>
        <v>-50357.258162187361</v>
      </c>
      <c r="L886" s="4">
        <f>IF(A886&gt;'Yield Curve'!A1500,L885,(1+VLOOKUP(A886,'Yield Curve'!A879:B1501,2,FALSE))^(1/12)-1)</f>
        <v>7.9741404289037643E-3</v>
      </c>
      <c r="M886" s="5">
        <f t="shared" si="124"/>
        <v>-47.151691638415748</v>
      </c>
    </row>
    <row r="887" spans="1:13" x14ac:dyDescent="0.25">
      <c r="A887" s="4">
        <v>879</v>
      </c>
      <c r="B887" s="4">
        <f t="shared" si="117"/>
        <v>118</v>
      </c>
      <c r="C887" s="4">
        <f t="shared" si="118"/>
        <v>894</v>
      </c>
      <c r="D887" s="4">
        <f>IF(B887&gt;'Mortality Table'!$A$118,D886,VLOOKUP(B887,'Mortality Table'!$A$2:$B$118,2,FALSE))</f>
        <v>0.59733000000000003</v>
      </c>
      <c r="E887" s="4">
        <f>IF(INT((C887-1)/12)+1&gt;'Lapse Table'!$A$11,E886,VLOOKUP(INT((C887-1)/12)+1,'Lapse Table'!$A$2:$B$11,2,FALSE))/12</f>
        <v>0</v>
      </c>
      <c r="F887" s="5">
        <f t="shared" si="125"/>
        <v>-17.442522365620771</v>
      </c>
      <c r="G887" s="6">
        <f t="shared" si="119"/>
        <v>4.9777500000000002E-2</v>
      </c>
      <c r="H887" s="6">
        <f t="shared" si="120"/>
        <v>0</v>
      </c>
      <c r="I887" s="7">
        <f t="shared" si="121"/>
        <v>-581.41741218735899</v>
      </c>
      <c r="J887" s="8">
        <f t="shared" si="122"/>
        <v>49777.5</v>
      </c>
      <c r="K887" s="7">
        <f t="shared" si="123"/>
        <v>-50358.917412187358</v>
      </c>
      <c r="L887" s="4">
        <f>IF(A887&gt;'Yield Curve'!A1501,L886,(1+VLOOKUP(A887,'Yield Curve'!A880:B1502,2,FALSE))^(1/12)-1)</f>
        <v>7.9741404289037643E-3</v>
      </c>
      <c r="M887" s="5">
        <f t="shared" si="124"/>
        <v>-46.780213276417129</v>
      </c>
    </row>
    <row r="888" spans="1:13" x14ac:dyDescent="0.25">
      <c r="A888" s="4">
        <v>880</v>
      </c>
      <c r="B888" s="4">
        <f t="shared" si="117"/>
        <v>118</v>
      </c>
      <c r="C888" s="4">
        <f t="shared" si="118"/>
        <v>895</v>
      </c>
      <c r="D888" s="4">
        <f>IF(B888&gt;'Mortality Table'!$A$118,D887,VLOOKUP(B888,'Mortality Table'!$A$2:$B$118,2,FALSE))</f>
        <v>0.59733000000000003</v>
      </c>
      <c r="E888" s="4">
        <f>IF(INT((C888-1)/12)+1&gt;'Lapse Table'!$A$11,E887,VLOOKUP(INT((C888-1)/12)+1,'Lapse Table'!$A$2:$B$11,2,FALSE))/12</f>
        <v>0</v>
      </c>
      <c r="F888" s="5">
        <f t="shared" si="125"/>
        <v>-17.492299865620772</v>
      </c>
      <c r="G888" s="6">
        <f t="shared" si="119"/>
        <v>4.9777500000000002E-2</v>
      </c>
      <c r="H888" s="6">
        <f t="shared" si="120"/>
        <v>0</v>
      </c>
      <c r="I888" s="7">
        <f t="shared" si="121"/>
        <v>-583.07666218735915</v>
      </c>
      <c r="J888" s="8">
        <f t="shared" si="122"/>
        <v>49777.5</v>
      </c>
      <c r="K888" s="7">
        <f t="shared" si="123"/>
        <v>-50360.576662187363</v>
      </c>
      <c r="L888" s="4">
        <f>IF(A888&gt;'Yield Curve'!A1502,L887,(1+VLOOKUP(A888,'Yield Curve'!A881:B1503,2,FALSE))^(1/12)-1)</f>
        <v>7.9741404289037643E-3</v>
      </c>
      <c r="M888" s="5">
        <f t="shared" si="124"/>
        <v>-46.411661507143364</v>
      </c>
    </row>
    <row r="889" spans="1:13" x14ac:dyDescent="0.25">
      <c r="A889" s="4">
        <v>881</v>
      </c>
      <c r="B889" s="4">
        <f t="shared" si="117"/>
        <v>118</v>
      </c>
      <c r="C889" s="4">
        <f t="shared" si="118"/>
        <v>896</v>
      </c>
      <c r="D889" s="4">
        <f>IF(B889&gt;'Mortality Table'!$A$118,D888,VLOOKUP(B889,'Mortality Table'!$A$2:$B$118,2,FALSE))</f>
        <v>0.59733000000000003</v>
      </c>
      <c r="E889" s="4">
        <f>IF(INT((C889-1)/12)+1&gt;'Lapse Table'!$A$11,E888,VLOOKUP(INT((C889-1)/12)+1,'Lapse Table'!$A$2:$B$11,2,FALSE))/12</f>
        <v>0</v>
      </c>
      <c r="F889" s="5">
        <f t="shared" si="125"/>
        <v>-17.542077365620774</v>
      </c>
      <c r="G889" s="6">
        <f t="shared" si="119"/>
        <v>4.9777500000000002E-2</v>
      </c>
      <c r="H889" s="6">
        <f t="shared" si="120"/>
        <v>0</v>
      </c>
      <c r="I889" s="7">
        <f t="shared" si="121"/>
        <v>-584.73591218735908</v>
      </c>
      <c r="J889" s="8">
        <f t="shared" si="122"/>
        <v>49777.5</v>
      </c>
      <c r="K889" s="7">
        <f t="shared" si="123"/>
        <v>-50362.23591218736</v>
      </c>
      <c r="L889" s="4">
        <f>IF(A889&gt;'Yield Curve'!A1503,L888,(1+VLOOKUP(A889,'Yield Curve'!A882:B1504,2,FALSE))^(1/12)-1)</f>
        <v>7.9741404289037643E-3</v>
      </c>
      <c r="M889" s="5">
        <f t="shared" si="124"/>
        <v>-46.046013274618183</v>
      </c>
    </row>
    <row r="890" spans="1:13" x14ac:dyDescent="0.25">
      <c r="A890" s="4">
        <v>882</v>
      </c>
      <c r="B890" s="4">
        <f t="shared" si="117"/>
        <v>118</v>
      </c>
      <c r="C890" s="4">
        <f t="shared" si="118"/>
        <v>897</v>
      </c>
      <c r="D890" s="4">
        <f>IF(B890&gt;'Mortality Table'!$A$118,D889,VLOOKUP(B890,'Mortality Table'!$A$2:$B$118,2,FALSE))</f>
        <v>0.59733000000000003</v>
      </c>
      <c r="E890" s="4">
        <f>IF(INT((C890-1)/12)+1&gt;'Lapse Table'!$A$11,E889,VLOOKUP(INT((C890-1)/12)+1,'Lapse Table'!$A$2:$B$11,2,FALSE))/12</f>
        <v>0</v>
      </c>
      <c r="F890" s="5">
        <f t="shared" si="125"/>
        <v>-17.591854865620775</v>
      </c>
      <c r="G890" s="6">
        <f t="shared" si="119"/>
        <v>4.9777500000000002E-2</v>
      </c>
      <c r="H890" s="6">
        <f t="shared" si="120"/>
        <v>0</v>
      </c>
      <c r="I890" s="7">
        <f t="shared" si="121"/>
        <v>-586.39516218735923</v>
      </c>
      <c r="J890" s="8">
        <f t="shared" si="122"/>
        <v>49777.5</v>
      </c>
      <c r="K890" s="7">
        <f t="shared" si="123"/>
        <v>-50363.895162187357</v>
      </c>
      <c r="L890" s="4">
        <f>IF(A890&gt;'Yield Curve'!A1504,L889,(1+VLOOKUP(A890,'Yield Curve'!A883:B1505,2,FALSE))^(1/12)-1)</f>
        <v>7.9741404289037643E-3</v>
      </c>
      <c r="M890" s="5">
        <f t="shared" si="124"/>
        <v>-45.683245704499349</v>
      </c>
    </row>
    <row r="891" spans="1:13" x14ac:dyDescent="0.25">
      <c r="A891" s="4">
        <v>883</v>
      </c>
      <c r="B891" s="4">
        <f t="shared" si="117"/>
        <v>118</v>
      </c>
      <c r="C891" s="4">
        <f t="shared" si="118"/>
        <v>898</v>
      </c>
      <c r="D891" s="4">
        <f>IF(B891&gt;'Mortality Table'!$A$118,D890,VLOOKUP(B891,'Mortality Table'!$A$2:$B$118,2,FALSE))</f>
        <v>0.59733000000000003</v>
      </c>
      <c r="E891" s="4">
        <f>IF(INT((C891-1)/12)+1&gt;'Lapse Table'!$A$11,E890,VLOOKUP(INT((C891-1)/12)+1,'Lapse Table'!$A$2:$B$11,2,FALSE))/12</f>
        <v>0</v>
      </c>
      <c r="F891" s="5">
        <f t="shared" si="125"/>
        <v>-17.641632365620776</v>
      </c>
      <c r="G891" s="6">
        <f t="shared" si="119"/>
        <v>4.9777500000000002E-2</v>
      </c>
      <c r="H891" s="6">
        <f t="shared" si="120"/>
        <v>0</v>
      </c>
      <c r="I891" s="7">
        <f t="shared" si="121"/>
        <v>-588.05441218735916</v>
      </c>
      <c r="J891" s="8">
        <f t="shared" si="122"/>
        <v>49777.5</v>
      </c>
      <c r="K891" s="7">
        <f t="shared" si="123"/>
        <v>-50365.554412187361</v>
      </c>
      <c r="L891" s="4">
        <f>IF(A891&gt;'Yield Curve'!A1505,L890,(1+VLOOKUP(A891,'Yield Curve'!A884:B1506,2,FALSE))^(1/12)-1)</f>
        <v>7.9741404289037643E-3</v>
      </c>
      <c r="M891" s="5">
        <f t="shared" si="124"/>
        <v>-45.323336102647708</v>
      </c>
    </row>
    <row r="892" spans="1:13" x14ac:dyDescent="0.25">
      <c r="A892" s="4">
        <v>884</v>
      </c>
      <c r="B892" s="4">
        <f t="shared" si="117"/>
        <v>118</v>
      </c>
      <c r="C892" s="4">
        <f t="shared" si="118"/>
        <v>899</v>
      </c>
      <c r="D892" s="4">
        <f>IF(B892&gt;'Mortality Table'!$A$118,D891,VLOOKUP(B892,'Mortality Table'!$A$2:$B$118,2,FALSE))</f>
        <v>0.59733000000000003</v>
      </c>
      <c r="E892" s="4">
        <f>IF(INT((C892-1)/12)+1&gt;'Lapse Table'!$A$11,E891,VLOOKUP(INT((C892-1)/12)+1,'Lapse Table'!$A$2:$B$11,2,FALSE))/12</f>
        <v>0</v>
      </c>
      <c r="F892" s="5">
        <f t="shared" si="125"/>
        <v>-17.691409865620777</v>
      </c>
      <c r="G892" s="6">
        <f t="shared" si="119"/>
        <v>4.9777500000000002E-2</v>
      </c>
      <c r="H892" s="6">
        <f t="shared" si="120"/>
        <v>0</v>
      </c>
      <c r="I892" s="7">
        <f t="shared" si="121"/>
        <v>-589.7136621873592</v>
      </c>
      <c r="J892" s="8">
        <f t="shared" si="122"/>
        <v>49777.5</v>
      </c>
      <c r="K892" s="7">
        <f t="shared" si="123"/>
        <v>-50367.213662187358</v>
      </c>
      <c r="L892" s="4">
        <f>IF(A892&gt;'Yield Curve'!A1506,L891,(1+VLOOKUP(A892,'Yield Curve'!A885:B1507,2,FALSE))^(1/12)-1)</f>
        <v>7.9741404289037643E-3</v>
      </c>
      <c r="M892" s="5">
        <f t="shared" si="124"/>
        <v>-44.966261953707637</v>
      </c>
    </row>
    <row r="893" spans="1:13" x14ac:dyDescent="0.25">
      <c r="A893" s="4">
        <v>885</v>
      </c>
      <c r="B893" s="4">
        <f t="shared" si="117"/>
        <v>118</v>
      </c>
      <c r="C893" s="4">
        <f t="shared" si="118"/>
        <v>900</v>
      </c>
      <c r="D893" s="4">
        <f>IF(B893&gt;'Mortality Table'!$A$118,D892,VLOOKUP(B893,'Mortality Table'!$A$2:$B$118,2,FALSE))</f>
        <v>0.59733000000000003</v>
      </c>
      <c r="E893" s="4">
        <f>IF(INT((C893-1)/12)+1&gt;'Lapse Table'!$A$11,E892,VLOOKUP(INT((C893-1)/12)+1,'Lapse Table'!$A$2:$B$11,2,FALSE))/12</f>
        <v>0</v>
      </c>
      <c r="F893" s="5">
        <f t="shared" si="125"/>
        <v>-17.741187365620778</v>
      </c>
      <c r="G893" s="6">
        <f t="shared" si="119"/>
        <v>4.9777500000000002E-2</v>
      </c>
      <c r="H893" s="6">
        <f t="shared" si="120"/>
        <v>0</v>
      </c>
      <c r="I893" s="7">
        <f t="shared" si="121"/>
        <v>-591.37291218735925</v>
      </c>
      <c r="J893" s="8">
        <f t="shared" si="122"/>
        <v>49777.5</v>
      </c>
      <c r="K893" s="7">
        <f t="shared" si="123"/>
        <v>-50368.872912187362</v>
      </c>
      <c r="L893" s="4">
        <f>IF(A893&gt;'Yield Curve'!A1507,L892,(1+VLOOKUP(A893,'Yield Curve'!A886:B1508,2,FALSE))^(1/12)-1)</f>
        <v>7.9741404289037643E-3</v>
      </c>
      <c r="M893" s="5">
        <f t="shared" si="124"/>
        <v>-44.612000919698573</v>
      </c>
    </row>
    <row r="894" spans="1:13" x14ac:dyDescent="0.25">
      <c r="A894" s="4">
        <v>886</v>
      </c>
      <c r="B894" s="4">
        <f t="shared" si="117"/>
        <v>118</v>
      </c>
      <c r="C894" s="4">
        <f t="shared" si="118"/>
        <v>901</v>
      </c>
      <c r="D894" s="4">
        <f>IF(B894&gt;'Mortality Table'!$A$118,D893,VLOOKUP(B894,'Mortality Table'!$A$2:$B$118,2,FALSE))</f>
        <v>0.59733000000000003</v>
      </c>
      <c r="E894" s="4">
        <f>IF(INT((C894-1)/12)+1&gt;'Lapse Table'!$A$11,E893,VLOOKUP(INT((C894-1)/12)+1,'Lapse Table'!$A$2:$B$11,2,FALSE))/12</f>
        <v>0</v>
      </c>
      <c r="F894" s="5">
        <f t="shared" si="125"/>
        <v>-17.790964865620779</v>
      </c>
      <c r="G894" s="6">
        <f t="shared" si="119"/>
        <v>4.9777500000000002E-2</v>
      </c>
      <c r="H894" s="6">
        <f t="shared" si="120"/>
        <v>0</v>
      </c>
      <c r="I894" s="7">
        <f t="shared" si="121"/>
        <v>-593.03216218735929</v>
      </c>
      <c r="J894" s="8">
        <f t="shared" si="122"/>
        <v>49777.5</v>
      </c>
      <c r="K894" s="7">
        <f t="shared" si="123"/>
        <v>-50370.532162187359</v>
      </c>
      <c r="L894" s="4">
        <f>IF(A894&gt;'Yield Curve'!A1508,L893,(1+VLOOKUP(A894,'Yield Curve'!A887:B1509,2,FALSE))^(1/12)-1)</f>
        <v>7.9741404289037643E-3</v>
      </c>
      <c r="M894" s="5">
        <f t="shared" si="124"/>
        <v>-44.260530838617761</v>
      </c>
    </row>
    <row r="895" spans="1:13" x14ac:dyDescent="0.25">
      <c r="A895" s="4">
        <v>887</v>
      </c>
      <c r="B895" s="4">
        <f t="shared" si="117"/>
        <v>118</v>
      </c>
      <c r="C895" s="4">
        <f t="shared" si="118"/>
        <v>902</v>
      </c>
      <c r="D895" s="4">
        <f>IF(B895&gt;'Mortality Table'!$A$118,D894,VLOOKUP(B895,'Mortality Table'!$A$2:$B$118,2,FALSE))</f>
        <v>0.59733000000000003</v>
      </c>
      <c r="E895" s="4">
        <f>IF(INT((C895-1)/12)+1&gt;'Lapse Table'!$A$11,E894,VLOOKUP(INT((C895-1)/12)+1,'Lapse Table'!$A$2:$B$11,2,FALSE))/12</f>
        <v>0</v>
      </c>
      <c r="F895" s="5">
        <f t="shared" si="125"/>
        <v>-17.84074236562078</v>
      </c>
      <c r="G895" s="6">
        <f t="shared" si="119"/>
        <v>4.9777500000000002E-2</v>
      </c>
      <c r="H895" s="6">
        <f t="shared" si="120"/>
        <v>0</v>
      </c>
      <c r="I895" s="7">
        <f t="shared" si="121"/>
        <v>-594.69141218735933</v>
      </c>
      <c r="J895" s="8">
        <f t="shared" si="122"/>
        <v>49777.5</v>
      </c>
      <c r="K895" s="7">
        <f t="shared" si="123"/>
        <v>-50372.191412187356</v>
      </c>
      <c r="L895" s="4">
        <f>IF(A895&gt;'Yield Curve'!A1509,L894,(1+VLOOKUP(A895,'Yield Curve'!A888:B1510,2,FALSE))^(1/12)-1)</f>
        <v>7.9741404289037643E-3</v>
      </c>
      <c r="M895" s="5">
        <f t="shared" si="124"/>
        <v>-43.911829723053827</v>
      </c>
    </row>
    <row r="896" spans="1:13" x14ac:dyDescent="0.25">
      <c r="A896" s="4">
        <v>888</v>
      </c>
      <c r="B896" s="4">
        <f t="shared" si="117"/>
        <v>119</v>
      </c>
      <c r="C896" s="4">
        <f t="shared" si="118"/>
        <v>903</v>
      </c>
      <c r="D896" s="4">
        <f>IF(B896&gt;'Mortality Table'!$A$118,D895,VLOOKUP(B896,'Mortality Table'!$A$2:$B$118,2,FALSE))</f>
        <v>0.59733000000000003</v>
      </c>
      <c r="E896" s="4">
        <f>IF(INT((C896-1)/12)+1&gt;'Lapse Table'!$A$11,E895,VLOOKUP(INT((C896-1)/12)+1,'Lapse Table'!$A$2:$B$11,2,FALSE))/12</f>
        <v>0</v>
      </c>
      <c r="F896" s="5">
        <f t="shared" si="125"/>
        <v>-17.890519865620782</v>
      </c>
      <c r="G896" s="6">
        <f t="shared" si="119"/>
        <v>4.9777500000000002E-2</v>
      </c>
      <c r="H896" s="6">
        <f t="shared" si="120"/>
        <v>0</v>
      </c>
      <c r="I896" s="7">
        <f t="shared" si="121"/>
        <v>-596.35066218735938</v>
      </c>
      <c r="J896" s="8">
        <f t="shared" si="122"/>
        <v>49777.5</v>
      </c>
      <c r="K896" s="7">
        <f t="shared" si="123"/>
        <v>-50373.85066218736</v>
      </c>
      <c r="L896" s="4">
        <f>IF(A896&gt;'Yield Curve'!A1510,L895,(1+VLOOKUP(A896,'Yield Curve'!A889:B1511,2,FALSE))^(1/12)-1)</f>
        <v>7.9741404289037643E-3</v>
      </c>
      <c r="M896" s="5">
        <f t="shared" si="124"/>
        <v>-43.565875758811465</v>
      </c>
    </row>
    <row r="897" spans="1:13" x14ac:dyDescent="0.25">
      <c r="A897" s="4">
        <v>889</v>
      </c>
      <c r="B897" s="4">
        <f t="shared" si="117"/>
        <v>119</v>
      </c>
      <c r="C897" s="4">
        <f t="shared" si="118"/>
        <v>904</v>
      </c>
      <c r="D897" s="4">
        <f>IF(B897&gt;'Mortality Table'!$A$118,D896,VLOOKUP(B897,'Mortality Table'!$A$2:$B$118,2,FALSE))</f>
        <v>0.59733000000000003</v>
      </c>
      <c r="E897" s="4">
        <f>IF(INT((C897-1)/12)+1&gt;'Lapse Table'!$A$11,E896,VLOOKUP(INT((C897-1)/12)+1,'Lapse Table'!$A$2:$B$11,2,FALSE))/12</f>
        <v>0</v>
      </c>
      <c r="F897" s="5">
        <f t="shared" si="125"/>
        <v>-17.940297365620783</v>
      </c>
      <c r="G897" s="6">
        <f t="shared" si="119"/>
        <v>4.9777500000000002E-2</v>
      </c>
      <c r="H897" s="6">
        <f t="shared" si="120"/>
        <v>0</v>
      </c>
      <c r="I897" s="7">
        <f t="shared" si="121"/>
        <v>-598.00991218735942</v>
      </c>
      <c r="J897" s="8">
        <f t="shared" si="122"/>
        <v>49777.5</v>
      </c>
      <c r="K897" s="7">
        <f t="shared" si="123"/>
        <v>-50375.509912187357</v>
      </c>
      <c r="L897" s="4">
        <f>IF(A897&gt;'Yield Curve'!A1511,L896,(1+VLOOKUP(A897,'Yield Curve'!A890:B1512,2,FALSE))^(1/12)-1)</f>
        <v>7.9741404289037643E-3</v>
      </c>
      <c r="M897" s="5">
        <f t="shared" si="124"/>
        <v>-43.222647303546836</v>
      </c>
    </row>
    <row r="898" spans="1:13" x14ac:dyDescent="0.25">
      <c r="A898" s="4">
        <v>890</v>
      </c>
      <c r="B898" s="4">
        <f t="shared" si="117"/>
        <v>119</v>
      </c>
      <c r="C898" s="4">
        <f t="shared" si="118"/>
        <v>905</v>
      </c>
      <c r="D898" s="4">
        <f>IF(B898&gt;'Mortality Table'!$A$118,D897,VLOOKUP(B898,'Mortality Table'!$A$2:$B$118,2,FALSE))</f>
        <v>0.59733000000000003</v>
      </c>
      <c r="E898" s="4">
        <f>IF(INT((C898-1)/12)+1&gt;'Lapse Table'!$A$11,E897,VLOOKUP(INT((C898-1)/12)+1,'Lapse Table'!$A$2:$B$11,2,FALSE))/12</f>
        <v>0</v>
      </c>
      <c r="F898" s="5">
        <f t="shared" si="125"/>
        <v>-17.990074865620784</v>
      </c>
      <c r="G898" s="6">
        <f t="shared" si="119"/>
        <v>4.9777500000000002E-2</v>
      </c>
      <c r="H898" s="6">
        <f t="shared" si="120"/>
        <v>0</v>
      </c>
      <c r="I898" s="7">
        <f t="shared" si="121"/>
        <v>-599.66916218735946</v>
      </c>
      <c r="J898" s="8">
        <f t="shared" si="122"/>
        <v>49777.5</v>
      </c>
      <c r="K898" s="7">
        <f t="shared" si="123"/>
        <v>-50377.169162187362</v>
      </c>
      <c r="L898" s="4">
        <f>IF(A898&gt;'Yield Curve'!A1512,L897,(1+VLOOKUP(A898,'Yield Curve'!A891:B1513,2,FALSE))^(1/12)-1)</f>
        <v>7.9741404289037643E-3</v>
      </c>
      <c r="M898" s="5">
        <f t="shared" si="124"/>
        <v>-42.882122885413729</v>
      </c>
    </row>
    <row r="899" spans="1:13" x14ac:dyDescent="0.25">
      <c r="A899" s="4">
        <v>891</v>
      </c>
      <c r="B899" s="4">
        <f t="shared" si="117"/>
        <v>119</v>
      </c>
      <c r="C899" s="4">
        <f t="shared" si="118"/>
        <v>906</v>
      </c>
      <c r="D899" s="4">
        <f>IF(B899&gt;'Mortality Table'!$A$118,D898,VLOOKUP(B899,'Mortality Table'!$A$2:$B$118,2,FALSE))</f>
        <v>0.59733000000000003</v>
      </c>
      <c r="E899" s="4">
        <f>IF(INT((C899-1)/12)+1&gt;'Lapse Table'!$A$11,E898,VLOOKUP(INT((C899-1)/12)+1,'Lapse Table'!$A$2:$B$11,2,FALSE))/12</f>
        <v>0</v>
      </c>
      <c r="F899" s="5">
        <f t="shared" si="125"/>
        <v>-18.039852365620785</v>
      </c>
      <c r="G899" s="6">
        <f t="shared" si="119"/>
        <v>4.9777500000000002E-2</v>
      </c>
      <c r="H899" s="6">
        <f t="shared" si="120"/>
        <v>0</v>
      </c>
      <c r="I899" s="7">
        <f t="shared" si="121"/>
        <v>-601.3284121873595</v>
      </c>
      <c r="J899" s="8">
        <f t="shared" si="122"/>
        <v>49777.5</v>
      </c>
      <c r="K899" s="7">
        <f t="shared" si="123"/>
        <v>-50378.828412187358</v>
      </c>
      <c r="L899" s="4">
        <f>IF(A899&gt;'Yield Curve'!A1513,L898,(1+VLOOKUP(A899,'Yield Curve'!A892:B1514,2,FALSE))^(1/12)-1)</f>
        <v>7.9741404289037643E-3</v>
      </c>
      <c r="M899" s="5">
        <f t="shared" si="124"/>
        <v>-42.544281201720445</v>
      </c>
    </row>
    <row r="900" spans="1:13" x14ac:dyDescent="0.25">
      <c r="A900" s="4">
        <v>892</v>
      </c>
      <c r="B900" s="4">
        <f t="shared" si="117"/>
        <v>119</v>
      </c>
      <c r="C900" s="4">
        <f t="shared" si="118"/>
        <v>907</v>
      </c>
      <c r="D900" s="4">
        <f>IF(B900&gt;'Mortality Table'!$A$118,D899,VLOOKUP(B900,'Mortality Table'!$A$2:$B$118,2,FALSE))</f>
        <v>0.59733000000000003</v>
      </c>
      <c r="E900" s="4">
        <f>IF(INT((C900-1)/12)+1&gt;'Lapse Table'!$A$11,E899,VLOOKUP(INT((C900-1)/12)+1,'Lapse Table'!$A$2:$B$11,2,FALSE))/12</f>
        <v>0</v>
      </c>
      <c r="F900" s="5">
        <f t="shared" si="125"/>
        <v>-18.089629865620786</v>
      </c>
      <c r="G900" s="6">
        <f t="shared" si="119"/>
        <v>4.9777500000000002E-2</v>
      </c>
      <c r="H900" s="6">
        <f t="shared" si="120"/>
        <v>0</v>
      </c>
      <c r="I900" s="7">
        <f t="shared" si="121"/>
        <v>-602.98766218735955</v>
      </c>
      <c r="J900" s="8">
        <f t="shared" si="122"/>
        <v>49777.5</v>
      </c>
      <c r="K900" s="7">
        <f t="shared" si="123"/>
        <v>-50380.487662187363</v>
      </c>
      <c r="L900" s="4">
        <f>IF(A900&gt;'Yield Curve'!A1514,L899,(1+VLOOKUP(A900,'Yield Curve'!A893:B1515,2,FALSE))^(1/12)-1)</f>
        <v>7.9741404289037643E-3</v>
      </c>
      <c r="M900" s="5">
        <f t="shared" si="124"/>
        <v>-42.20910111759725</v>
      </c>
    </row>
    <row r="901" spans="1:13" x14ac:dyDescent="0.25">
      <c r="A901" s="4">
        <v>893</v>
      </c>
      <c r="B901" s="4">
        <f t="shared" si="117"/>
        <v>119</v>
      </c>
      <c r="C901" s="4">
        <f t="shared" si="118"/>
        <v>908</v>
      </c>
      <c r="D901" s="4">
        <f>IF(B901&gt;'Mortality Table'!$A$118,D900,VLOOKUP(B901,'Mortality Table'!$A$2:$B$118,2,FALSE))</f>
        <v>0.59733000000000003</v>
      </c>
      <c r="E901" s="4">
        <f>IF(INT((C901-1)/12)+1&gt;'Lapse Table'!$A$11,E900,VLOOKUP(INT((C901-1)/12)+1,'Lapse Table'!$A$2:$B$11,2,FALSE))/12</f>
        <v>0</v>
      </c>
      <c r="F901" s="5">
        <f t="shared" si="125"/>
        <v>-18.139407365620787</v>
      </c>
      <c r="G901" s="6">
        <f t="shared" si="119"/>
        <v>4.9777500000000002E-2</v>
      </c>
      <c r="H901" s="6">
        <f t="shared" si="120"/>
        <v>0</v>
      </c>
      <c r="I901" s="7">
        <f t="shared" si="121"/>
        <v>-604.64691218735959</v>
      </c>
      <c r="J901" s="8">
        <f t="shared" si="122"/>
        <v>49777.5</v>
      </c>
      <c r="K901" s="7">
        <f t="shared" si="123"/>
        <v>-50382.14691218736</v>
      </c>
      <c r="L901" s="4">
        <f>IF(A901&gt;'Yield Curve'!A1515,L900,(1+VLOOKUP(A901,'Yield Curve'!A894:B1516,2,FALSE))^(1/12)-1)</f>
        <v>7.9741404289037643E-3</v>
      </c>
      <c r="M901" s="5">
        <f t="shared" si="124"/>
        <v>-41.876561664674206</v>
      </c>
    </row>
    <row r="902" spans="1:13" x14ac:dyDescent="0.25">
      <c r="A902" s="4">
        <v>894</v>
      </c>
      <c r="B902" s="4">
        <f t="shared" si="117"/>
        <v>119</v>
      </c>
      <c r="C902" s="4">
        <f t="shared" si="118"/>
        <v>909</v>
      </c>
      <c r="D902" s="4">
        <f>IF(B902&gt;'Mortality Table'!$A$118,D901,VLOOKUP(B902,'Mortality Table'!$A$2:$B$118,2,FALSE))</f>
        <v>0.59733000000000003</v>
      </c>
      <c r="E902" s="4">
        <f>IF(INT((C902-1)/12)+1&gt;'Lapse Table'!$A$11,E901,VLOOKUP(INT((C902-1)/12)+1,'Lapse Table'!$A$2:$B$11,2,FALSE))/12</f>
        <v>0</v>
      </c>
      <c r="F902" s="5">
        <f t="shared" si="125"/>
        <v>-18.189184865620788</v>
      </c>
      <c r="G902" s="6">
        <f t="shared" si="119"/>
        <v>4.9777500000000002E-2</v>
      </c>
      <c r="H902" s="6">
        <f t="shared" si="120"/>
        <v>0</v>
      </c>
      <c r="I902" s="7">
        <f t="shared" si="121"/>
        <v>-606.30616218735963</v>
      </c>
      <c r="J902" s="8">
        <f t="shared" si="122"/>
        <v>49777.5</v>
      </c>
      <c r="K902" s="7">
        <f t="shared" si="123"/>
        <v>-50383.806162187357</v>
      </c>
      <c r="L902" s="4">
        <f>IF(A902&gt;'Yield Curve'!A1516,L901,(1+VLOOKUP(A902,'Yield Curve'!A895:B1517,2,FALSE))^(1/12)-1)</f>
        <v>7.9741404289037643E-3</v>
      </c>
      <c r="M902" s="5">
        <f t="shared" si="124"/>
        <v>-41.546642039769651</v>
      </c>
    </row>
    <row r="903" spans="1:13" x14ac:dyDescent="0.25">
      <c r="A903" s="4">
        <v>895</v>
      </c>
      <c r="B903" s="4">
        <f t="shared" si="117"/>
        <v>119</v>
      </c>
      <c r="C903" s="4">
        <f t="shared" si="118"/>
        <v>910</v>
      </c>
      <c r="D903" s="4">
        <f>IF(B903&gt;'Mortality Table'!$A$118,D902,VLOOKUP(B903,'Mortality Table'!$A$2:$B$118,2,FALSE))</f>
        <v>0.59733000000000003</v>
      </c>
      <c r="E903" s="4">
        <f>IF(INT((C903-1)/12)+1&gt;'Lapse Table'!$A$11,E902,VLOOKUP(INT((C903-1)/12)+1,'Lapse Table'!$A$2:$B$11,2,FALSE))/12</f>
        <v>0</v>
      </c>
      <c r="F903" s="5">
        <f t="shared" si="125"/>
        <v>-18.23896236562079</v>
      </c>
      <c r="G903" s="6">
        <f t="shared" si="119"/>
        <v>4.9777500000000002E-2</v>
      </c>
      <c r="H903" s="6">
        <f t="shared" si="120"/>
        <v>0</v>
      </c>
      <c r="I903" s="7">
        <f t="shared" si="121"/>
        <v>-607.96541218735968</v>
      </c>
      <c r="J903" s="8">
        <f t="shared" si="122"/>
        <v>49777.5</v>
      </c>
      <c r="K903" s="7">
        <f t="shared" si="123"/>
        <v>-50385.465412187361</v>
      </c>
      <c r="L903" s="4">
        <f>IF(A903&gt;'Yield Curve'!A1517,L902,(1+VLOOKUP(A903,'Yield Curve'!A896:B1518,2,FALSE))^(1/12)-1)</f>
        <v>7.9741404289037643E-3</v>
      </c>
      <c r="M903" s="5">
        <f t="shared" si="124"/>
        <v>-41.219321603588746</v>
      </c>
    </row>
    <row r="904" spans="1:13" x14ac:dyDescent="0.25">
      <c r="A904" s="4">
        <v>896</v>
      </c>
      <c r="B904" s="4">
        <f t="shared" si="117"/>
        <v>119</v>
      </c>
      <c r="C904" s="4">
        <f t="shared" si="118"/>
        <v>911</v>
      </c>
      <c r="D904" s="4">
        <f>IF(B904&gt;'Mortality Table'!$A$118,D903,VLOOKUP(B904,'Mortality Table'!$A$2:$B$118,2,FALSE))</f>
        <v>0.59733000000000003</v>
      </c>
      <c r="E904" s="4">
        <f>IF(INT((C904-1)/12)+1&gt;'Lapse Table'!$A$11,E903,VLOOKUP(INT((C904-1)/12)+1,'Lapse Table'!$A$2:$B$11,2,FALSE))/12</f>
        <v>0</v>
      </c>
      <c r="F904" s="5">
        <f t="shared" si="125"/>
        <v>-18.288739865620791</v>
      </c>
      <c r="G904" s="6">
        <f t="shared" si="119"/>
        <v>4.9777500000000002E-2</v>
      </c>
      <c r="H904" s="6">
        <f t="shared" si="120"/>
        <v>0</v>
      </c>
      <c r="I904" s="7">
        <f t="shared" si="121"/>
        <v>-609.62466218735972</v>
      </c>
      <c r="J904" s="8">
        <f t="shared" si="122"/>
        <v>49777.5</v>
      </c>
      <c r="K904" s="7">
        <f t="shared" si="123"/>
        <v>-50387.124662187358</v>
      </c>
      <c r="L904" s="4">
        <f>IF(A904&gt;'Yield Curve'!A1518,L903,(1+VLOOKUP(A904,'Yield Curve'!A897:B1519,2,FALSE))^(1/12)-1)</f>
        <v>7.9741404289037643E-3</v>
      </c>
      <c r="M904" s="5">
        <f t="shared" si="124"/>
        <v>-40.894579879432435</v>
      </c>
    </row>
    <row r="905" spans="1:13" x14ac:dyDescent="0.25">
      <c r="A905" s="4">
        <v>897</v>
      </c>
      <c r="B905" s="4">
        <f t="shared" si="117"/>
        <v>119</v>
      </c>
      <c r="C905" s="4">
        <f t="shared" si="118"/>
        <v>912</v>
      </c>
      <c r="D905" s="4">
        <f>IF(B905&gt;'Mortality Table'!$A$118,D904,VLOOKUP(B905,'Mortality Table'!$A$2:$B$118,2,FALSE))</f>
        <v>0.59733000000000003</v>
      </c>
      <c r="E905" s="4">
        <f>IF(INT((C905-1)/12)+1&gt;'Lapse Table'!$A$11,E904,VLOOKUP(INT((C905-1)/12)+1,'Lapse Table'!$A$2:$B$11,2,FALSE))/12</f>
        <v>0</v>
      </c>
      <c r="F905" s="5">
        <f t="shared" si="125"/>
        <v>-18.338517365620792</v>
      </c>
      <c r="G905" s="6">
        <f t="shared" si="119"/>
        <v>4.9777500000000002E-2</v>
      </c>
      <c r="H905" s="6">
        <f t="shared" si="120"/>
        <v>0</v>
      </c>
      <c r="I905" s="7">
        <f t="shared" si="121"/>
        <v>-611.28391218735976</v>
      </c>
      <c r="J905" s="8">
        <f t="shared" si="122"/>
        <v>49777.5</v>
      </c>
      <c r="K905" s="7">
        <f t="shared" si="123"/>
        <v>-50388.783912187362</v>
      </c>
      <c r="L905" s="4">
        <f>IF(A905&gt;'Yield Curve'!A1519,L904,(1+VLOOKUP(A905,'Yield Curve'!A898:B1520,2,FALSE))^(1/12)-1)</f>
        <v>7.9741404289037643E-3</v>
      </c>
      <c r="M905" s="5">
        <f t="shared" si="124"/>
        <v>-40.572396551916661</v>
      </c>
    </row>
    <row r="906" spans="1:13" x14ac:dyDescent="0.25">
      <c r="A906" s="4">
        <v>898</v>
      </c>
      <c r="B906" s="4">
        <f t="shared" ref="B906:B969" si="126">INT($B$3+A906/12)</f>
        <v>119</v>
      </c>
      <c r="C906" s="4">
        <f t="shared" ref="C906:C969" si="127">$B$4+A906</f>
        <v>913</v>
      </c>
      <c r="D906" s="4">
        <f>IF(B906&gt;'Mortality Table'!$A$118,D905,VLOOKUP(B906,'Mortality Table'!$A$2:$B$118,2,FALSE))</f>
        <v>0.59733000000000003</v>
      </c>
      <c r="E906" s="4">
        <f>IF(INT((C906-1)/12)+1&gt;'Lapse Table'!$A$11,E905,VLOOKUP(INT((C906-1)/12)+1,'Lapse Table'!$A$2:$B$11,2,FALSE))/12</f>
        <v>0</v>
      </c>
      <c r="F906" s="5">
        <f t="shared" si="125"/>
        <v>-18.388294865620793</v>
      </c>
      <c r="G906" s="6">
        <f t="shared" ref="G906:G969" si="128">D906/12*(1-0.5*E906)</f>
        <v>4.9777500000000002E-2</v>
      </c>
      <c r="H906" s="6">
        <f t="shared" ref="H906:H969" si="129">E906*(1-0.5*D906)</f>
        <v>0</v>
      </c>
      <c r="I906" s="7">
        <f t="shared" ref="I906:I969" si="130">F906*$B$5/12</f>
        <v>-612.94316218735969</v>
      </c>
      <c r="J906" s="8">
        <f t="shared" ref="J906:J969" si="131">$B$6*G906</f>
        <v>49777.5</v>
      </c>
      <c r="K906" s="7">
        <f t="shared" ref="K906:K969" si="132">I906-J906</f>
        <v>-50390.443162187359</v>
      </c>
      <c r="L906" s="4">
        <f>IF(A906&gt;'Yield Curve'!A1520,L905,(1+VLOOKUP(A906,'Yield Curve'!A899:B1521,2,FALSE))^(1/12)-1)</f>
        <v>7.9741404289037643E-3</v>
      </c>
      <c r="M906" s="5">
        <f t="shared" ref="M906:M969" si="133">K906*(1+L906)^-A906</f>
        <v>-40.252751465701351</v>
      </c>
    </row>
    <row r="907" spans="1:13" x14ac:dyDescent="0.25">
      <c r="A907" s="4">
        <v>899</v>
      </c>
      <c r="B907" s="4">
        <f t="shared" si="126"/>
        <v>119</v>
      </c>
      <c r="C907" s="4">
        <f t="shared" si="127"/>
        <v>914</v>
      </c>
      <c r="D907" s="4">
        <f>IF(B907&gt;'Mortality Table'!$A$118,D906,VLOOKUP(B907,'Mortality Table'!$A$2:$B$118,2,FALSE))</f>
        <v>0.59733000000000003</v>
      </c>
      <c r="E907" s="4">
        <f>IF(INT((C907-1)/12)+1&gt;'Lapse Table'!$A$11,E906,VLOOKUP(INT((C907-1)/12)+1,'Lapse Table'!$A$2:$B$11,2,FALSE))/12</f>
        <v>0</v>
      </c>
      <c r="F907" s="5">
        <f t="shared" ref="F907:F970" si="134">F906-G907-H907</f>
        <v>-18.438072365620794</v>
      </c>
      <c r="G907" s="6">
        <f t="shared" si="128"/>
        <v>4.9777500000000002E-2</v>
      </c>
      <c r="H907" s="6">
        <f t="shared" si="129"/>
        <v>0</v>
      </c>
      <c r="I907" s="7">
        <f t="shared" si="130"/>
        <v>-614.60241218735985</v>
      </c>
      <c r="J907" s="8">
        <f t="shared" si="131"/>
        <v>49777.5</v>
      </c>
      <c r="K907" s="7">
        <f t="shared" si="132"/>
        <v>-50392.102412187363</v>
      </c>
      <c r="L907" s="4">
        <f>IF(A907&gt;'Yield Curve'!A1521,L906,(1+VLOOKUP(A907,'Yield Curve'!A900:B1522,2,FALSE))^(1/12)-1)</f>
        <v>7.9741404289037643E-3</v>
      </c>
      <c r="M907" s="5">
        <f t="shared" si="133"/>
        <v>-39.935624624229767</v>
      </c>
    </row>
    <row r="908" spans="1:13" x14ac:dyDescent="0.25">
      <c r="A908" s="4">
        <v>900</v>
      </c>
      <c r="B908" s="4">
        <f t="shared" si="126"/>
        <v>120</v>
      </c>
      <c r="C908" s="4">
        <f t="shared" si="127"/>
        <v>915</v>
      </c>
      <c r="D908" s="4">
        <f>IF(B908&gt;'Mortality Table'!$A$118,D907,VLOOKUP(B908,'Mortality Table'!$A$2:$B$118,2,FALSE))</f>
        <v>0.59733000000000003</v>
      </c>
      <c r="E908" s="4">
        <f>IF(INT((C908-1)/12)+1&gt;'Lapse Table'!$A$11,E907,VLOOKUP(INT((C908-1)/12)+1,'Lapse Table'!$A$2:$B$11,2,FALSE))/12</f>
        <v>0</v>
      </c>
      <c r="F908" s="5">
        <f t="shared" si="134"/>
        <v>-18.487849865620795</v>
      </c>
      <c r="G908" s="6">
        <f t="shared" si="128"/>
        <v>4.9777500000000002E-2</v>
      </c>
      <c r="H908" s="6">
        <f t="shared" si="129"/>
        <v>0</v>
      </c>
      <c r="I908" s="7">
        <f t="shared" si="130"/>
        <v>-616.26166218735978</v>
      </c>
      <c r="J908" s="8">
        <f t="shared" si="131"/>
        <v>49777.5</v>
      </c>
      <c r="K908" s="7">
        <f t="shared" si="132"/>
        <v>-50393.76166218736</v>
      </c>
      <c r="L908" s="4">
        <f>IF(A908&gt;'Yield Curve'!A1522,L907,(1+VLOOKUP(A908,'Yield Curve'!A901:B1523,2,FALSE))^(1/12)-1)</f>
        <v>7.9741404289037643E-3</v>
      </c>
      <c r="M908" s="5">
        <f t="shared" si="133"/>
        <v>-39.620996188477584</v>
      </c>
    </row>
    <row r="909" spans="1:13" x14ac:dyDescent="0.25">
      <c r="A909" s="4">
        <v>901</v>
      </c>
      <c r="B909" s="4">
        <f t="shared" si="126"/>
        <v>120</v>
      </c>
      <c r="C909" s="4">
        <f t="shared" si="127"/>
        <v>916</v>
      </c>
      <c r="D909" s="4">
        <f>IF(B909&gt;'Mortality Table'!$A$118,D908,VLOOKUP(B909,'Mortality Table'!$A$2:$B$118,2,FALSE))</f>
        <v>0.59733000000000003</v>
      </c>
      <c r="E909" s="4">
        <f>IF(INT((C909-1)/12)+1&gt;'Lapse Table'!$A$11,E908,VLOOKUP(INT((C909-1)/12)+1,'Lapse Table'!$A$2:$B$11,2,FALSE))/12</f>
        <v>0</v>
      </c>
      <c r="F909" s="5">
        <f t="shared" si="134"/>
        <v>-18.537627365620796</v>
      </c>
      <c r="G909" s="6">
        <f t="shared" si="128"/>
        <v>4.9777500000000002E-2</v>
      </c>
      <c r="H909" s="6">
        <f t="shared" si="129"/>
        <v>0</v>
      </c>
      <c r="I909" s="7">
        <f t="shared" si="130"/>
        <v>-617.92091218735993</v>
      </c>
      <c r="J909" s="8">
        <f t="shared" si="131"/>
        <v>49777.5</v>
      </c>
      <c r="K909" s="7">
        <f t="shared" si="132"/>
        <v>-50395.420912187357</v>
      </c>
      <c r="L909" s="4">
        <f>IF(A909&gt;'Yield Curve'!A1523,L908,(1+VLOOKUP(A909,'Yield Curve'!A902:B1524,2,FALSE))^(1/12)-1)</f>
        <v>7.9741404289037643E-3</v>
      </c>
      <c r="M909" s="5">
        <f t="shared" si="133"/>
        <v>-39.30884647571186</v>
      </c>
    </row>
    <row r="910" spans="1:13" x14ac:dyDescent="0.25">
      <c r="A910" s="4">
        <v>902</v>
      </c>
      <c r="B910" s="4">
        <f t="shared" si="126"/>
        <v>120</v>
      </c>
      <c r="C910" s="4">
        <f t="shared" si="127"/>
        <v>917</v>
      </c>
      <c r="D910" s="4">
        <f>IF(B910&gt;'Mortality Table'!$A$118,D909,VLOOKUP(B910,'Mortality Table'!$A$2:$B$118,2,FALSE))</f>
        <v>0.59733000000000003</v>
      </c>
      <c r="E910" s="4">
        <f>IF(INT((C910-1)/12)+1&gt;'Lapse Table'!$A$11,E909,VLOOKUP(INT((C910-1)/12)+1,'Lapse Table'!$A$2:$B$11,2,FALSE))/12</f>
        <v>0</v>
      </c>
      <c r="F910" s="5">
        <f t="shared" si="134"/>
        <v>-18.587404865620798</v>
      </c>
      <c r="G910" s="6">
        <f t="shared" si="128"/>
        <v>4.9777500000000002E-2</v>
      </c>
      <c r="H910" s="6">
        <f t="shared" si="129"/>
        <v>0</v>
      </c>
      <c r="I910" s="7">
        <f t="shared" si="130"/>
        <v>-619.58016218735986</v>
      </c>
      <c r="J910" s="8">
        <f t="shared" si="131"/>
        <v>49777.5</v>
      </c>
      <c r="K910" s="7">
        <f t="shared" si="132"/>
        <v>-50397.080162187362</v>
      </c>
      <c r="L910" s="4">
        <f>IF(A910&gt;'Yield Curve'!A1524,L909,(1+VLOOKUP(A910,'Yield Curve'!A903:B1525,2,FALSE))^(1/12)-1)</f>
        <v>7.9741404289037643E-3</v>
      </c>
      <c r="M910" s="5">
        <f t="shared" si="133"/>
        <v>-38.999155958259891</v>
      </c>
    </row>
    <row r="911" spans="1:13" x14ac:dyDescent="0.25">
      <c r="A911" s="4">
        <v>903</v>
      </c>
      <c r="B911" s="4">
        <f t="shared" si="126"/>
        <v>120</v>
      </c>
      <c r="C911" s="4">
        <f t="shared" si="127"/>
        <v>918</v>
      </c>
      <c r="D911" s="4">
        <f>IF(B911&gt;'Mortality Table'!$A$118,D910,VLOOKUP(B911,'Mortality Table'!$A$2:$B$118,2,FALSE))</f>
        <v>0.59733000000000003</v>
      </c>
      <c r="E911" s="4">
        <f>IF(INT((C911-1)/12)+1&gt;'Lapse Table'!$A$11,E910,VLOOKUP(INT((C911-1)/12)+1,'Lapse Table'!$A$2:$B$11,2,FALSE))/12</f>
        <v>0</v>
      </c>
      <c r="F911" s="5">
        <f t="shared" si="134"/>
        <v>-18.637182365620799</v>
      </c>
      <c r="G911" s="6">
        <f t="shared" si="128"/>
        <v>4.9777500000000002E-2</v>
      </c>
      <c r="H911" s="6">
        <f t="shared" si="129"/>
        <v>0</v>
      </c>
      <c r="I911" s="7">
        <f t="shared" si="130"/>
        <v>-621.23941218736002</v>
      </c>
      <c r="J911" s="8">
        <f t="shared" si="131"/>
        <v>49777.5</v>
      </c>
      <c r="K911" s="7">
        <f t="shared" si="132"/>
        <v>-50398.739412187359</v>
      </c>
      <c r="L911" s="4">
        <f>IF(A911&gt;'Yield Curve'!A1525,L910,(1+VLOOKUP(A911,'Yield Curve'!A904:B1526,2,FALSE))^(1/12)-1)</f>
        <v>7.9741404289037643E-3</v>
      </c>
      <c r="M911" s="5">
        <f t="shared" si="133"/>
        <v>-38.691905262287484</v>
      </c>
    </row>
    <row r="912" spans="1:13" x14ac:dyDescent="0.25">
      <c r="A912" s="4">
        <v>904</v>
      </c>
      <c r="B912" s="4">
        <f t="shared" si="126"/>
        <v>120</v>
      </c>
      <c r="C912" s="4">
        <f t="shared" si="127"/>
        <v>919</v>
      </c>
      <c r="D912" s="4">
        <f>IF(B912&gt;'Mortality Table'!$A$118,D911,VLOOKUP(B912,'Mortality Table'!$A$2:$B$118,2,FALSE))</f>
        <v>0.59733000000000003</v>
      </c>
      <c r="E912" s="4">
        <f>IF(INT((C912-1)/12)+1&gt;'Lapse Table'!$A$11,E911,VLOOKUP(INT((C912-1)/12)+1,'Lapse Table'!$A$2:$B$11,2,FALSE))/12</f>
        <v>0</v>
      </c>
      <c r="F912" s="5">
        <f t="shared" si="134"/>
        <v>-18.6869598656208</v>
      </c>
      <c r="G912" s="6">
        <f t="shared" si="128"/>
        <v>4.9777500000000002E-2</v>
      </c>
      <c r="H912" s="6">
        <f t="shared" si="129"/>
        <v>0</v>
      </c>
      <c r="I912" s="7">
        <f t="shared" si="130"/>
        <v>-622.89866218735995</v>
      </c>
      <c r="J912" s="8">
        <f t="shared" si="131"/>
        <v>49777.5</v>
      </c>
      <c r="K912" s="7">
        <f t="shared" si="132"/>
        <v>-50400.398662187363</v>
      </c>
      <c r="L912" s="4">
        <f>IF(A912&gt;'Yield Curve'!A1526,L911,(1+VLOOKUP(A912,'Yield Curve'!A905:B1527,2,FALSE))^(1/12)-1)</f>
        <v>7.9741404289037643E-3</v>
      </c>
      <c r="M912" s="5">
        <f t="shared" si="133"/>
        <v>-38.387075166587245</v>
      </c>
    </row>
    <row r="913" spans="1:13" x14ac:dyDescent="0.25">
      <c r="A913" s="4">
        <v>905</v>
      </c>
      <c r="B913" s="4">
        <f t="shared" si="126"/>
        <v>120</v>
      </c>
      <c r="C913" s="4">
        <f t="shared" si="127"/>
        <v>920</v>
      </c>
      <c r="D913" s="4">
        <f>IF(B913&gt;'Mortality Table'!$A$118,D912,VLOOKUP(B913,'Mortality Table'!$A$2:$B$118,2,FALSE))</f>
        <v>0.59733000000000003</v>
      </c>
      <c r="E913" s="4">
        <f>IF(INT((C913-1)/12)+1&gt;'Lapse Table'!$A$11,E912,VLOOKUP(INT((C913-1)/12)+1,'Lapse Table'!$A$2:$B$11,2,FALSE))/12</f>
        <v>0</v>
      </c>
      <c r="F913" s="5">
        <f t="shared" si="134"/>
        <v>-18.736737365620801</v>
      </c>
      <c r="G913" s="6">
        <f t="shared" si="128"/>
        <v>4.9777500000000002E-2</v>
      </c>
      <c r="H913" s="6">
        <f t="shared" si="129"/>
        <v>0</v>
      </c>
      <c r="I913" s="7">
        <f t="shared" si="130"/>
        <v>-624.5579121873601</v>
      </c>
      <c r="J913" s="8">
        <f t="shared" si="131"/>
        <v>49777.5</v>
      </c>
      <c r="K913" s="7">
        <f t="shared" si="132"/>
        <v>-50402.05791218736</v>
      </c>
      <c r="L913" s="4">
        <f>IF(A913&gt;'Yield Curve'!A1527,L912,(1+VLOOKUP(A913,'Yield Curve'!A906:B1528,2,FALSE))^(1/12)-1)</f>
        <v>7.9741404289037643E-3</v>
      </c>
      <c r="M913" s="5">
        <f t="shared" si="133"/>
        <v>-38.084646601376086</v>
      </c>
    </row>
    <row r="914" spans="1:13" x14ac:dyDescent="0.25">
      <c r="A914" s="4">
        <v>906</v>
      </c>
      <c r="B914" s="4">
        <f t="shared" si="126"/>
        <v>120</v>
      </c>
      <c r="C914" s="4">
        <f t="shared" si="127"/>
        <v>921</v>
      </c>
      <c r="D914" s="4">
        <f>IF(B914&gt;'Mortality Table'!$A$118,D913,VLOOKUP(B914,'Mortality Table'!$A$2:$B$118,2,FALSE))</f>
        <v>0.59733000000000003</v>
      </c>
      <c r="E914" s="4">
        <f>IF(INT((C914-1)/12)+1&gt;'Lapse Table'!$A$11,E913,VLOOKUP(INT((C914-1)/12)+1,'Lapse Table'!$A$2:$B$11,2,FALSE))/12</f>
        <v>0</v>
      </c>
      <c r="F914" s="5">
        <f t="shared" si="134"/>
        <v>-18.786514865620802</v>
      </c>
      <c r="G914" s="6">
        <f t="shared" si="128"/>
        <v>4.9777500000000002E-2</v>
      </c>
      <c r="H914" s="6">
        <f t="shared" si="129"/>
        <v>0</v>
      </c>
      <c r="I914" s="7">
        <f t="shared" si="130"/>
        <v>-626.21716218736003</v>
      </c>
      <c r="J914" s="8">
        <f t="shared" si="131"/>
        <v>49777.5</v>
      </c>
      <c r="K914" s="7">
        <f t="shared" si="132"/>
        <v>-50403.717162187357</v>
      </c>
      <c r="L914" s="4">
        <f>IF(A914&gt;'Yield Curve'!A1528,L913,(1+VLOOKUP(A914,'Yield Curve'!A907:B1529,2,FALSE))^(1/12)-1)</f>
        <v>7.9741404289037643E-3</v>
      </c>
      <c r="M914" s="5">
        <f t="shared" si="133"/>
        <v>-37.784600647102366</v>
      </c>
    </row>
    <row r="915" spans="1:13" x14ac:dyDescent="0.25">
      <c r="A915" s="4">
        <v>907</v>
      </c>
      <c r="B915" s="4">
        <f t="shared" si="126"/>
        <v>120</v>
      </c>
      <c r="C915" s="4">
        <f t="shared" si="127"/>
        <v>922</v>
      </c>
      <c r="D915" s="4">
        <f>IF(B915&gt;'Mortality Table'!$A$118,D914,VLOOKUP(B915,'Mortality Table'!$A$2:$B$118,2,FALSE))</f>
        <v>0.59733000000000003</v>
      </c>
      <c r="E915" s="4">
        <f>IF(INT((C915-1)/12)+1&gt;'Lapse Table'!$A$11,E914,VLOOKUP(INT((C915-1)/12)+1,'Lapse Table'!$A$2:$B$11,2,FALSE))/12</f>
        <v>0</v>
      </c>
      <c r="F915" s="5">
        <f t="shared" si="134"/>
        <v>-18.836292365620803</v>
      </c>
      <c r="G915" s="6">
        <f t="shared" si="128"/>
        <v>4.9777500000000002E-2</v>
      </c>
      <c r="H915" s="6">
        <f t="shared" si="129"/>
        <v>0</v>
      </c>
      <c r="I915" s="7">
        <f t="shared" si="130"/>
        <v>-627.87641218736007</v>
      </c>
      <c r="J915" s="8">
        <f t="shared" si="131"/>
        <v>49777.5</v>
      </c>
      <c r="K915" s="7">
        <f t="shared" si="132"/>
        <v>-50405.376412187361</v>
      </c>
      <c r="L915" s="4">
        <f>IF(A915&gt;'Yield Curve'!A1529,L914,(1+VLOOKUP(A915,'Yield Curve'!A908:B1530,2,FALSE))^(1/12)-1)</f>
        <v>7.9741404289037643E-3</v>
      </c>
      <c r="M915" s="5">
        <f t="shared" si="133"/>
        <v>-37.486918533262411</v>
      </c>
    </row>
    <row r="916" spans="1:13" x14ac:dyDescent="0.25">
      <c r="A916" s="4">
        <v>908</v>
      </c>
      <c r="B916" s="4">
        <f t="shared" si="126"/>
        <v>120</v>
      </c>
      <c r="C916" s="4">
        <f t="shared" si="127"/>
        <v>923</v>
      </c>
      <c r="D916" s="4">
        <f>IF(B916&gt;'Mortality Table'!$A$118,D915,VLOOKUP(B916,'Mortality Table'!$A$2:$B$118,2,FALSE))</f>
        <v>0.59733000000000003</v>
      </c>
      <c r="E916" s="4">
        <f>IF(INT((C916-1)/12)+1&gt;'Lapse Table'!$A$11,E915,VLOOKUP(INT((C916-1)/12)+1,'Lapse Table'!$A$2:$B$11,2,FALSE))/12</f>
        <v>0</v>
      </c>
      <c r="F916" s="5">
        <f t="shared" si="134"/>
        <v>-18.886069865620804</v>
      </c>
      <c r="G916" s="6">
        <f t="shared" si="128"/>
        <v>4.9777500000000002E-2</v>
      </c>
      <c r="H916" s="6">
        <f t="shared" si="129"/>
        <v>0</v>
      </c>
      <c r="I916" s="7">
        <f t="shared" si="130"/>
        <v>-629.53566218736012</v>
      </c>
      <c r="J916" s="8">
        <f t="shared" si="131"/>
        <v>49777.5</v>
      </c>
      <c r="K916" s="7">
        <f t="shared" si="132"/>
        <v>-50407.035662187358</v>
      </c>
      <c r="L916" s="4">
        <f>IF(A916&gt;'Yield Curve'!A1530,L915,(1+VLOOKUP(A916,'Yield Curve'!A909:B1531,2,FALSE))^(1/12)-1)</f>
        <v>7.9741404289037643E-3</v>
      </c>
      <c r="M916" s="5">
        <f t="shared" si="133"/>
        <v>-37.191581637226236</v>
      </c>
    </row>
    <row r="917" spans="1:13" x14ac:dyDescent="0.25">
      <c r="A917" s="4">
        <v>909</v>
      </c>
      <c r="B917" s="4">
        <f t="shared" si="126"/>
        <v>120</v>
      </c>
      <c r="C917" s="4">
        <f t="shared" si="127"/>
        <v>924</v>
      </c>
      <c r="D917" s="4">
        <f>IF(B917&gt;'Mortality Table'!$A$118,D916,VLOOKUP(B917,'Mortality Table'!$A$2:$B$118,2,FALSE))</f>
        <v>0.59733000000000003</v>
      </c>
      <c r="E917" s="4">
        <f>IF(INT((C917-1)/12)+1&gt;'Lapse Table'!$A$11,E916,VLOOKUP(INT((C917-1)/12)+1,'Lapse Table'!$A$2:$B$11,2,FALSE))/12</f>
        <v>0</v>
      </c>
      <c r="F917" s="5">
        <f t="shared" si="134"/>
        <v>-18.935847365620806</v>
      </c>
      <c r="G917" s="6">
        <f t="shared" si="128"/>
        <v>4.9777500000000002E-2</v>
      </c>
      <c r="H917" s="6">
        <f t="shared" si="129"/>
        <v>0</v>
      </c>
      <c r="I917" s="7">
        <f t="shared" si="130"/>
        <v>-631.19491218736016</v>
      </c>
      <c r="J917" s="8">
        <f t="shared" si="131"/>
        <v>49777.5</v>
      </c>
      <c r="K917" s="7">
        <f t="shared" si="132"/>
        <v>-50408.694912187362</v>
      </c>
      <c r="L917" s="4">
        <f>IF(A917&gt;'Yield Curve'!A1531,L916,(1+VLOOKUP(A917,'Yield Curve'!A910:B1532,2,FALSE))^(1/12)-1)</f>
        <v>7.9741404289037643E-3</v>
      </c>
      <c r="M917" s="5">
        <f t="shared" si="133"/>
        <v>-36.898571483072793</v>
      </c>
    </row>
    <row r="918" spans="1:13" x14ac:dyDescent="0.25">
      <c r="A918" s="4">
        <v>910</v>
      </c>
      <c r="B918" s="4">
        <f t="shared" si="126"/>
        <v>120</v>
      </c>
      <c r="C918" s="4">
        <f t="shared" si="127"/>
        <v>925</v>
      </c>
      <c r="D918" s="4">
        <f>IF(B918&gt;'Mortality Table'!$A$118,D917,VLOOKUP(B918,'Mortality Table'!$A$2:$B$118,2,FALSE))</f>
        <v>0.59733000000000003</v>
      </c>
      <c r="E918" s="4">
        <f>IF(INT((C918-1)/12)+1&gt;'Lapse Table'!$A$11,E917,VLOOKUP(INT((C918-1)/12)+1,'Lapse Table'!$A$2:$B$11,2,FALSE))/12</f>
        <v>0</v>
      </c>
      <c r="F918" s="5">
        <f t="shared" si="134"/>
        <v>-18.985624865620807</v>
      </c>
      <c r="G918" s="6">
        <f t="shared" si="128"/>
        <v>4.9777500000000002E-2</v>
      </c>
      <c r="H918" s="6">
        <f t="shared" si="129"/>
        <v>0</v>
      </c>
      <c r="I918" s="7">
        <f t="shared" si="130"/>
        <v>-632.8541621873602</v>
      </c>
      <c r="J918" s="8">
        <f t="shared" si="131"/>
        <v>49777.5</v>
      </c>
      <c r="K918" s="7">
        <f t="shared" si="132"/>
        <v>-50410.354162187359</v>
      </c>
      <c r="L918" s="4">
        <f>IF(A918&gt;'Yield Curve'!A1532,L917,(1+VLOOKUP(A918,'Yield Curve'!A911:B1533,2,FALSE))^(1/12)-1)</f>
        <v>7.9741404289037643E-3</v>
      </c>
      <c r="M918" s="5">
        <f t="shared" si="133"/>
        <v>-36.607869740434055</v>
      </c>
    </row>
    <row r="919" spans="1:13" x14ac:dyDescent="0.25">
      <c r="A919" s="4">
        <v>911</v>
      </c>
      <c r="B919" s="4">
        <f t="shared" si="126"/>
        <v>120</v>
      </c>
      <c r="C919" s="4">
        <f t="shared" si="127"/>
        <v>926</v>
      </c>
      <c r="D919" s="4">
        <f>IF(B919&gt;'Mortality Table'!$A$118,D918,VLOOKUP(B919,'Mortality Table'!$A$2:$B$118,2,FALSE))</f>
        <v>0.59733000000000003</v>
      </c>
      <c r="E919" s="4">
        <f>IF(INT((C919-1)/12)+1&gt;'Lapse Table'!$A$11,E918,VLOOKUP(INT((C919-1)/12)+1,'Lapse Table'!$A$2:$B$11,2,FALSE))/12</f>
        <v>0</v>
      </c>
      <c r="F919" s="5">
        <f t="shared" si="134"/>
        <v>-19.035402365620808</v>
      </c>
      <c r="G919" s="6">
        <f t="shared" si="128"/>
        <v>4.9777500000000002E-2</v>
      </c>
      <c r="H919" s="6">
        <f t="shared" si="129"/>
        <v>0</v>
      </c>
      <c r="I919" s="7">
        <f t="shared" si="130"/>
        <v>-634.51341218736025</v>
      </c>
      <c r="J919" s="8">
        <f t="shared" si="131"/>
        <v>49777.5</v>
      </c>
      <c r="K919" s="7">
        <f t="shared" si="132"/>
        <v>-50412.013412187363</v>
      </c>
      <c r="L919" s="4">
        <f>IF(A919&gt;'Yield Curve'!A1533,L918,(1+VLOOKUP(A919,'Yield Curve'!A912:B1534,2,FALSE))^(1/12)-1)</f>
        <v>7.9741404289037643E-3</v>
      </c>
      <c r="M919" s="5">
        <f t="shared" si="133"/>
        <v>-36.319458223348484</v>
      </c>
    </row>
    <row r="920" spans="1:13" x14ac:dyDescent="0.25">
      <c r="A920" s="4">
        <v>912</v>
      </c>
      <c r="B920" s="4">
        <f t="shared" si="126"/>
        <v>121</v>
      </c>
      <c r="C920" s="4">
        <f t="shared" si="127"/>
        <v>927</v>
      </c>
      <c r="D920" s="4">
        <f>IF(B920&gt;'Mortality Table'!$A$118,D919,VLOOKUP(B920,'Mortality Table'!$A$2:$B$118,2,FALSE))</f>
        <v>0.59733000000000003</v>
      </c>
      <c r="E920" s="4">
        <f>IF(INT((C920-1)/12)+1&gt;'Lapse Table'!$A$11,E919,VLOOKUP(INT((C920-1)/12)+1,'Lapse Table'!$A$2:$B$11,2,FALSE))/12</f>
        <v>0</v>
      </c>
      <c r="F920" s="5">
        <f t="shared" si="134"/>
        <v>-19.085179865620809</v>
      </c>
      <c r="G920" s="6">
        <f t="shared" si="128"/>
        <v>4.9777500000000002E-2</v>
      </c>
      <c r="H920" s="6">
        <f t="shared" si="129"/>
        <v>0</v>
      </c>
      <c r="I920" s="7">
        <f t="shared" si="130"/>
        <v>-636.17266218736029</v>
      </c>
      <c r="J920" s="8">
        <f t="shared" si="131"/>
        <v>49777.5</v>
      </c>
      <c r="K920" s="7">
        <f t="shared" si="132"/>
        <v>-50413.67266218736</v>
      </c>
      <c r="L920" s="4">
        <f>IF(A920&gt;'Yield Curve'!A1534,L919,(1+VLOOKUP(A920,'Yield Curve'!A913:B1535,2,FALSE))^(1/12)-1)</f>
        <v>7.9741404289037643E-3</v>
      </c>
      <c r="M920" s="5">
        <f t="shared" si="133"/>
        <v>-36.033318889123308</v>
      </c>
    </row>
    <row r="921" spans="1:13" x14ac:dyDescent="0.25">
      <c r="A921" s="4">
        <v>913</v>
      </c>
      <c r="B921" s="4">
        <f t="shared" si="126"/>
        <v>121</v>
      </c>
      <c r="C921" s="4">
        <f t="shared" si="127"/>
        <v>928</v>
      </c>
      <c r="D921" s="4">
        <f>IF(B921&gt;'Mortality Table'!$A$118,D920,VLOOKUP(B921,'Mortality Table'!$A$2:$B$118,2,FALSE))</f>
        <v>0.59733000000000003</v>
      </c>
      <c r="E921" s="4">
        <f>IF(INT((C921-1)/12)+1&gt;'Lapse Table'!$A$11,E920,VLOOKUP(INT((C921-1)/12)+1,'Lapse Table'!$A$2:$B$11,2,FALSE))/12</f>
        <v>0</v>
      </c>
      <c r="F921" s="5">
        <f t="shared" si="134"/>
        <v>-19.13495736562081</v>
      </c>
      <c r="G921" s="6">
        <f t="shared" si="128"/>
        <v>4.9777500000000002E-2</v>
      </c>
      <c r="H921" s="6">
        <f t="shared" si="129"/>
        <v>0</v>
      </c>
      <c r="I921" s="7">
        <f t="shared" si="130"/>
        <v>-637.83191218736033</v>
      </c>
      <c r="J921" s="8">
        <f t="shared" si="131"/>
        <v>49777.5</v>
      </c>
      <c r="K921" s="7">
        <f t="shared" si="132"/>
        <v>-50415.331912187357</v>
      </c>
      <c r="L921" s="4">
        <f>IF(A921&gt;'Yield Curve'!A1535,L920,(1+VLOOKUP(A921,'Yield Curve'!A914:B1536,2,FALSE))^(1/12)-1)</f>
        <v>7.9741404289037643E-3</v>
      </c>
      <c r="M921" s="5">
        <f t="shared" si="133"/>
        <v>-35.749433837206013</v>
      </c>
    </row>
    <row r="922" spans="1:13" x14ac:dyDescent="0.25">
      <c r="A922" s="4">
        <v>914</v>
      </c>
      <c r="B922" s="4">
        <f t="shared" si="126"/>
        <v>121</v>
      </c>
      <c r="C922" s="4">
        <f t="shared" si="127"/>
        <v>929</v>
      </c>
      <c r="D922" s="4">
        <f>IF(B922&gt;'Mortality Table'!$A$118,D921,VLOOKUP(B922,'Mortality Table'!$A$2:$B$118,2,FALSE))</f>
        <v>0.59733000000000003</v>
      </c>
      <c r="E922" s="4">
        <f>IF(INT((C922-1)/12)+1&gt;'Lapse Table'!$A$11,E921,VLOOKUP(INT((C922-1)/12)+1,'Lapse Table'!$A$2:$B$11,2,FALSE))/12</f>
        <v>0</v>
      </c>
      <c r="F922" s="5">
        <f t="shared" si="134"/>
        <v>-19.184734865620811</v>
      </c>
      <c r="G922" s="6">
        <f t="shared" si="128"/>
        <v>4.9777500000000002E-2</v>
      </c>
      <c r="H922" s="6">
        <f t="shared" si="129"/>
        <v>0</v>
      </c>
      <c r="I922" s="7">
        <f t="shared" si="130"/>
        <v>-639.49116218736037</v>
      </c>
      <c r="J922" s="8">
        <f t="shared" si="131"/>
        <v>49777.5</v>
      </c>
      <c r="K922" s="7">
        <f t="shared" si="132"/>
        <v>-50416.991162187362</v>
      </c>
      <c r="L922" s="4">
        <f>IF(A922&gt;'Yield Curve'!A1536,L921,(1+VLOOKUP(A922,'Yield Curve'!A915:B1537,2,FALSE))^(1/12)-1)</f>
        <v>7.9741404289037643E-3</v>
      </c>
      <c r="M922" s="5">
        <f t="shared" si="133"/>
        <v>-35.467785308064478</v>
      </c>
    </row>
    <row r="923" spans="1:13" x14ac:dyDescent="0.25">
      <c r="A923" s="4">
        <v>915</v>
      </c>
      <c r="B923" s="4">
        <f t="shared" si="126"/>
        <v>121</v>
      </c>
      <c r="C923" s="4">
        <f t="shared" si="127"/>
        <v>930</v>
      </c>
      <c r="D923" s="4">
        <f>IF(B923&gt;'Mortality Table'!$A$118,D922,VLOOKUP(B923,'Mortality Table'!$A$2:$B$118,2,FALSE))</f>
        <v>0.59733000000000003</v>
      </c>
      <c r="E923" s="4">
        <f>IF(INT((C923-1)/12)+1&gt;'Lapse Table'!$A$11,E922,VLOOKUP(INT((C923-1)/12)+1,'Lapse Table'!$A$2:$B$11,2,FALSE))/12</f>
        <v>0</v>
      </c>
      <c r="F923" s="5">
        <f t="shared" si="134"/>
        <v>-19.234512365620812</v>
      </c>
      <c r="G923" s="6">
        <f t="shared" si="128"/>
        <v>4.9777500000000002E-2</v>
      </c>
      <c r="H923" s="6">
        <f t="shared" si="129"/>
        <v>0</v>
      </c>
      <c r="I923" s="7">
        <f t="shared" si="130"/>
        <v>-641.15041218736042</v>
      </c>
      <c r="J923" s="8">
        <f t="shared" si="131"/>
        <v>49777.5</v>
      </c>
      <c r="K923" s="7">
        <f t="shared" si="132"/>
        <v>-50418.650412187359</v>
      </c>
      <c r="L923" s="4">
        <f>IF(A923&gt;'Yield Curve'!A1537,L922,(1+VLOOKUP(A923,'Yield Curve'!A916:B1538,2,FALSE))^(1/12)-1)</f>
        <v>7.9741404289037643E-3</v>
      </c>
      <c r="M923" s="5">
        <f t="shared" si="133"/>
        <v>-35.18835568207605</v>
      </c>
    </row>
    <row r="924" spans="1:13" x14ac:dyDescent="0.25">
      <c r="A924" s="4">
        <v>916</v>
      </c>
      <c r="B924" s="4">
        <f t="shared" si="126"/>
        <v>121</v>
      </c>
      <c r="C924" s="4">
        <f t="shared" si="127"/>
        <v>931</v>
      </c>
      <c r="D924" s="4">
        <f>IF(B924&gt;'Mortality Table'!$A$118,D923,VLOOKUP(B924,'Mortality Table'!$A$2:$B$118,2,FALSE))</f>
        <v>0.59733000000000003</v>
      </c>
      <c r="E924" s="4">
        <f>IF(INT((C924-1)/12)+1&gt;'Lapse Table'!$A$11,E923,VLOOKUP(INT((C924-1)/12)+1,'Lapse Table'!$A$2:$B$11,2,FALSE))/12</f>
        <v>0</v>
      </c>
      <c r="F924" s="5">
        <f t="shared" si="134"/>
        <v>-19.284289865620813</v>
      </c>
      <c r="G924" s="6">
        <f t="shared" si="128"/>
        <v>4.9777500000000002E-2</v>
      </c>
      <c r="H924" s="6">
        <f t="shared" si="129"/>
        <v>0</v>
      </c>
      <c r="I924" s="7">
        <f t="shared" si="130"/>
        <v>-642.80966218736046</v>
      </c>
      <c r="J924" s="8">
        <f t="shared" si="131"/>
        <v>49777.5</v>
      </c>
      <c r="K924" s="7">
        <f t="shared" si="132"/>
        <v>-50420.309662187363</v>
      </c>
      <c r="L924" s="4">
        <f>IF(A924&gt;'Yield Curve'!A1538,L923,(1+VLOOKUP(A924,'Yield Curve'!A917:B1539,2,FALSE))^(1/12)-1)</f>
        <v>7.9741404289037643E-3</v>
      </c>
      <c r="M924" s="5">
        <f t="shared" si="133"/>
        <v>-34.911127478425378</v>
      </c>
    </row>
    <row r="925" spans="1:13" x14ac:dyDescent="0.25">
      <c r="A925" s="4">
        <v>917</v>
      </c>
      <c r="B925" s="4">
        <f t="shared" si="126"/>
        <v>121</v>
      </c>
      <c r="C925" s="4">
        <f t="shared" si="127"/>
        <v>932</v>
      </c>
      <c r="D925" s="4">
        <f>IF(B925&gt;'Mortality Table'!$A$118,D924,VLOOKUP(B925,'Mortality Table'!$A$2:$B$118,2,FALSE))</f>
        <v>0.59733000000000003</v>
      </c>
      <c r="E925" s="4">
        <f>IF(INT((C925-1)/12)+1&gt;'Lapse Table'!$A$11,E924,VLOOKUP(INT((C925-1)/12)+1,'Lapse Table'!$A$2:$B$11,2,FALSE))/12</f>
        <v>0</v>
      </c>
      <c r="F925" s="5">
        <f t="shared" si="134"/>
        <v>-19.334067365620815</v>
      </c>
      <c r="G925" s="6">
        <f t="shared" si="128"/>
        <v>4.9777500000000002E-2</v>
      </c>
      <c r="H925" s="6">
        <f t="shared" si="129"/>
        <v>0</v>
      </c>
      <c r="I925" s="7">
        <f t="shared" si="130"/>
        <v>-644.4689121873605</v>
      </c>
      <c r="J925" s="8">
        <f t="shared" si="131"/>
        <v>49777.5</v>
      </c>
      <c r="K925" s="7">
        <f t="shared" si="132"/>
        <v>-50421.96891218736</v>
      </c>
      <c r="L925" s="4">
        <f>IF(A925&gt;'Yield Curve'!A1539,L924,(1+VLOOKUP(A925,'Yield Curve'!A918:B1540,2,FALSE))^(1/12)-1)</f>
        <v>7.9741404289037643E-3</v>
      </c>
      <c r="M925" s="5">
        <f t="shared" si="133"/>
        <v>-34.6360833540109</v>
      </c>
    </row>
    <row r="926" spans="1:13" x14ac:dyDescent="0.25">
      <c r="A926" s="4">
        <v>918</v>
      </c>
      <c r="B926" s="4">
        <f t="shared" si="126"/>
        <v>121</v>
      </c>
      <c r="C926" s="4">
        <f t="shared" si="127"/>
        <v>933</v>
      </c>
      <c r="D926" s="4">
        <f>IF(B926&gt;'Mortality Table'!$A$118,D925,VLOOKUP(B926,'Mortality Table'!$A$2:$B$118,2,FALSE))</f>
        <v>0.59733000000000003</v>
      </c>
      <c r="E926" s="4">
        <f>IF(INT((C926-1)/12)+1&gt;'Lapse Table'!$A$11,E925,VLOOKUP(INT((C926-1)/12)+1,'Lapse Table'!$A$2:$B$11,2,FALSE))/12</f>
        <v>0</v>
      </c>
      <c r="F926" s="5">
        <f t="shared" si="134"/>
        <v>-19.383844865620816</v>
      </c>
      <c r="G926" s="6">
        <f t="shared" si="128"/>
        <v>4.9777500000000002E-2</v>
      </c>
      <c r="H926" s="6">
        <f t="shared" si="129"/>
        <v>0</v>
      </c>
      <c r="I926" s="7">
        <f t="shared" si="130"/>
        <v>-646.12816218736054</v>
      </c>
      <c r="J926" s="8">
        <f t="shared" si="131"/>
        <v>49777.5</v>
      </c>
      <c r="K926" s="7">
        <f t="shared" si="132"/>
        <v>-50423.628162187364</v>
      </c>
      <c r="L926" s="4">
        <f>IF(A926&gt;'Yield Curve'!A1540,L925,(1+VLOOKUP(A926,'Yield Curve'!A919:B1541,2,FALSE))^(1/12)-1)</f>
        <v>7.9741404289037643E-3</v>
      </c>
      <c r="M926" s="5">
        <f t="shared" si="133"/>
        <v>-34.363206102359982</v>
      </c>
    </row>
    <row r="927" spans="1:13" x14ac:dyDescent="0.25">
      <c r="A927" s="4">
        <v>919</v>
      </c>
      <c r="B927" s="4">
        <f t="shared" si="126"/>
        <v>121</v>
      </c>
      <c r="C927" s="4">
        <f t="shared" si="127"/>
        <v>934</v>
      </c>
      <c r="D927" s="4">
        <f>IF(B927&gt;'Mortality Table'!$A$118,D926,VLOOKUP(B927,'Mortality Table'!$A$2:$B$118,2,FALSE))</f>
        <v>0.59733000000000003</v>
      </c>
      <c r="E927" s="4">
        <f>IF(INT((C927-1)/12)+1&gt;'Lapse Table'!$A$11,E926,VLOOKUP(INT((C927-1)/12)+1,'Lapse Table'!$A$2:$B$11,2,FALSE))/12</f>
        <v>0</v>
      </c>
      <c r="F927" s="5">
        <f t="shared" si="134"/>
        <v>-19.433622365620817</v>
      </c>
      <c r="G927" s="6">
        <f t="shared" si="128"/>
        <v>4.9777500000000002E-2</v>
      </c>
      <c r="H927" s="6">
        <f t="shared" si="129"/>
        <v>0</v>
      </c>
      <c r="I927" s="7">
        <f t="shared" si="130"/>
        <v>-647.78741218736059</v>
      </c>
      <c r="J927" s="8">
        <f t="shared" si="131"/>
        <v>49777.5</v>
      </c>
      <c r="K927" s="7">
        <f t="shared" si="132"/>
        <v>-50425.287412187361</v>
      </c>
      <c r="L927" s="4">
        <f>IF(A927&gt;'Yield Curve'!A1541,L926,(1+VLOOKUP(A927,'Yield Curve'!A920:B1542,2,FALSE))^(1/12)-1)</f>
        <v>7.9741404289037643E-3</v>
      </c>
      <c r="M927" s="5">
        <f t="shared" si="133"/>
        <v>-34.092478652552522</v>
      </c>
    </row>
    <row r="928" spans="1:13" x14ac:dyDescent="0.25">
      <c r="A928" s="4">
        <v>920</v>
      </c>
      <c r="B928" s="4">
        <f t="shared" si="126"/>
        <v>121</v>
      </c>
      <c r="C928" s="4">
        <f t="shared" si="127"/>
        <v>935</v>
      </c>
      <c r="D928" s="4">
        <f>IF(B928&gt;'Mortality Table'!$A$118,D927,VLOOKUP(B928,'Mortality Table'!$A$2:$B$118,2,FALSE))</f>
        <v>0.59733000000000003</v>
      </c>
      <c r="E928" s="4">
        <f>IF(INT((C928-1)/12)+1&gt;'Lapse Table'!$A$11,E927,VLOOKUP(INT((C928-1)/12)+1,'Lapse Table'!$A$2:$B$11,2,FALSE))/12</f>
        <v>0</v>
      </c>
      <c r="F928" s="5">
        <f t="shared" si="134"/>
        <v>-19.483399865620818</v>
      </c>
      <c r="G928" s="6">
        <f t="shared" si="128"/>
        <v>4.9777500000000002E-2</v>
      </c>
      <c r="H928" s="6">
        <f t="shared" si="129"/>
        <v>0</v>
      </c>
      <c r="I928" s="7">
        <f t="shared" si="130"/>
        <v>-649.44666218736063</v>
      </c>
      <c r="J928" s="8">
        <f t="shared" si="131"/>
        <v>49777.5</v>
      </c>
      <c r="K928" s="7">
        <f t="shared" si="132"/>
        <v>-50426.946662187358</v>
      </c>
      <c r="L928" s="4">
        <f>IF(A928&gt;'Yield Curve'!A1542,L927,(1+VLOOKUP(A928,'Yield Curve'!A921:B1543,2,FALSE))^(1/12)-1)</f>
        <v>7.9741404289037643E-3</v>
      </c>
      <c r="M928" s="5">
        <f t="shared" si="133"/>
        <v>-33.823884068153113</v>
      </c>
    </row>
    <row r="929" spans="1:13" x14ac:dyDescent="0.25">
      <c r="A929" s="4">
        <v>921</v>
      </c>
      <c r="B929" s="4">
        <f t="shared" si="126"/>
        <v>121</v>
      </c>
      <c r="C929" s="4">
        <f t="shared" si="127"/>
        <v>936</v>
      </c>
      <c r="D929" s="4">
        <f>IF(B929&gt;'Mortality Table'!$A$118,D928,VLOOKUP(B929,'Mortality Table'!$A$2:$B$118,2,FALSE))</f>
        <v>0.59733000000000003</v>
      </c>
      <c r="E929" s="4">
        <f>IF(INT((C929-1)/12)+1&gt;'Lapse Table'!$A$11,E928,VLOOKUP(INT((C929-1)/12)+1,'Lapse Table'!$A$2:$B$11,2,FALSE))/12</f>
        <v>0</v>
      </c>
      <c r="F929" s="5">
        <f t="shared" si="134"/>
        <v>-19.533177365620819</v>
      </c>
      <c r="G929" s="6">
        <f t="shared" si="128"/>
        <v>4.9777500000000002E-2</v>
      </c>
      <c r="H929" s="6">
        <f t="shared" si="129"/>
        <v>0</v>
      </c>
      <c r="I929" s="7">
        <f t="shared" si="130"/>
        <v>-651.10591218736067</v>
      </c>
      <c r="J929" s="8">
        <f t="shared" si="131"/>
        <v>49777.5</v>
      </c>
      <c r="K929" s="7">
        <f t="shared" si="132"/>
        <v>-50428.605912187362</v>
      </c>
      <c r="L929" s="4">
        <f>IF(A929&gt;'Yield Curve'!A1543,L928,(1+VLOOKUP(A929,'Yield Curve'!A922:B1544,2,FALSE))^(1/12)-1)</f>
        <v>7.9741404289037643E-3</v>
      </c>
      <c r="M929" s="5">
        <f t="shared" si="133"/>
        <v>-33.557405546151628</v>
      </c>
    </row>
    <row r="930" spans="1:13" x14ac:dyDescent="0.25">
      <c r="A930" s="4">
        <v>922</v>
      </c>
      <c r="B930" s="4">
        <f t="shared" si="126"/>
        <v>121</v>
      </c>
      <c r="C930" s="4">
        <f t="shared" si="127"/>
        <v>937</v>
      </c>
      <c r="D930" s="4">
        <f>IF(B930&gt;'Mortality Table'!$A$118,D929,VLOOKUP(B930,'Mortality Table'!$A$2:$B$118,2,FALSE))</f>
        <v>0.59733000000000003</v>
      </c>
      <c r="E930" s="4">
        <f>IF(INT((C930-1)/12)+1&gt;'Lapse Table'!$A$11,E929,VLOOKUP(INT((C930-1)/12)+1,'Lapse Table'!$A$2:$B$11,2,FALSE))/12</f>
        <v>0</v>
      </c>
      <c r="F930" s="5">
        <f t="shared" si="134"/>
        <v>-19.58295486562082</v>
      </c>
      <c r="G930" s="6">
        <f t="shared" si="128"/>
        <v>4.9777500000000002E-2</v>
      </c>
      <c r="H930" s="6">
        <f t="shared" si="129"/>
        <v>0</v>
      </c>
      <c r="I930" s="7">
        <f t="shared" si="130"/>
        <v>-652.76516218736072</v>
      </c>
      <c r="J930" s="8">
        <f t="shared" si="131"/>
        <v>49777.5</v>
      </c>
      <c r="K930" s="7">
        <f t="shared" si="132"/>
        <v>-50430.265162187359</v>
      </c>
      <c r="L930" s="4">
        <f>IF(A930&gt;'Yield Curve'!A1544,L929,(1+VLOOKUP(A930,'Yield Curve'!A923:B1545,2,FALSE))^(1/12)-1)</f>
        <v>7.9741404289037643E-3</v>
      </c>
      <c r="M930" s="5">
        <f t="shared" si="133"/>
        <v>-33.293026415912031</v>
      </c>
    </row>
    <row r="931" spans="1:13" x14ac:dyDescent="0.25">
      <c r="A931" s="4">
        <v>923</v>
      </c>
      <c r="B931" s="4">
        <f t="shared" si="126"/>
        <v>121</v>
      </c>
      <c r="C931" s="4">
        <f t="shared" si="127"/>
        <v>938</v>
      </c>
      <c r="D931" s="4">
        <f>IF(B931&gt;'Mortality Table'!$A$118,D930,VLOOKUP(B931,'Mortality Table'!$A$2:$B$118,2,FALSE))</f>
        <v>0.59733000000000003</v>
      </c>
      <c r="E931" s="4">
        <f>IF(INT((C931-1)/12)+1&gt;'Lapse Table'!$A$11,E930,VLOOKUP(INT((C931-1)/12)+1,'Lapse Table'!$A$2:$B$11,2,FALSE))/12</f>
        <v>0</v>
      </c>
      <c r="F931" s="5">
        <f t="shared" si="134"/>
        <v>-19.632732365620821</v>
      </c>
      <c r="G931" s="6">
        <f t="shared" si="128"/>
        <v>4.9777500000000002E-2</v>
      </c>
      <c r="H931" s="6">
        <f t="shared" si="129"/>
        <v>0</v>
      </c>
      <c r="I931" s="7">
        <f t="shared" si="130"/>
        <v>-654.42441218736064</v>
      </c>
      <c r="J931" s="8">
        <f t="shared" si="131"/>
        <v>49777.5</v>
      </c>
      <c r="K931" s="7">
        <f t="shared" si="132"/>
        <v>-50431.924412187363</v>
      </c>
      <c r="L931" s="4">
        <f>IF(A931&gt;'Yield Curve'!A1545,L930,(1+VLOOKUP(A931,'Yield Curve'!A924:B1546,2,FALSE))^(1/12)-1)</f>
        <v>7.9741404289037643E-3</v>
      </c>
      <c r="M931" s="5">
        <f t="shared" si="133"/>
        <v>-33.030730138129634</v>
      </c>
    </row>
    <row r="932" spans="1:13" x14ac:dyDescent="0.25">
      <c r="A932" s="4">
        <v>924</v>
      </c>
      <c r="B932" s="4">
        <f t="shared" si="126"/>
        <v>122</v>
      </c>
      <c r="C932" s="4">
        <f t="shared" si="127"/>
        <v>939</v>
      </c>
      <c r="D932" s="4">
        <f>IF(B932&gt;'Mortality Table'!$A$118,D931,VLOOKUP(B932,'Mortality Table'!$A$2:$B$118,2,FALSE))</f>
        <v>0.59733000000000003</v>
      </c>
      <c r="E932" s="4">
        <f>IF(INT((C932-1)/12)+1&gt;'Lapse Table'!$A$11,E931,VLOOKUP(INT((C932-1)/12)+1,'Lapse Table'!$A$2:$B$11,2,FALSE))/12</f>
        <v>0</v>
      </c>
      <c r="F932" s="5">
        <f t="shared" si="134"/>
        <v>-19.682509865620823</v>
      </c>
      <c r="G932" s="6">
        <f t="shared" si="128"/>
        <v>4.9777500000000002E-2</v>
      </c>
      <c r="H932" s="6">
        <f t="shared" si="129"/>
        <v>0</v>
      </c>
      <c r="I932" s="7">
        <f t="shared" si="130"/>
        <v>-656.0836621873608</v>
      </c>
      <c r="J932" s="8">
        <f t="shared" si="131"/>
        <v>49777.5</v>
      </c>
      <c r="K932" s="7">
        <f t="shared" si="132"/>
        <v>-50433.58366218736</v>
      </c>
      <c r="L932" s="4">
        <f>IF(A932&gt;'Yield Curve'!A1546,L931,(1+VLOOKUP(A932,'Yield Curve'!A925:B1547,2,FALSE))^(1/12)-1)</f>
        <v>7.9741404289037643E-3</v>
      </c>
      <c r="M932" s="5">
        <f t="shared" si="133"/>
        <v>-32.770500303796439</v>
      </c>
    </row>
    <row r="933" spans="1:13" x14ac:dyDescent="0.25">
      <c r="A933" s="4">
        <v>925</v>
      </c>
      <c r="B933" s="4">
        <f t="shared" si="126"/>
        <v>122</v>
      </c>
      <c r="C933" s="4">
        <f t="shared" si="127"/>
        <v>940</v>
      </c>
      <c r="D933" s="4">
        <f>IF(B933&gt;'Mortality Table'!$A$118,D932,VLOOKUP(B933,'Mortality Table'!$A$2:$B$118,2,FALSE))</f>
        <v>0.59733000000000003</v>
      </c>
      <c r="E933" s="4">
        <f>IF(INT((C933-1)/12)+1&gt;'Lapse Table'!$A$11,E932,VLOOKUP(INT((C933-1)/12)+1,'Lapse Table'!$A$2:$B$11,2,FALSE))/12</f>
        <v>0</v>
      </c>
      <c r="F933" s="5">
        <f t="shared" si="134"/>
        <v>-19.732287365620824</v>
      </c>
      <c r="G933" s="6">
        <f t="shared" si="128"/>
        <v>4.9777500000000002E-2</v>
      </c>
      <c r="H933" s="6">
        <f t="shared" si="129"/>
        <v>0</v>
      </c>
      <c r="I933" s="7">
        <f t="shared" si="130"/>
        <v>-657.74291218736073</v>
      </c>
      <c r="J933" s="8">
        <f t="shared" si="131"/>
        <v>49777.5</v>
      </c>
      <c r="K933" s="7">
        <f t="shared" si="132"/>
        <v>-50435.242912187357</v>
      </c>
      <c r="L933" s="4">
        <f>IF(A933&gt;'Yield Curve'!A1547,L932,(1+VLOOKUP(A933,'Yield Curve'!A926:B1548,2,FALSE))^(1/12)-1)</f>
        <v>7.9741404289037643E-3</v>
      </c>
      <c r="M933" s="5">
        <f t="shared" si="133"/>
        <v>-32.512320633174681</v>
      </c>
    </row>
    <row r="934" spans="1:13" x14ac:dyDescent="0.25">
      <c r="A934" s="4">
        <v>926</v>
      </c>
      <c r="B934" s="4">
        <f t="shared" si="126"/>
        <v>122</v>
      </c>
      <c r="C934" s="4">
        <f t="shared" si="127"/>
        <v>941</v>
      </c>
      <c r="D934" s="4">
        <f>IF(B934&gt;'Mortality Table'!$A$118,D933,VLOOKUP(B934,'Mortality Table'!$A$2:$B$118,2,FALSE))</f>
        <v>0.59733000000000003</v>
      </c>
      <c r="E934" s="4">
        <f>IF(INT((C934-1)/12)+1&gt;'Lapse Table'!$A$11,E933,VLOOKUP(INT((C934-1)/12)+1,'Lapse Table'!$A$2:$B$11,2,FALSE))/12</f>
        <v>0</v>
      </c>
      <c r="F934" s="5">
        <f t="shared" si="134"/>
        <v>-19.782064865620825</v>
      </c>
      <c r="G934" s="6">
        <f t="shared" si="128"/>
        <v>4.9777500000000002E-2</v>
      </c>
      <c r="H934" s="6">
        <f t="shared" si="129"/>
        <v>0</v>
      </c>
      <c r="I934" s="7">
        <f t="shared" si="130"/>
        <v>-659.40216218736089</v>
      </c>
      <c r="J934" s="8">
        <f t="shared" si="131"/>
        <v>49777.5</v>
      </c>
      <c r="K934" s="7">
        <f t="shared" si="132"/>
        <v>-50436.902162187362</v>
      </c>
      <c r="L934" s="4">
        <f>IF(A934&gt;'Yield Curve'!A1548,L933,(1+VLOOKUP(A934,'Yield Curve'!A927:B1549,2,FALSE))^(1/12)-1)</f>
        <v>7.9741404289037643E-3</v>
      </c>
      <c r="M934" s="5">
        <f t="shared" si="133"/>
        <v>-32.256174974778496</v>
      </c>
    </row>
    <row r="935" spans="1:13" x14ac:dyDescent="0.25">
      <c r="A935" s="4">
        <v>927</v>
      </c>
      <c r="B935" s="4">
        <f t="shared" si="126"/>
        <v>122</v>
      </c>
      <c r="C935" s="4">
        <f t="shared" si="127"/>
        <v>942</v>
      </c>
      <c r="D935" s="4">
        <f>IF(B935&gt;'Mortality Table'!$A$118,D934,VLOOKUP(B935,'Mortality Table'!$A$2:$B$118,2,FALSE))</f>
        <v>0.59733000000000003</v>
      </c>
      <c r="E935" s="4">
        <f>IF(INT((C935-1)/12)+1&gt;'Lapse Table'!$A$11,E934,VLOOKUP(INT((C935-1)/12)+1,'Lapse Table'!$A$2:$B$11,2,FALSE))/12</f>
        <v>0</v>
      </c>
      <c r="F935" s="5">
        <f t="shared" si="134"/>
        <v>-19.831842365620826</v>
      </c>
      <c r="G935" s="6">
        <f t="shared" si="128"/>
        <v>4.9777500000000002E-2</v>
      </c>
      <c r="H935" s="6">
        <f t="shared" si="129"/>
        <v>0</v>
      </c>
      <c r="I935" s="7">
        <f t="shared" si="130"/>
        <v>-661.06141218736082</v>
      </c>
      <c r="J935" s="8">
        <f t="shared" si="131"/>
        <v>49777.5</v>
      </c>
      <c r="K935" s="7">
        <f t="shared" si="132"/>
        <v>-50438.561412187359</v>
      </c>
      <c r="L935" s="4">
        <f>IF(A935&gt;'Yield Curve'!A1549,L934,(1+VLOOKUP(A935,'Yield Curve'!A928:B1550,2,FALSE))^(1/12)-1)</f>
        <v>7.9741404289037643E-3</v>
      </c>
      <c r="M935" s="5">
        <f t="shared" si="133"/>
        <v>-32.002047304363501</v>
      </c>
    </row>
    <row r="936" spans="1:13" x14ac:dyDescent="0.25">
      <c r="A936" s="4">
        <v>928</v>
      </c>
      <c r="B936" s="4">
        <f t="shared" si="126"/>
        <v>122</v>
      </c>
      <c r="C936" s="4">
        <f t="shared" si="127"/>
        <v>943</v>
      </c>
      <c r="D936" s="4">
        <f>IF(B936&gt;'Mortality Table'!$A$118,D935,VLOOKUP(B936,'Mortality Table'!$A$2:$B$118,2,FALSE))</f>
        <v>0.59733000000000003</v>
      </c>
      <c r="E936" s="4">
        <f>IF(INT((C936-1)/12)+1&gt;'Lapse Table'!$A$11,E935,VLOOKUP(INT((C936-1)/12)+1,'Lapse Table'!$A$2:$B$11,2,FALSE))/12</f>
        <v>0</v>
      </c>
      <c r="F936" s="5">
        <f t="shared" si="134"/>
        <v>-19.881619865620827</v>
      </c>
      <c r="G936" s="6">
        <f t="shared" si="128"/>
        <v>4.9777500000000002E-2</v>
      </c>
      <c r="H936" s="6">
        <f t="shared" si="129"/>
        <v>0</v>
      </c>
      <c r="I936" s="7">
        <f t="shared" si="130"/>
        <v>-662.72066218736097</v>
      </c>
      <c r="J936" s="8">
        <f t="shared" si="131"/>
        <v>49777.5</v>
      </c>
      <c r="K936" s="7">
        <f t="shared" si="132"/>
        <v>-50440.220662187363</v>
      </c>
      <c r="L936" s="4">
        <f>IF(A936&gt;'Yield Curve'!A1550,L935,(1+VLOOKUP(A936,'Yield Curve'!A929:B1551,2,FALSE))^(1/12)-1)</f>
        <v>7.9741404289037643E-3</v>
      </c>
      <c r="M936" s="5">
        <f t="shared" si="133"/>
        <v>-31.749921723924441</v>
      </c>
    </row>
    <row r="937" spans="1:13" x14ac:dyDescent="0.25">
      <c r="A937" s="4">
        <v>929</v>
      </c>
      <c r="B937" s="4">
        <f t="shared" si="126"/>
        <v>122</v>
      </c>
      <c r="C937" s="4">
        <f t="shared" si="127"/>
        <v>944</v>
      </c>
      <c r="D937" s="4">
        <f>IF(B937&gt;'Mortality Table'!$A$118,D936,VLOOKUP(B937,'Mortality Table'!$A$2:$B$118,2,FALSE))</f>
        <v>0.59733000000000003</v>
      </c>
      <c r="E937" s="4">
        <f>IF(INT((C937-1)/12)+1&gt;'Lapse Table'!$A$11,E936,VLOOKUP(INT((C937-1)/12)+1,'Lapse Table'!$A$2:$B$11,2,FALSE))/12</f>
        <v>0</v>
      </c>
      <c r="F937" s="5">
        <f t="shared" si="134"/>
        <v>-19.931397365620828</v>
      </c>
      <c r="G937" s="6">
        <f t="shared" si="128"/>
        <v>4.9777500000000002E-2</v>
      </c>
      <c r="H937" s="6">
        <f t="shared" si="129"/>
        <v>0</v>
      </c>
      <c r="I937" s="7">
        <f t="shared" si="130"/>
        <v>-664.3799121873609</v>
      </c>
      <c r="J937" s="8">
        <f t="shared" si="131"/>
        <v>49777.5</v>
      </c>
      <c r="K937" s="7">
        <f t="shared" si="132"/>
        <v>-50441.87991218736</v>
      </c>
      <c r="L937" s="4">
        <f>IF(A937&gt;'Yield Curve'!A1551,L936,(1+VLOOKUP(A937,'Yield Curve'!A930:B1552,2,FALSE))^(1/12)-1)</f>
        <v>7.9741404289037643E-3</v>
      </c>
      <c r="M937" s="5">
        <f t="shared" si="133"/>
        <v>-31.499782460700736</v>
      </c>
    </row>
    <row r="938" spans="1:13" x14ac:dyDescent="0.25">
      <c r="A938" s="4">
        <v>930</v>
      </c>
      <c r="B938" s="4">
        <f t="shared" si="126"/>
        <v>122</v>
      </c>
      <c r="C938" s="4">
        <f t="shared" si="127"/>
        <v>945</v>
      </c>
      <c r="D938" s="4">
        <f>IF(B938&gt;'Mortality Table'!$A$118,D937,VLOOKUP(B938,'Mortality Table'!$A$2:$B$118,2,FALSE))</f>
        <v>0.59733000000000003</v>
      </c>
      <c r="E938" s="4">
        <f>IF(INT((C938-1)/12)+1&gt;'Lapse Table'!$A$11,E937,VLOOKUP(INT((C938-1)/12)+1,'Lapse Table'!$A$2:$B$11,2,FALSE))/12</f>
        <v>0</v>
      </c>
      <c r="F938" s="5">
        <f t="shared" si="134"/>
        <v>-19.981174865620829</v>
      </c>
      <c r="G938" s="6">
        <f t="shared" si="128"/>
        <v>4.9777500000000002E-2</v>
      </c>
      <c r="H938" s="6">
        <f t="shared" si="129"/>
        <v>0</v>
      </c>
      <c r="I938" s="7">
        <f t="shared" si="130"/>
        <v>-666.03916218736094</v>
      </c>
      <c r="J938" s="8">
        <f t="shared" si="131"/>
        <v>49777.5</v>
      </c>
      <c r="K938" s="7">
        <f t="shared" si="132"/>
        <v>-50443.539162187364</v>
      </c>
      <c r="L938" s="4">
        <f>IF(A938&gt;'Yield Curve'!A1552,L937,(1+VLOOKUP(A938,'Yield Curve'!A931:B1553,2,FALSE))^(1/12)-1)</f>
        <v>7.9741404289037643E-3</v>
      </c>
      <c r="M938" s="5">
        <f t="shared" si="133"/>
        <v>-31.251613866189739</v>
      </c>
    </row>
    <row r="939" spans="1:13" x14ac:dyDescent="0.25">
      <c r="A939" s="4">
        <v>931</v>
      </c>
      <c r="B939" s="4">
        <f t="shared" si="126"/>
        <v>122</v>
      </c>
      <c r="C939" s="4">
        <f t="shared" si="127"/>
        <v>946</v>
      </c>
      <c r="D939" s="4">
        <f>IF(B939&gt;'Mortality Table'!$A$118,D938,VLOOKUP(B939,'Mortality Table'!$A$2:$B$118,2,FALSE))</f>
        <v>0.59733000000000003</v>
      </c>
      <c r="E939" s="4">
        <f>IF(INT((C939-1)/12)+1&gt;'Lapse Table'!$A$11,E938,VLOOKUP(INT((C939-1)/12)+1,'Lapse Table'!$A$2:$B$11,2,FALSE))/12</f>
        <v>0</v>
      </c>
      <c r="F939" s="5">
        <f t="shared" si="134"/>
        <v>-20.030952365620831</v>
      </c>
      <c r="G939" s="6">
        <f t="shared" si="128"/>
        <v>4.9777500000000002E-2</v>
      </c>
      <c r="H939" s="6">
        <f t="shared" si="129"/>
        <v>0</v>
      </c>
      <c r="I939" s="7">
        <f t="shared" si="130"/>
        <v>-667.69841218736099</v>
      </c>
      <c r="J939" s="8">
        <f t="shared" si="131"/>
        <v>49777.5</v>
      </c>
      <c r="K939" s="7">
        <f t="shared" si="132"/>
        <v>-50445.198412187361</v>
      </c>
      <c r="L939" s="4">
        <f>IF(A939&gt;'Yield Curve'!A1553,L938,(1+VLOOKUP(A939,'Yield Curve'!A932:B1554,2,FALSE))^(1/12)-1)</f>
        <v>7.9741404289037643E-3</v>
      </c>
      <c r="M939" s="5">
        <f t="shared" si="133"/>
        <v>-31.005400415167887</v>
      </c>
    </row>
    <row r="940" spans="1:13" x14ac:dyDescent="0.25">
      <c r="A940" s="4">
        <v>932</v>
      </c>
      <c r="B940" s="4">
        <f t="shared" si="126"/>
        <v>122</v>
      </c>
      <c r="C940" s="4">
        <f t="shared" si="127"/>
        <v>947</v>
      </c>
      <c r="D940" s="4">
        <f>IF(B940&gt;'Mortality Table'!$A$118,D939,VLOOKUP(B940,'Mortality Table'!$A$2:$B$118,2,FALSE))</f>
        <v>0.59733000000000003</v>
      </c>
      <c r="E940" s="4">
        <f>IF(INT((C940-1)/12)+1&gt;'Lapse Table'!$A$11,E939,VLOOKUP(INT((C940-1)/12)+1,'Lapse Table'!$A$2:$B$11,2,FALSE))/12</f>
        <v>0</v>
      </c>
      <c r="F940" s="5">
        <f t="shared" si="134"/>
        <v>-20.080729865620832</v>
      </c>
      <c r="G940" s="6">
        <f t="shared" si="128"/>
        <v>4.9777500000000002E-2</v>
      </c>
      <c r="H940" s="6">
        <f t="shared" si="129"/>
        <v>0</v>
      </c>
      <c r="I940" s="7">
        <f t="shared" si="130"/>
        <v>-669.35766218736103</v>
      </c>
      <c r="J940" s="8">
        <f t="shared" si="131"/>
        <v>49777.5</v>
      </c>
      <c r="K940" s="7">
        <f t="shared" si="132"/>
        <v>-50446.857662187358</v>
      </c>
      <c r="L940" s="4">
        <f>IF(A940&gt;'Yield Curve'!A1554,L939,(1+VLOOKUP(A940,'Yield Curve'!A933:B1555,2,FALSE))^(1/12)-1)</f>
        <v>7.9741404289037643E-3</v>
      </c>
      <c r="M940" s="5">
        <f t="shared" si="133"/>
        <v>-30.761126704719516</v>
      </c>
    </row>
    <row r="941" spans="1:13" x14ac:dyDescent="0.25">
      <c r="A941" s="4">
        <v>933</v>
      </c>
      <c r="B941" s="4">
        <f t="shared" si="126"/>
        <v>122</v>
      </c>
      <c r="C941" s="4">
        <f t="shared" si="127"/>
        <v>948</v>
      </c>
      <c r="D941" s="4">
        <f>IF(B941&gt;'Mortality Table'!$A$118,D940,VLOOKUP(B941,'Mortality Table'!$A$2:$B$118,2,FALSE))</f>
        <v>0.59733000000000003</v>
      </c>
      <c r="E941" s="4">
        <f>IF(INT((C941-1)/12)+1&gt;'Lapse Table'!$A$11,E940,VLOOKUP(INT((C941-1)/12)+1,'Lapse Table'!$A$2:$B$11,2,FALSE))/12</f>
        <v>0</v>
      </c>
      <c r="F941" s="5">
        <f t="shared" si="134"/>
        <v>-20.130507365620833</v>
      </c>
      <c r="G941" s="6">
        <f t="shared" si="128"/>
        <v>4.9777500000000002E-2</v>
      </c>
      <c r="H941" s="6">
        <f t="shared" si="129"/>
        <v>0</v>
      </c>
      <c r="I941" s="7">
        <f t="shared" si="130"/>
        <v>-671.01691218736107</v>
      </c>
      <c r="J941" s="8">
        <f t="shared" si="131"/>
        <v>49777.5</v>
      </c>
      <c r="K941" s="7">
        <f t="shared" si="132"/>
        <v>-50448.516912187362</v>
      </c>
      <c r="L941" s="4">
        <f>IF(A941&gt;'Yield Curve'!A1555,L940,(1+VLOOKUP(A941,'Yield Curve'!A934:B1556,2,FALSE))^(1/12)-1)</f>
        <v>7.9741404289037643E-3</v>
      </c>
      <c r="M941" s="5">
        <f t="shared" si="133"/>
        <v>-30.518777453273387</v>
      </c>
    </row>
    <row r="942" spans="1:13" x14ac:dyDescent="0.25">
      <c r="A942" s="4">
        <v>934</v>
      </c>
      <c r="B942" s="4">
        <f t="shared" si="126"/>
        <v>122</v>
      </c>
      <c r="C942" s="4">
        <f t="shared" si="127"/>
        <v>949</v>
      </c>
      <c r="D942" s="4">
        <f>IF(B942&gt;'Mortality Table'!$A$118,D941,VLOOKUP(B942,'Mortality Table'!$A$2:$B$118,2,FALSE))</f>
        <v>0.59733000000000003</v>
      </c>
      <c r="E942" s="4">
        <f>IF(INT((C942-1)/12)+1&gt;'Lapse Table'!$A$11,E941,VLOOKUP(INT((C942-1)/12)+1,'Lapse Table'!$A$2:$B$11,2,FALSE))/12</f>
        <v>0</v>
      </c>
      <c r="F942" s="5">
        <f t="shared" si="134"/>
        <v>-20.180284865620834</v>
      </c>
      <c r="G942" s="6">
        <f t="shared" si="128"/>
        <v>4.9777500000000002E-2</v>
      </c>
      <c r="H942" s="6">
        <f t="shared" si="129"/>
        <v>0</v>
      </c>
      <c r="I942" s="7">
        <f t="shared" si="130"/>
        <v>-672.67616218736111</v>
      </c>
      <c r="J942" s="8">
        <f t="shared" si="131"/>
        <v>49777.5</v>
      </c>
      <c r="K942" s="7">
        <f t="shared" si="132"/>
        <v>-50450.176162187359</v>
      </c>
      <c r="L942" s="4">
        <f>IF(A942&gt;'Yield Curve'!A1556,L941,(1+VLOOKUP(A942,'Yield Curve'!A935:B1557,2,FALSE))^(1/12)-1)</f>
        <v>7.9741404289037643E-3</v>
      </c>
      <c r="M942" s="5">
        <f t="shared" si="133"/>
        <v>-30.278337499646636</v>
      </c>
    </row>
    <row r="943" spans="1:13" x14ac:dyDescent="0.25">
      <c r="A943" s="4">
        <v>935</v>
      </c>
      <c r="B943" s="4">
        <f t="shared" si="126"/>
        <v>122</v>
      </c>
      <c r="C943" s="4">
        <f t="shared" si="127"/>
        <v>950</v>
      </c>
      <c r="D943" s="4">
        <f>IF(B943&gt;'Mortality Table'!$A$118,D942,VLOOKUP(B943,'Mortality Table'!$A$2:$B$118,2,FALSE))</f>
        <v>0.59733000000000003</v>
      </c>
      <c r="E943" s="4">
        <f>IF(INT((C943-1)/12)+1&gt;'Lapse Table'!$A$11,E942,VLOOKUP(INT((C943-1)/12)+1,'Lapse Table'!$A$2:$B$11,2,FALSE))/12</f>
        <v>0</v>
      </c>
      <c r="F943" s="5">
        <f t="shared" si="134"/>
        <v>-20.230062365620835</v>
      </c>
      <c r="G943" s="6">
        <f t="shared" si="128"/>
        <v>4.9777500000000002E-2</v>
      </c>
      <c r="H943" s="6">
        <f t="shared" si="129"/>
        <v>0</v>
      </c>
      <c r="I943" s="7">
        <f t="shared" si="130"/>
        <v>-674.33541218736116</v>
      </c>
      <c r="J943" s="8">
        <f t="shared" si="131"/>
        <v>49777.5</v>
      </c>
      <c r="K943" s="7">
        <f t="shared" si="132"/>
        <v>-50451.835412187364</v>
      </c>
      <c r="L943" s="4">
        <f>IF(A943&gt;'Yield Curve'!A1557,L942,(1+VLOOKUP(A943,'Yield Curve'!A936:B1558,2,FALSE))^(1/12)-1)</f>
        <v>7.9741404289037643E-3</v>
      </c>
      <c r="M943" s="5">
        <f t="shared" si="133"/>
        <v>-30.039791802096488</v>
      </c>
    </row>
    <row r="944" spans="1:13" x14ac:dyDescent="0.25">
      <c r="A944" s="4">
        <v>936</v>
      </c>
      <c r="B944" s="4">
        <f t="shared" si="126"/>
        <v>123</v>
      </c>
      <c r="C944" s="4">
        <f t="shared" si="127"/>
        <v>951</v>
      </c>
      <c r="D944" s="4">
        <f>IF(B944&gt;'Mortality Table'!$A$118,D943,VLOOKUP(B944,'Mortality Table'!$A$2:$B$118,2,FALSE))</f>
        <v>0.59733000000000003</v>
      </c>
      <c r="E944" s="4">
        <f>IF(INT((C944-1)/12)+1&gt;'Lapse Table'!$A$11,E943,VLOOKUP(INT((C944-1)/12)+1,'Lapse Table'!$A$2:$B$11,2,FALSE))/12</f>
        <v>0</v>
      </c>
      <c r="F944" s="5">
        <f t="shared" si="134"/>
        <v>-20.279839865620836</v>
      </c>
      <c r="G944" s="6">
        <f t="shared" si="128"/>
        <v>4.9777500000000002E-2</v>
      </c>
      <c r="H944" s="6">
        <f t="shared" si="129"/>
        <v>0</v>
      </c>
      <c r="I944" s="7">
        <f t="shared" si="130"/>
        <v>-675.9946621873612</v>
      </c>
      <c r="J944" s="8">
        <f t="shared" si="131"/>
        <v>49777.5</v>
      </c>
      <c r="K944" s="7">
        <f t="shared" si="132"/>
        <v>-50453.494662187361</v>
      </c>
      <c r="L944" s="4">
        <f>IF(A944&gt;'Yield Curve'!A1558,L943,(1+VLOOKUP(A944,'Yield Curve'!A937:B1559,2,FALSE))^(1/12)-1)</f>
        <v>7.9741404289037643E-3</v>
      </c>
      <c r="M944" s="5">
        <f t="shared" si="133"/>
        <v>-29.803125437379226</v>
      </c>
    </row>
    <row r="945" spans="1:13" x14ac:dyDescent="0.25">
      <c r="A945" s="4">
        <v>937</v>
      </c>
      <c r="B945" s="4">
        <f t="shared" si="126"/>
        <v>123</v>
      </c>
      <c r="C945" s="4">
        <f t="shared" si="127"/>
        <v>952</v>
      </c>
      <c r="D945" s="4">
        <f>IF(B945&gt;'Mortality Table'!$A$118,D944,VLOOKUP(B945,'Mortality Table'!$A$2:$B$118,2,FALSE))</f>
        <v>0.59733000000000003</v>
      </c>
      <c r="E945" s="4">
        <f>IF(INT((C945-1)/12)+1&gt;'Lapse Table'!$A$11,E944,VLOOKUP(INT((C945-1)/12)+1,'Lapse Table'!$A$2:$B$11,2,FALSE))/12</f>
        <v>0</v>
      </c>
      <c r="F945" s="5">
        <f t="shared" si="134"/>
        <v>-20.329617365620837</v>
      </c>
      <c r="G945" s="6">
        <f t="shared" si="128"/>
        <v>4.9777500000000002E-2</v>
      </c>
      <c r="H945" s="6">
        <f t="shared" si="129"/>
        <v>0</v>
      </c>
      <c r="I945" s="7">
        <f t="shared" si="130"/>
        <v>-677.65391218736124</v>
      </c>
      <c r="J945" s="8">
        <f t="shared" si="131"/>
        <v>49777.5</v>
      </c>
      <c r="K945" s="7">
        <f t="shared" si="132"/>
        <v>-50455.153912187365</v>
      </c>
      <c r="L945" s="4">
        <f>IF(A945&gt;'Yield Curve'!A1559,L944,(1+VLOOKUP(A945,'Yield Curve'!A938:B1560,2,FALSE))^(1/12)-1)</f>
        <v>7.9741404289037643E-3</v>
      </c>
      <c r="M945" s="5">
        <f t="shared" si="133"/>
        <v>-29.568323599816772</v>
      </c>
    </row>
    <row r="946" spans="1:13" x14ac:dyDescent="0.25">
      <c r="A946" s="4">
        <v>938</v>
      </c>
      <c r="B946" s="4">
        <f t="shared" si="126"/>
        <v>123</v>
      </c>
      <c r="C946" s="4">
        <f t="shared" si="127"/>
        <v>953</v>
      </c>
      <c r="D946" s="4">
        <f>IF(B946&gt;'Mortality Table'!$A$118,D945,VLOOKUP(B946,'Mortality Table'!$A$2:$B$118,2,FALSE))</f>
        <v>0.59733000000000003</v>
      </c>
      <c r="E946" s="4">
        <f>IF(INT((C946-1)/12)+1&gt;'Lapse Table'!$A$11,E945,VLOOKUP(INT((C946-1)/12)+1,'Lapse Table'!$A$2:$B$11,2,FALSE))/12</f>
        <v>0</v>
      </c>
      <c r="F946" s="5">
        <f t="shared" si="134"/>
        <v>-20.379394865620839</v>
      </c>
      <c r="G946" s="6">
        <f t="shared" si="128"/>
        <v>4.9777500000000002E-2</v>
      </c>
      <c r="H946" s="6">
        <f t="shared" si="129"/>
        <v>0</v>
      </c>
      <c r="I946" s="7">
        <f t="shared" si="130"/>
        <v>-679.31316218736129</v>
      </c>
      <c r="J946" s="8">
        <f t="shared" si="131"/>
        <v>49777.5</v>
      </c>
      <c r="K946" s="7">
        <f t="shared" si="132"/>
        <v>-50456.813162187362</v>
      </c>
      <c r="L946" s="4">
        <f>IF(A946&gt;'Yield Curve'!A1560,L945,(1+VLOOKUP(A946,'Yield Curve'!A939:B1561,2,FALSE))^(1/12)-1)</f>
        <v>7.9741404289037643E-3</v>
      </c>
      <c r="M946" s="5">
        <f t="shared" si="133"/>
        <v>-29.335371600370411</v>
      </c>
    </row>
    <row r="947" spans="1:13" x14ac:dyDescent="0.25">
      <c r="A947" s="4">
        <v>939</v>
      </c>
      <c r="B947" s="4">
        <f t="shared" si="126"/>
        <v>123</v>
      </c>
      <c r="C947" s="4">
        <f t="shared" si="127"/>
        <v>954</v>
      </c>
      <c r="D947" s="4">
        <f>IF(B947&gt;'Mortality Table'!$A$118,D946,VLOOKUP(B947,'Mortality Table'!$A$2:$B$118,2,FALSE))</f>
        <v>0.59733000000000003</v>
      </c>
      <c r="E947" s="4">
        <f>IF(INT((C947-1)/12)+1&gt;'Lapse Table'!$A$11,E946,VLOOKUP(INT((C947-1)/12)+1,'Lapse Table'!$A$2:$B$11,2,FALSE))/12</f>
        <v>0</v>
      </c>
      <c r="F947" s="5">
        <f t="shared" si="134"/>
        <v>-20.42917236562084</v>
      </c>
      <c r="G947" s="6">
        <f t="shared" si="128"/>
        <v>4.9777500000000002E-2</v>
      </c>
      <c r="H947" s="6">
        <f t="shared" si="129"/>
        <v>0</v>
      </c>
      <c r="I947" s="7">
        <f t="shared" si="130"/>
        <v>-680.97241218736133</v>
      </c>
      <c r="J947" s="8">
        <f t="shared" si="131"/>
        <v>49777.5</v>
      </c>
      <c r="K947" s="7">
        <f t="shared" si="132"/>
        <v>-50458.472412187359</v>
      </c>
      <c r="L947" s="4">
        <f>IF(A947&gt;'Yield Curve'!A1561,L946,(1+VLOOKUP(A947,'Yield Curve'!A940:B1562,2,FALSE))^(1/12)-1)</f>
        <v>7.9741404289037643E-3</v>
      </c>
      <c r="M947" s="5">
        <f t="shared" si="133"/>
        <v>-29.104254865722012</v>
      </c>
    </row>
    <row r="948" spans="1:13" x14ac:dyDescent="0.25">
      <c r="A948" s="4">
        <v>940</v>
      </c>
      <c r="B948" s="4">
        <f t="shared" si="126"/>
        <v>123</v>
      </c>
      <c r="C948" s="4">
        <f t="shared" si="127"/>
        <v>955</v>
      </c>
      <c r="D948" s="4">
        <f>IF(B948&gt;'Mortality Table'!$A$118,D947,VLOOKUP(B948,'Mortality Table'!$A$2:$B$118,2,FALSE))</f>
        <v>0.59733000000000003</v>
      </c>
      <c r="E948" s="4">
        <f>IF(INT((C948-1)/12)+1&gt;'Lapse Table'!$A$11,E947,VLOOKUP(INT((C948-1)/12)+1,'Lapse Table'!$A$2:$B$11,2,FALSE))/12</f>
        <v>0</v>
      </c>
      <c r="F948" s="5">
        <f t="shared" si="134"/>
        <v>-20.478949865620841</v>
      </c>
      <c r="G948" s="6">
        <f t="shared" si="128"/>
        <v>4.9777500000000002E-2</v>
      </c>
      <c r="H948" s="6">
        <f t="shared" si="129"/>
        <v>0</v>
      </c>
      <c r="I948" s="7">
        <f t="shared" si="130"/>
        <v>-682.63166218736137</v>
      </c>
      <c r="J948" s="8">
        <f t="shared" si="131"/>
        <v>49777.5</v>
      </c>
      <c r="K948" s="7">
        <f t="shared" si="132"/>
        <v>-50460.131662187363</v>
      </c>
      <c r="L948" s="4">
        <f>IF(A948&gt;'Yield Curve'!A1562,L947,(1+VLOOKUP(A948,'Yield Curve'!A941:B1563,2,FALSE))^(1/12)-1)</f>
        <v>7.9741404289037643E-3</v>
      </c>
      <c r="M948" s="5">
        <f t="shared" si="133"/>
        <v>-28.874958937362315</v>
      </c>
    </row>
    <row r="949" spans="1:13" x14ac:dyDescent="0.25">
      <c r="A949" s="4">
        <v>941</v>
      </c>
      <c r="B949" s="4">
        <f t="shared" si="126"/>
        <v>123</v>
      </c>
      <c r="C949" s="4">
        <f t="shared" si="127"/>
        <v>956</v>
      </c>
      <c r="D949" s="4">
        <f>IF(B949&gt;'Mortality Table'!$A$118,D948,VLOOKUP(B949,'Mortality Table'!$A$2:$B$118,2,FALSE))</f>
        <v>0.59733000000000003</v>
      </c>
      <c r="E949" s="4">
        <f>IF(INT((C949-1)/12)+1&gt;'Lapse Table'!$A$11,E948,VLOOKUP(INT((C949-1)/12)+1,'Lapse Table'!$A$2:$B$11,2,FALSE))/12</f>
        <v>0</v>
      </c>
      <c r="F949" s="5">
        <f t="shared" si="134"/>
        <v>-20.528727365620842</v>
      </c>
      <c r="G949" s="6">
        <f t="shared" si="128"/>
        <v>4.9777500000000002E-2</v>
      </c>
      <c r="H949" s="6">
        <f t="shared" si="129"/>
        <v>0</v>
      </c>
      <c r="I949" s="7">
        <f t="shared" si="130"/>
        <v>-684.29091218736141</v>
      </c>
      <c r="J949" s="8">
        <f t="shared" si="131"/>
        <v>49777.5</v>
      </c>
      <c r="K949" s="7">
        <f t="shared" si="132"/>
        <v>-50461.79091218736</v>
      </c>
      <c r="L949" s="4">
        <f>IF(A949&gt;'Yield Curve'!A1563,L948,(1+VLOOKUP(A949,'Yield Curve'!A942:B1564,2,FALSE))^(1/12)-1)</f>
        <v>7.9741404289037643E-3</v>
      </c>
      <c r="M949" s="5">
        <f t="shared" si="133"/>
        <v>-28.647469470686541</v>
      </c>
    </row>
    <row r="950" spans="1:13" x14ac:dyDescent="0.25">
      <c r="A950" s="4">
        <v>942</v>
      </c>
      <c r="B950" s="4">
        <f t="shared" si="126"/>
        <v>123</v>
      </c>
      <c r="C950" s="4">
        <f t="shared" si="127"/>
        <v>957</v>
      </c>
      <c r="D950" s="4">
        <f>IF(B950&gt;'Mortality Table'!$A$118,D949,VLOOKUP(B950,'Mortality Table'!$A$2:$B$118,2,FALSE))</f>
        <v>0.59733000000000003</v>
      </c>
      <c r="E950" s="4">
        <f>IF(INT((C950-1)/12)+1&gt;'Lapse Table'!$A$11,E949,VLOOKUP(INT((C950-1)/12)+1,'Lapse Table'!$A$2:$B$11,2,FALSE))/12</f>
        <v>0</v>
      </c>
      <c r="F950" s="5">
        <f t="shared" si="134"/>
        <v>-20.578504865620843</v>
      </c>
      <c r="G950" s="6">
        <f t="shared" si="128"/>
        <v>4.9777500000000002E-2</v>
      </c>
      <c r="H950" s="6">
        <f t="shared" si="129"/>
        <v>0</v>
      </c>
      <c r="I950" s="7">
        <f t="shared" si="130"/>
        <v>-685.95016218736146</v>
      </c>
      <c r="J950" s="8">
        <f t="shared" si="131"/>
        <v>49777.5</v>
      </c>
      <c r="K950" s="7">
        <f t="shared" si="132"/>
        <v>-50463.450162187364</v>
      </c>
      <c r="L950" s="4">
        <f>IF(A950&gt;'Yield Curve'!A1564,L949,(1+VLOOKUP(A950,'Yield Curve'!A943:B1565,2,FALSE))^(1/12)-1)</f>
        <v>7.9741404289037643E-3</v>
      </c>
      <c r="M950" s="5">
        <f t="shared" si="133"/>
        <v>-28.421772234097062</v>
      </c>
    </row>
    <row r="951" spans="1:13" x14ac:dyDescent="0.25">
      <c r="A951" s="4">
        <v>943</v>
      </c>
      <c r="B951" s="4">
        <f t="shared" si="126"/>
        <v>123</v>
      </c>
      <c r="C951" s="4">
        <f t="shared" si="127"/>
        <v>958</v>
      </c>
      <c r="D951" s="4">
        <f>IF(B951&gt;'Mortality Table'!$A$118,D950,VLOOKUP(B951,'Mortality Table'!$A$2:$B$118,2,FALSE))</f>
        <v>0.59733000000000003</v>
      </c>
      <c r="E951" s="4">
        <f>IF(INT((C951-1)/12)+1&gt;'Lapse Table'!$A$11,E950,VLOOKUP(INT((C951-1)/12)+1,'Lapse Table'!$A$2:$B$11,2,FALSE))/12</f>
        <v>0</v>
      </c>
      <c r="F951" s="5">
        <f t="shared" si="134"/>
        <v>-20.628282365620844</v>
      </c>
      <c r="G951" s="6">
        <f t="shared" si="128"/>
        <v>4.9777500000000002E-2</v>
      </c>
      <c r="H951" s="6">
        <f t="shared" si="129"/>
        <v>0</v>
      </c>
      <c r="I951" s="7">
        <f t="shared" si="130"/>
        <v>-687.6094121873615</v>
      </c>
      <c r="J951" s="8">
        <f t="shared" si="131"/>
        <v>49777.5</v>
      </c>
      <c r="K951" s="7">
        <f t="shared" si="132"/>
        <v>-50465.109412187361</v>
      </c>
      <c r="L951" s="4">
        <f>IF(A951&gt;'Yield Curve'!A1565,L950,(1+VLOOKUP(A951,'Yield Curve'!A944:B1566,2,FALSE))^(1/12)-1)</f>
        <v>7.9741404289037643E-3</v>
      </c>
      <c r="M951" s="5">
        <f t="shared" si="133"/>
        <v>-28.197853108113083</v>
      </c>
    </row>
    <row r="952" spans="1:13" x14ac:dyDescent="0.25">
      <c r="A952" s="4">
        <v>944</v>
      </c>
      <c r="B952" s="4">
        <f t="shared" si="126"/>
        <v>123</v>
      </c>
      <c r="C952" s="4">
        <f t="shared" si="127"/>
        <v>959</v>
      </c>
      <c r="D952" s="4">
        <f>IF(B952&gt;'Mortality Table'!$A$118,D951,VLOOKUP(B952,'Mortality Table'!$A$2:$B$118,2,FALSE))</f>
        <v>0.59733000000000003</v>
      </c>
      <c r="E952" s="4">
        <f>IF(INT((C952-1)/12)+1&gt;'Lapse Table'!$A$11,E951,VLOOKUP(INT((C952-1)/12)+1,'Lapse Table'!$A$2:$B$11,2,FALSE))/12</f>
        <v>0</v>
      </c>
      <c r="F952" s="5">
        <f t="shared" si="134"/>
        <v>-20.678059865620845</v>
      </c>
      <c r="G952" s="6">
        <f t="shared" si="128"/>
        <v>4.9777500000000002E-2</v>
      </c>
      <c r="H952" s="6">
        <f t="shared" si="129"/>
        <v>0</v>
      </c>
      <c r="I952" s="7">
        <f t="shared" si="130"/>
        <v>-689.26866218736143</v>
      </c>
      <c r="J952" s="8">
        <f t="shared" si="131"/>
        <v>49777.5</v>
      </c>
      <c r="K952" s="7">
        <f t="shared" si="132"/>
        <v>-50466.768662187358</v>
      </c>
      <c r="L952" s="4">
        <f>IF(A952&gt;'Yield Curve'!A1566,L951,(1+VLOOKUP(A952,'Yield Curve'!A945:B1567,2,FALSE))^(1/12)-1)</f>
        <v>7.9741404289037643E-3</v>
      </c>
      <c r="M952" s="5">
        <f t="shared" si="133"/>
        <v>-27.975698084487465</v>
      </c>
    </row>
    <row r="953" spans="1:13" x14ac:dyDescent="0.25">
      <c r="A953" s="4">
        <v>945</v>
      </c>
      <c r="B953" s="4">
        <f t="shared" si="126"/>
        <v>123</v>
      </c>
      <c r="C953" s="4">
        <f t="shared" si="127"/>
        <v>960</v>
      </c>
      <c r="D953" s="4">
        <f>IF(B953&gt;'Mortality Table'!$A$118,D952,VLOOKUP(B953,'Mortality Table'!$A$2:$B$118,2,FALSE))</f>
        <v>0.59733000000000003</v>
      </c>
      <c r="E953" s="4">
        <f>IF(INT((C953-1)/12)+1&gt;'Lapse Table'!$A$11,E952,VLOOKUP(INT((C953-1)/12)+1,'Lapse Table'!$A$2:$B$11,2,FALSE))/12</f>
        <v>0</v>
      </c>
      <c r="F953" s="5">
        <f t="shared" si="134"/>
        <v>-20.727837365620847</v>
      </c>
      <c r="G953" s="6">
        <f t="shared" si="128"/>
        <v>4.9777500000000002E-2</v>
      </c>
      <c r="H953" s="6">
        <f t="shared" si="129"/>
        <v>0</v>
      </c>
      <c r="I953" s="7">
        <f t="shared" si="130"/>
        <v>-690.92791218736158</v>
      </c>
      <c r="J953" s="8">
        <f t="shared" si="131"/>
        <v>49777.5</v>
      </c>
      <c r="K953" s="7">
        <f t="shared" si="132"/>
        <v>-50468.427912187362</v>
      </c>
      <c r="L953" s="4">
        <f>IF(A953&gt;'Yield Curve'!A1567,L952,(1+VLOOKUP(A953,'Yield Curve'!A946:B1568,2,FALSE))^(1/12)-1)</f>
        <v>7.9741404289037643E-3</v>
      </c>
      <c r="M953" s="5">
        <f t="shared" si="133"/>
        <v>-27.755293265330423</v>
      </c>
    </row>
    <row r="954" spans="1:13" x14ac:dyDescent="0.25">
      <c r="A954" s="4">
        <v>946</v>
      </c>
      <c r="B954" s="4">
        <f t="shared" si="126"/>
        <v>123</v>
      </c>
      <c r="C954" s="4">
        <f t="shared" si="127"/>
        <v>961</v>
      </c>
      <c r="D954" s="4">
        <f>IF(B954&gt;'Mortality Table'!$A$118,D953,VLOOKUP(B954,'Mortality Table'!$A$2:$B$118,2,FALSE))</f>
        <v>0.59733000000000003</v>
      </c>
      <c r="E954" s="4">
        <f>IF(INT((C954-1)/12)+1&gt;'Lapse Table'!$A$11,E953,VLOOKUP(INT((C954-1)/12)+1,'Lapse Table'!$A$2:$B$11,2,FALSE))/12</f>
        <v>0</v>
      </c>
      <c r="F954" s="5">
        <f t="shared" si="134"/>
        <v>-20.777614865620848</v>
      </c>
      <c r="G954" s="6">
        <f t="shared" si="128"/>
        <v>4.9777500000000002E-2</v>
      </c>
      <c r="H954" s="6">
        <f t="shared" si="129"/>
        <v>0</v>
      </c>
      <c r="I954" s="7">
        <f t="shared" si="130"/>
        <v>-692.58716218736163</v>
      </c>
      <c r="J954" s="8">
        <f t="shared" si="131"/>
        <v>49777.5</v>
      </c>
      <c r="K954" s="7">
        <f t="shared" si="132"/>
        <v>-50470.087162187359</v>
      </c>
      <c r="L954" s="4">
        <f>IF(A954&gt;'Yield Curve'!A1568,L953,(1+VLOOKUP(A954,'Yield Curve'!A947:B1569,2,FALSE))^(1/12)-1)</f>
        <v>7.9741404289037643E-3</v>
      </c>
      <c r="M954" s="5">
        <f t="shared" si="133"/>
        <v>-27.536624862240121</v>
      </c>
    </row>
    <row r="955" spans="1:13" x14ac:dyDescent="0.25">
      <c r="A955" s="4">
        <v>947</v>
      </c>
      <c r="B955" s="4">
        <f t="shared" si="126"/>
        <v>123</v>
      </c>
      <c r="C955" s="4">
        <f t="shared" si="127"/>
        <v>962</v>
      </c>
      <c r="D955" s="4">
        <f>IF(B955&gt;'Mortality Table'!$A$118,D954,VLOOKUP(B955,'Mortality Table'!$A$2:$B$118,2,FALSE))</f>
        <v>0.59733000000000003</v>
      </c>
      <c r="E955" s="4">
        <f>IF(INT((C955-1)/12)+1&gt;'Lapse Table'!$A$11,E954,VLOOKUP(INT((C955-1)/12)+1,'Lapse Table'!$A$2:$B$11,2,FALSE))/12</f>
        <v>0</v>
      </c>
      <c r="F955" s="5">
        <f t="shared" si="134"/>
        <v>-20.827392365620849</v>
      </c>
      <c r="G955" s="6">
        <f t="shared" si="128"/>
        <v>4.9777500000000002E-2</v>
      </c>
      <c r="H955" s="6">
        <f t="shared" si="129"/>
        <v>0</v>
      </c>
      <c r="I955" s="7">
        <f t="shared" si="130"/>
        <v>-694.24641218736167</v>
      </c>
      <c r="J955" s="8">
        <f t="shared" si="131"/>
        <v>49777.5</v>
      </c>
      <c r="K955" s="7">
        <f t="shared" si="132"/>
        <v>-50471.746412187364</v>
      </c>
      <c r="L955" s="4">
        <f>IF(A955&gt;'Yield Curve'!A1569,L954,(1+VLOOKUP(A955,'Yield Curve'!A948:B1570,2,FALSE))^(1/12)-1)</f>
        <v>7.9741404289037643E-3</v>
      </c>
      <c r="M955" s="5">
        <f t="shared" si="133"/>
        <v>-27.319679195440184</v>
      </c>
    </row>
    <row r="956" spans="1:13" x14ac:dyDescent="0.25">
      <c r="A956" s="4">
        <v>948</v>
      </c>
      <c r="B956" s="4">
        <f t="shared" si="126"/>
        <v>124</v>
      </c>
      <c r="C956" s="4">
        <f t="shared" si="127"/>
        <v>963</v>
      </c>
      <c r="D956" s="4">
        <f>IF(B956&gt;'Mortality Table'!$A$118,D955,VLOOKUP(B956,'Mortality Table'!$A$2:$B$118,2,FALSE))</f>
        <v>0.59733000000000003</v>
      </c>
      <c r="E956" s="4">
        <f>IF(INT((C956-1)/12)+1&gt;'Lapse Table'!$A$11,E955,VLOOKUP(INT((C956-1)/12)+1,'Lapse Table'!$A$2:$B$11,2,FALSE))/12</f>
        <v>0</v>
      </c>
      <c r="F956" s="5">
        <f t="shared" si="134"/>
        <v>-20.87716986562085</v>
      </c>
      <c r="G956" s="6">
        <f t="shared" si="128"/>
        <v>4.9777500000000002E-2</v>
      </c>
      <c r="H956" s="6">
        <f t="shared" si="129"/>
        <v>0</v>
      </c>
      <c r="I956" s="7">
        <f t="shared" si="130"/>
        <v>-695.9056621873616</v>
      </c>
      <c r="J956" s="8">
        <f t="shared" si="131"/>
        <v>49777.5</v>
      </c>
      <c r="K956" s="7">
        <f t="shared" si="132"/>
        <v>-50473.405662187361</v>
      </c>
      <c r="L956" s="4">
        <f>IF(A956&gt;'Yield Curve'!A1570,L955,(1+VLOOKUP(A956,'Yield Curve'!A949:B1571,2,FALSE))^(1/12)-1)</f>
        <v>7.9741404289037643E-3</v>
      </c>
      <c r="M956" s="5">
        <f t="shared" si="133"/>
        <v>-27.10444269292385</v>
      </c>
    </row>
    <row r="957" spans="1:13" x14ac:dyDescent="0.25">
      <c r="A957" s="4">
        <v>949</v>
      </c>
      <c r="B957" s="4">
        <f t="shared" si="126"/>
        <v>124</v>
      </c>
      <c r="C957" s="4">
        <f t="shared" si="127"/>
        <v>964</v>
      </c>
      <c r="D957" s="4">
        <f>IF(B957&gt;'Mortality Table'!$A$118,D956,VLOOKUP(B957,'Mortality Table'!$A$2:$B$118,2,FALSE))</f>
        <v>0.59733000000000003</v>
      </c>
      <c r="E957" s="4">
        <f>IF(INT((C957-1)/12)+1&gt;'Lapse Table'!$A$11,E956,VLOOKUP(INT((C957-1)/12)+1,'Lapse Table'!$A$2:$B$11,2,FALSE))/12</f>
        <v>0</v>
      </c>
      <c r="F957" s="5">
        <f t="shared" si="134"/>
        <v>-20.926947365620851</v>
      </c>
      <c r="G957" s="6">
        <f t="shared" si="128"/>
        <v>4.9777500000000002E-2</v>
      </c>
      <c r="H957" s="6">
        <f t="shared" si="129"/>
        <v>0</v>
      </c>
      <c r="I957" s="7">
        <f t="shared" si="130"/>
        <v>-697.56491218736164</v>
      </c>
      <c r="J957" s="8">
        <f t="shared" si="131"/>
        <v>49777.5</v>
      </c>
      <c r="K957" s="7">
        <f t="shared" si="132"/>
        <v>-50475.064912187365</v>
      </c>
      <c r="L957" s="4">
        <f>IF(A957&gt;'Yield Curve'!A1571,L956,(1+VLOOKUP(A957,'Yield Curve'!A950:B1572,2,FALSE))^(1/12)-1)</f>
        <v>7.9741404289037643E-3</v>
      </c>
      <c r="M957" s="5">
        <f t="shared" si="133"/>
        <v>-26.890901889605129</v>
      </c>
    </row>
    <row r="958" spans="1:13" x14ac:dyDescent="0.25">
      <c r="A958" s="4">
        <v>950</v>
      </c>
      <c r="B958" s="4">
        <f t="shared" si="126"/>
        <v>124</v>
      </c>
      <c r="C958" s="4">
        <f t="shared" si="127"/>
        <v>965</v>
      </c>
      <c r="D958" s="4">
        <f>IF(B958&gt;'Mortality Table'!$A$118,D957,VLOOKUP(B958,'Mortality Table'!$A$2:$B$118,2,FALSE))</f>
        <v>0.59733000000000003</v>
      </c>
      <c r="E958" s="4">
        <f>IF(INT((C958-1)/12)+1&gt;'Lapse Table'!$A$11,E957,VLOOKUP(INT((C958-1)/12)+1,'Lapse Table'!$A$2:$B$11,2,FALSE))/12</f>
        <v>0</v>
      </c>
      <c r="F958" s="5">
        <f t="shared" si="134"/>
        <v>-20.976724865620852</v>
      </c>
      <c r="G958" s="6">
        <f t="shared" si="128"/>
        <v>4.9777500000000002E-2</v>
      </c>
      <c r="H958" s="6">
        <f t="shared" si="129"/>
        <v>0</v>
      </c>
      <c r="I958" s="7">
        <f t="shared" si="130"/>
        <v>-699.2241621873618</v>
      </c>
      <c r="J958" s="8">
        <f t="shared" si="131"/>
        <v>49777.5</v>
      </c>
      <c r="K958" s="7">
        <f t="shared" si="132"/>
        <v>-50476.724162187362</v>
      </c>
      <c r="L958" s="4">
        <f>IF(A958&gt;'Yield Curve'!A1572,L957,(1+VLOOKUP(A958,'Yield Curve'!A951:B1573,2,FALSE))^(1/12)-1)</f>
        <v>7.9741404289037643E-3</v>
      </c>
      <c r="M958" s="5">
        <f t="shared" si="133"/>
        <v>-26.679043426476383</v>
      </c>
    </row>
    <row r="959" spans="1:13" x14ac:dyDescent="0.25">
      <c r="A959" s="4">
        <v>951</v>
      </c>
      <c r="B959" s="4">
        <f t="shared" si="126"/>
        <v>124</v>
      </c>
      <c r="C959" s="4">
        <f t="shared" si="127"/>
        <v>966</v>
      </c>
      <c r="D959" s="4">
        <f>IF(B959&gt;'Mortality Table'!$A$118,D958,VLOOKUP(B959,'Mortality Table'!$A$2:$B$118,2,FALSE))</f>
        <v>0.59733000000000003</v>
      </c>
      <c r="E959" s="4">
        <f>IF(INT((C959-1)/12)+1&gt;'Lapse Table'!$A$11,E958,VLOOKUP(INT((C959-1)/12)+1,'Lapse Table'!$A$2:$B$11,2,FALSE))/12</f>
        <v>0</v>
      </c>
      <c r="F959" s="5">
        <f t="shared" si="134"/>
        <v>-21.026502365620853</v>
      </c>
      <c r="G959" s="6">
        <f t="shared" si="128"/>
        <v>4.9777500000000002E-2</v>
      </c>
      <c r="H959" s="6">
        <f t="shared" si="129"/>
        <v>0</v>
      </c>
      <c r="I959" s="7">
        <f t="shared" si="130"/>
        <v>-700.88341218736184</v>
      </c>
      <c r="J959" s="8">
        <f t="shared" si="131"/>
        <v>49777.5</v>
      </c>
      <c r="K959" s="7">
        <f t="shared" si="132"/>
        <v>-50478.383412187359</v>
      </c>
      <c r="L959" s="4">
        <f>IF(A959&gt;'Yield Curve'!A1573,L958,(1+VLOOKUP(A959,'Yield Curve'!A952:B1574,2,FALSE))^(1/12)-1)</f>
        <v>7.9741404289037643E-3</v>
      </c>
      <c r="M959" s="5">
        <f t="shared" si="133"/>
        <v>-26.46885404977267</v>
      </c>
    </row>
    <row r="960" spans="1:13" x14ac:dyDescent="0.25">
      <c r="A960" s="4">
        <v>952</v>
      </c>
      <c r="B960" s="4">
        <f t="shared" si="126"/>
        <v>124</v>
      </c>
      <c r="C960" s="4">
        <f t="shared" si="127"/>
        <v>967</v>
      </c>
      <c r="D960" s="4">
        <f>IF(B960&gt;'Mortality Table'!$A$118,D959,VLOOKUP(B960,'Mortality Table'!$A$2:$B$118,2,FALSE))</f>
        <v>0.59733000000000003</v>
      </c>
      <c r="E960" s="4">
        <f>IF(INT((C960-1)/12)+1&gt;'Lapse Table'!$A$11,E959,VLOOKUP(INT((C960-1)/12)+1,'Lapse Table'!$A$2:$B$11,2,FALSE))/12</f>
        <v>0</v>
      </c>
      <c r="F960" s="5">
        <f t="shared" si="134"/>
        <v>-21.076279865620855</v>
      </c>
      <c r="G960" s="6">
        <f t="shared" si="128"/>
        <v>4.9777500000000002E-2</v>
      </c>
      <c r="H960" s="6">
        <f t="shared" si="129"/>
        <v>0</v>
      </c>
      <c r="I960" s="7">
        <f t="shared" si="130"/>
        <v>-702.54266218736177</v>
      </c>
      <c r="J960" s="8">
        <f t="shared" si="131"/>
        <v>49777.5</v>
      </c>
      <c r="K960" s="7">
        <f t="shared" si="132"/>
        <v>-50480.042662187363</v>
      </c>
      <c r="L960" s="4">
        <f>IF(A960&gt;'Yield Curve'!A1574,L959,(1+VLOOKUP(A960,'Yield Curve'!A953:B1575,2,FALSE))^(1/12)-1)</f>
        <v>7.9741404289037643E-3</v>
      </c>
      <c r="M960" s="5">
        <f t="shared" si="133"/>
        <v>-26.260320610142678</v>
      </c>
    </row>
    <row r="961" spans="1:13" x14ac:dyDescent="0.25">
      <c r="A961" s="4">
        <v>953</v>
      </c>
      <c r="B961" s="4">
        <f t="shared" si="126"/>
        <v>124</v>
      </c>
      <c r="C961" s="4">
        <f t="shared" si="127"/>
        <v>968</v>
      </c>
      <c r="D961" s="4">
        <f>IF(B961&gt;'Mortality Table'!$A$118,D960,VLOOKUP(B961,'Mortality Table'!$A$2:$B$118,2,FALSE))</f>
        <v>0.59733000000000003</v>
      </c>
      <c r="E961" s="4">
        <f>IF(INT((C961-1)/12)+1&gt;'Lapse Table'!$A$11,E960,VLOOKUP(INT((C961-1)/12)+1,'Lapse Table'!$A$2:$B$11,2,FALSE))/12</f>
        <v>0</v>
      </c>
      <c r="F961" s="5">
        <f t="shared" si="134"/>
        <v>-21.126057365620856</v>
      </c>
      <c r="G961" s="6">
        <f t="shared" si="128"/>
        <v>4.9777500000000002E-2</v>
      </c>
      <c r="H961" s="6">
        <f t="shared" si="129"/>
        <v>0</v>
      </c>
      <c r="I961" s="7">
        <f t="shared" si="130"/>
        <v>-704.20191218736181</v>
      </c>
      <c r="J961" s="8">
        <f t="shared" si="131"/>
        <v>49777.5</v>
      </c>
      <c r="K961" s="7">
        <f t="shared" si="132"/>
        <v>-50481.70191218736</v>
      </c>
      <c r="L961" s="4">
        <f>IF(A961&gt;'Yield Curve'!A1575,L960,(1+VLOOKUP(A961,'Yield Curve'!A954:B1576,2,FALSE))^(1/12)-1)</f>
        <v>7.9741404289037643E-3</v>
      </c>
      <c r="M961" s="5">
        <f t="shared" si="133"/>
        <v>-26.053430061826166</v>
      </c>
    </row>
    <row r="962" spans="1:13" x14ac:dyDescent="0.25">
      <c r="A962" s="4">
        <v>954</v>
      </c>
      <c r="B962" s="4">
        <f t="shared" si="126"/>
        <v>124</v>
      </c>
      <c r="C962" s="4">
        <f t="shared" si="127"/>
        <v>969</v>
      </c>
      <c r="D962" s="4">
        <f>IF(B962&gt;'Mortality Table'!$A$118,D961,VLOOKUP(B962,'Mortality Table'!$A$2:$B$118,2,FALSE))</f>
        <v>0.59733000000000003</v>
      </c>
      <c r="E962" s="4">
        <f>IF(INT((C962-1)/12)+1&gt;'Lapse Table'!$A$11,E961,VLOOKUP(INT((C962-1)/12)+1,'Lapse Table'!$A$2:$B$11,2,FALSE))/12</f>
        <v>0</v>
      </c>
      <c r="F962" s="5">
        <f t="shared" si="134"/>
        <v>-21.175834865620857</v>
      </c>
      <c r="G962" s="6">
        <f t="shared" si="128"/>
        <v>4.9777500000000002E-2</v>
      </c>
      <c r="H962" s="6">
        <f t="shared" si="129"/>
        <v>0</v>
      </c>
      <c r="I962" s="7">
        <f t="shared" si="130"/>
        <v>-705.86116218736186</v>
      </c>
      <c r="J962" s="8">
        <f t="shared" si="131"/>
        <v>49777.5</v>
      </c>
      <c r="K962" s="7">
        <f t="shared" si="132"/>
        <v>-50483.361162187364</v>
      </c>
      <c r="L962" s="4">
        <f>IF(A962&gt;'Yield Curve'!A1576,L961,(1+VLOOKUP(A962,'Yield Curve'!A955:B1577,2,FALSE))^(1/12)-1)</f>
        <v>7.9741404289037643E-3</v>
      </c>
      <c r="M962" s="5">
        <f t="shared" si="133"/>
        <v>-25.848169461837845</v>
      </c>
    </row>
    <row r="963" spans="1:13" x14ac:dyDescent="0.25">
      <c r="A963" s="4">
        <v>955</v>
      </c>
      <c r="B963" s="4">
        <f t="shared" si="126"/>
        <v>124</v>
      </c>
      <c r="C963" s="4">
        <f t="shared" si="127"/>
        <v>970</v>
      </c>
      <c r="D963" s="4">
        <f>IF(B963&gt;'Mortality Table'!$A$118,D962,VLOOKUP(B963,'Mortality Table'!$A$2:$B$118,2,FALSE))</f>
        <v>0.59733000000000003</v>
      </c>
      <c r="E963" s="4">
        <f>IF(INT((C963-1)/12)+1&gt;'Lapse Table'!$A$11,E962,VLOOKUP(INT((C963-1)/12)+1,'Lapse Table'!$A$2:$B$11,2,FALSE))/12</f>
        <v>0</v>
      </c>
      <c r="F963" s="5">
        <f t="shared" si="134"/>
        <v>-21.225612365620858</v>
      </c>
      <c r="G963" s="6">
        <f t="shared" si="128"/>
        <v>4.9777500000000002E-2</v>
      </c>
      <c r="H963" s="6">
        <f t="shared" si="129"/>
        <v>0</v>
      </c>
      <c r="I963" s="7">
        <f t="shared" si="130"/>
        <v>-707.52041218736201</v>
      </c>
      <c r="J963" s="8">
        <f t="shared" si="131"/>
        <v>49777.5</v>
      </c>
      <c r="K963" s="7">
        <f t="shared" si="132"/>
        <v>-50485.020412187361</v>
      </c>
      <c r="L963" s="4">
        <f>IF(A963&gt;'Yield Curve'!A1577,L962,(1+VLOOKUP(A963,'Yield Curve'!A956:B1578,2,FALSE))^(1/12)-1)</f>
        <v>7.9741404289037643E-3</v>
      </c>
      <c r="M963" s="5">
        <f t="shared" si="133"/>
        <v>-25.644525969157758</v>
      </c>
    </row>
    <row r="964" spans="1:13" x14ac:dyDescent="0.25">
      <c r="A964" s="4">
        <v>956</v>
      </c>
      <c r="B964" s="4">
        <f t="shared" si="126"/>
        <v>124</v>
      </c>
      <c r="C964" s="4">
        <f t="shared" si="127"/>
        <v>971</v>
      </c>
      <c r="D964" s="4">
        <f>IF(B964&gt;'Mortality Table'!$A$118,D963,VLOOKUP(B964,'Mortality Table'!$A$2:$B$118,2,FALSE))</f>
        <v>0.59733000000000003</v>
      </c>
      <c r="E964" s="4">
        <f>IF(INT((C964-1)/12)+1&gt;'Lapse Table'!$A$11,E963,VLOOKUP(INT((C964-1)/12)+1,'Lapse Table'!$A$2:$B$11,2,FALSE))/12</f>
        <v>0</v>
      </c>
      <c r="F964" s="5">
        <f t="shared" si="134"/>
        <v>-21.275389865620859</v>
      </c>
      <c r="G964" s="6">
        <f t="shared" si="128"/>
        <v>4.9777500000000002E-2</v>
      </c>
      <c r="H964" s="6">
        <f t="shared" si="129"/>
        <v>0</v>
      </c>
      <c r="I964" s="7">
        <f t="shared" si="130"/>
        <v>-709.17966218736194</v>
      </c>
      <c r="J964" s="8">
        <f t="shared" si="131"/>
        <v>49777.5</v>
      </c>
      <c r="K964" s="7">
        <f t="shared" si="132"/>
        <v>-50486.679662187365</v>
      </c>
      <c r="L964" s="4">
        <f>IF(A964&gt;'Yield Curve'!A1578,L963,(1+VLOOKUP(A964,'Yield Curve'!A957:B1579,2,FALSE))^(1/12)-1)</f>
        <v>7.9741404289037643E-3</v>
      </c>
      <c r="M964" s="5">
        <f t="shared" si="133"/>
        <v>-25.44248684392802</v>
      </c>
    </row>
    <row r="965" spans="1:13" x14ac:dyDescent="0.25">
      <c r="A965" s="4">
        <v>957</v>
      </c>
      <c r="B965" s="4">
        <f t="shared" si="126"/>
        <v>124</v>
      </c>
      <c r="C965" s="4">
        <f t="shared" si="127"/>
        <v>972</v>
      </c>
      <c r="D965" s="4">
        <f>IF(B965&gt;'Mortality Table'!$A$118,D964,VLOOKUP(B965,'Mortality Table'!$A$2:$B$118,2,FALSE))</f>
        <v>0.59733000000000003</v>
      </c>
      <c r="E965" s="4">
        <f>IF(INT((C965-1)/12)+1&gt;'Lapse Table'!$A$11,E964,VLOOKUP(INT((C965-1)/12)+1,'Lapse Table'!$A$2:$B$11,2,FALSE))/12</f>
        <v>0</v>
      </c>
      <c r="F965" s="5">
        <f t="shared" si="134"/>
        <v>-21.32516736562086</v>
      </c>
      <c r="G965" s="6">
        <f t="shared" si="128"/>
        <v>4.9777500000000002E-2</v>
      </c>
      <c r="H965" s="6">
        <f t="shared" si="129"/>
        <v>0</v>
      </c>
      <c r="I965" s="7">
        <f t="shared" si="130"/>
        <v>-710.83891218736198</v>
      </c>
      <c r="J965" s="8">
        <f t="shared" si="131"/>
        <v>49777.5</v>
      </c>
      <c r="K965" s="7">
        <f t="shared" si="132"/>
        <v>-50488.338912187362</v>
      </c>
      <c r="L965" s="4">
        <f>IF(A965&gt;'Yield Curve'!A1579,L964,(1+VLOOKUP(A965,'Yield Curve'!A958:B1580,2,FALSE))^(1/12)-1)</f>
        <v>7.9741404289037643E-3</v>
      </c>
      <c r="M965" s="5">
        <f t="shared" si="133"/>
        <v>-25.242039446655831</v>
      </c>
    </row>
    <row r="966" spans="1:13" x14ac:dyDescent="0.25">
      <c r="A966" s="4">
        <v>958</v>
      </c>
      <c r="B966" s="4">
        <f t="shared" si="126"/>
        <v>124</v>
      </c>
      <c r="C966" s="4">
        <f t="shared" si="127"/>
        <v>973</v>
      </c>
      <c r="D966" s="4">
        <f>IF(B966&gt;'Mortality Table'!$A$118,D965,VLOOKUP(B966,'Mortality Table'!$A$2:$B$118,2,FALSE))</f>
        <v>0.59733000000000003</v>
      </c>
      <c r="E966" s="4">
        <f>IF(INT((C966-1)/12)+1&gt;'Lapse Table'!$A$11,E965,VLOOKUP(INT((C966-1)/12)+1,'Lapse Table'!$A$2:$B$11,2,FALSE))/12</f>
        <v>0</v>
      </c>
      <c r="F966" s="5">
        <f t="shared" si="134"/>
        <v>-21.374944865620861</v>
      </c>
      <c r="G966" s="6">
        <f t="shared" si="128"/>
        <v>4.9777500000000002E-2</v>
      </c>
      <c r="H966" s="6">
        <f t="shared" si="129"/>
        <v>0</v>
      </c>
      <c r="I966" s="7">
        <f t="shared" si="130"/>
        <v>-712.49816218736203</v>
      </c>
      <c r="J966" s="8">
        <f t="shared" si="131"/>
        <v>49777.5</v>
      </c>
      <c r="K966" s="7">
        <f t="shared" si="132"/>
        <v>-50489.998162187359</v>
      </c>
      <c r="L966" s="4">
        <f>IF(A966&gt;'Yield Curve'!A1580,L965,(1+VLOOKUP(A966,'Yield Curve'!A959:B1581,2,FALSE))^(1/12)-1)</f>
        <v>7.9741404289037643E-3</v>
      </c>
      <c r="M966" s="5">
        <f t="shared" si="133"/>
        <v>-25.043171237422865</v>
      </c>
    </row>
    <row r="967" spans="1:13" x14ac:dyDescent="0.25">
      <c r="A967" s="4">
        <v>959</v>
      </c>
      <c r="B967" s="4">
        <f t="shared" si="126"/>
        <v>124</v>
      </c>
      <c r="C967" s="4">
        <f t="shared" si="127"/>
        <v>974</v>
      </c>
      <c r="D967" s="4">
        <f>IF(B967&gt;'Mortality Table'!$A$118,D966,VLOOKUP(B967,'Mortality Table'!$A$2:$B$118,2,FALSE))</f>
        <v>0.59733000000000003</v>
      </c>
      <c r="E967" s="4">
        <f>IF(INT((C967-1)/12)+1&gt;'Lapse Table'!$A$11,E966,VLOOKUP(INT((C967-1)/12)+1,'Lapse Table'!$A$2:$B$11,2,FALSE))/12</f>
        <v>0</v>
      </c>
      <c r="F967" s="5">
        <f t="shared" si="134"/>
        <v>-21.424722365620863</v>
      </c>
      <c r="G967" s="6">
        <f t="shared" si="128"/>
        <v>4.9777500000000002E-2</v>
      </c>
      <c r="H967" s="6">
        <f t="shared" si="129"/>
        <v>0</v>
      </c>
      <c r="I967" s="7">
        <f t="shared" si="130"/>
        <v>-714.15741218736218</v>
      </c>
      <c r="J967" s="8">
        <f t="shared" si="131"/>
        <v>49777.5</v>
      </c>
      <c r="K967" s="7">
        <f t="shared" si="132"/>
        <v>-50491.657412187364</v>
      </c>
      <c r="L967" s="4">
        <f>IF(A967&gt;'Yield Curve'!A1581,L966,(1+VLOOKUP(A967,'Yield Curve'!A960:B1582,2,FALSE))^(1/12)-1)</f>
        <v>7.9741404289037643E-3</v>
      </c>
      <c r="M967" s="5">
        <f t="shared" si="133"/>
        <v>-24.845869775100766</v>
      </c>
    </row>
    <row r="968" spans="1:13" x14ac:dyDescent="0.25">
      <c r="A968" s="4">
        <v>960</v>
      </c>
      <c r="B968" s="4">
        <f t="shared" si="126"/>
        <v>125</v>
      </c>
      <c r="C968" s="4">
        <f t="shared" si="127"/>
        <v>975</v>
      </c>
      <c r="D968" s="4">
        <f>IF(B968&gt;'Mortality Table'!$A$118,D967,VLOOKUP(B968,'Mortality Table'!$A$2:$B$118,2,FALSE))</f>
        <v>0.59733000000000003</v>
      </c>
      <c r="E968" s="4">
        <f>IF(INT((C968-1)/12)+1&gt;'Lapse Table'!$A$11,E967,VLOOKUP(INT((C968-1)/12)+1,'Lapse Table'!$A$2:$B$11,2,FALSE))/12</f>
        <v>0</v>
      </c>
      <c r="F968" s="5">
        <f t="shared" si="134"/>
        <v>-21.474499865620864</v>
      </c>
      <c r="G968" s="6">
        <f t="shared" si="128"/>
        <v>4.9777500000000002E-2</v>
      </c>
      <c r="H968" s="6">
        <f t="shared" si="129"/>
        <v>0</v>
      </c>
      <c r="I968" s="7">
        <f t="shared" si="130"/>
        <v>-715.81666218736211</v>
      </c>
      <c r="J968" s="8">
        <f t="shared" si="131"/>
        <v>49777.5</v>
      </c>
      <c r="K968" s="7">
        <f t="shared" si="132"/>
        <v>-50493.316662187361</v>
      </c>
      <c r="L968" s="4">
        <f>IF(A968&gt;'Yield Curve'!A1582,L967,(1+VLOOKUP(A968,'Yield Curve'!A961:B1583,2,FALSE))^(1/12)-1)</f>
        <v>7.9741404289037643E-3</v>
      </c>
      <c r="M968" s="5">
        <f t="shared" si="133"/>
        <v>-24.650122716572923</v>
      </c>
    </row>
    <row r="969" spans="1:13" x14ac:dyDescent="0.25">
      <c r="A969" s="4">
        <v>961</v>
      </c>
      <c r="B969" s="4">
        <f t="shared" si="126"/>
        <v>125</v>
      </c>
      <c r="C969" s="4">
        <f t="shared" si="127"/>
        <v>976</v>
      </c>
      <c r="D969" s="4">
        <f>IF(B969&gt;'Mortality Table'!$A$118,D968,VLOOKUP(B969,'Mortality Table'!$A$2:$B$118,2,FALSE))</f>
        <v>0.59733000000000003</v>
      </c>
      <c r="E969" s="4">
        <f>IF(INT((C969-1)/12)+1&gt;'Lapse Table'!$A$11,E968,VLOOKUP(INT((C969-1)/12)+1,'Lapse Table'!$A$2:$B$11,2,FALSE))/12</f>
        <v>0</v>
      </c>
      <c r="F969" s="5">
        <f t="shared" si="134"/>
        <v>-21.524277365620865</v>
      </c>
      <c r="G969" s="6">
        <f t="shared" si="128"/>
        <v>4.9777500000000002E-2</v>
      </c>
      <c r="H969" s="6">
        <f t="shared" si="129"/>
        <v>0</v>
      </c>
      <c r="I969" s="7">
        <f t="shared" si="130"/>
        <v>-717.47591218736216</v>
      </c>
      <c r="J969" s="8">
        <f t="shared" si="131"/>
        <v>49777.5</v>
      </c>
      <c r="K969" s="7">
        <f t="shared" si="132"/>
        <v>-50494.975912187365</v>
      </c>
      <c r="L969" s="4">
        <f>IF(A969&gt;'Yield Curve'!A1583,L968,(1+VLOOKUP(A969,'Yield Curve'!A962:B1584,2,FALSE))^(1/12)-1)</f>
        <v>7.9741404289037643E-3</v>
      </c>
      <c r="M969" s="5">
        <f t="shared" si="133"/>
        <v>-24.455917815962408</v>
      </c>
    </row>
    <row r="970" spans="1:13" x14ac:dyDescent="0.25">
      <c r="A970" s="4">
        <v>962</v>
      </c>
      <c r="B970" s="4">
        <f t="shared" ref="B970:B1033" si="135">INT($B$3+A970/12)</f>
        <v>125</v>
      </c>
      <c r="C970" s="4">
        <f t="shared" ref="C970:C1033" si="136">$B$4+A970</f>
        <v>977</v>
      </c>
      <c r="D970" s="4">
        <f>IF(B970&gt;'Mortality Table'!$A$118,D969,VLOOKUP(B970,'Mortality Table'!$A$2:$B$118,2,FALSE))</f>
        <v>0.59733000000000003</v>
      </c>
      <c r="E970" s="4">
        <f>IF(INT((C970-1)/12)+1&gt;'Lapse Table'!$A$11,E969,VLOOKUP(INT((C970-1)/12)+1,'Lapse Table'!$A$2:$B$11,2,FALSE))/12</f>
        <v>0</v>
      </c>
      <c r="F970" s="5">
        <f t="shared" si="134"/>
        <v>-21.574054865620866</v>
      </c>
      <c r="G970" s="6">
        <f t="shared" ref="G970:G1033" si="137">D970/12*(1-0.5*E970)</f>
        <v>4.9777500000000002E-2</v>
      </c>
      <c r="H970" s="6">
        <f t="shared" ref="H970:H1033" si="138">E970*(1-0.5*D970)</f>
        <v>0</v>
      </c>
      <c r="I970" s="7">
        <f t="shared" ref="I970:I1033" si="139">F970*$B$5/12</f>
        <v>-719.1351621873622</v>
      </c>
      <c r="J970" s="8">
        <f t="shared" ref="J970:J1033" si="140">$B$6*G970</f>
        <v>49777.5</v>
      </c>
      <c r="K970" s="7">
        <f t="shared" ref="K970:K1033" si="141">I970-J970</f>
        <v>-50496.635162187362</v>
      </c>
      <c r="L970" s="4">
        <f>IF(A970&gt;'Yield Curve'!A1584,L969,(1+VLOOKUP(A970,'Yield Curve'!A963:B1585,2,FALSE))^(1/12)-1)</f>
        <v>7.9741404289037643E-3</v>
      </c>
      <c r="M970" s="5">
        <f t="shared" ref="M970:M1033" si="142">K970*(1+L970)^-A970</f>
        <v>-24.263242923865803</v>
      </c>
    </row>
    <row r="971" spans="1:13" x14ac:dyDescent="0.25">
      <c r="A971" s="4">
        <v>963</v>
      </c>
      <c r="B971" s="4">
        <f t="shared" si="135"/>
        <v>125</v>
      </c>
      <c r="C971" s="4">
        <f t="shared" si="136"/>
        <v>978</v>
      </c>
      <c r="D971" s="4">
        <f>IF(B971&gt;'Mortality Table'!$A$118,D970,VLOOKUP(B971,'Mortality Table'!$A$2:$B$118,2,FALSE))</f>
        <v>0.59733000000000003</v>
      </c>
      <c r="E971" s="4">
        <f>IF(INT((C971-1)/12)+1&gt;'Lapse Table'!$A$11,E970,VLOOKUP(INT((C971-1)/12)+1,'Lapse Table'!$A$2:$B$11,2,FALSE))/12</f>
        <v>0</v>
      </c>
      <c r="F971" s="5">
        <f t="shared" ref="F971:F1034" si="143">F970-G971-H971</f>
        <v>-21.623832365620867</v>
      </c>
      <c r="G971" s="6">
        <f t="shared" si="137"/>
        <v>4.9777500000000002E-2</v>
      </c>
      <c r="H971" s="6">
        <f t="shared" si="138"/>
        <v>0</v>
      </c>
      <c r="I971" s="7">
        <f t="shared" si="139"/>
        <v>-720.79441218736213</v>
      </c>
      <c r="J971" s="8">
        <f t="shared" si="140"/>
        <v>49777.5</v>
      </c>
      <c r="K971" s="7">
        <f t="shared" si="141"/>
        <v>-50498.294412187359</v>
      </c>
      <c r="L971" s="4">
        <f>IF(A971&gt;'Yield Curve'!A1585,L970,(1+VLOOKUP(A971,'Yield Curve'!A964:B1586,2,FALSE))^(1/12)-1)</f>
        <v>7.9741404289037643E-3</v>
      </c>
      <c r="M971" s="5">
        <f t="shared" si="142"/>
        <v>-24.072085986593276</v>
      </c>
    </row>
    <row r="972" spans="1:13" x14ac:dyDescent="0.25">
      <c r="A972" s="4">
        <v>964</v>
      </c>
      <c r="B972" s="4">
        <f t="shared" si="135"/>
        <v>125</v>
      </c>
      <c r="C972" s="4">
        <f t="shared" si="136"/>
        <v>979</v>
      </c>
      <c r="D972" s="4">
        <f>IF(B972&gt;'Mortality Table'!$A$118,D971,VLOOKUP(B972,'Mortality Table'!$A$2:$B$118,2,FALSE))</f>
        <v>0.59733000000000003</v>
      </c>
      <c r="E972" s="4">
        <f>IF(INT((C972-1)/12)+1&gt;'Lapse Table'!$A$11,E971,VLOOKUP(INT((C972-1)/12)+1,'Lapse Table'!$A$2:$B$11,2,FALSE))/12</f>
        <v>0</v>
      </c>
      <c r="F972" s="5">
        <f t="shared" si="143"/>
        <v>-21.673609865620868</v>
      </c>
      <c r="G972" s="6">
        <f t="shared" si="137"/>
        <v>4.9777500000000002E-2</v>
      </c>
      <c r="H972" s="6">
        <f t="shared" si="138"/>
        <v>0</v>
      </c>
      <c r="I972" s="7">
        <f t="shared" si="139"/>
        <v>-722.45366218736228</v>
      </c>
      <c r="J972" s="8">
        <f t="shared" si="140"/>
        <v>49777.5</v>
      </c>
      <c r="K972" s="7">
        <f t="shared" si="141"/>
        <v>-50499.953662187363</v>
      </c>
      <c r="L972" s="4">
        <f>IF(A972&gt;'Yield Curve'!A1586,L971,(1+VLOOKUP(A972,'Yield Curve'!A965:B1587,2,FALSE))^(1/12)-1)</f>
        <v>7.9741404289037643E-3</v>
      </c>
      <c r="M972" s="5">
        <f t="shared" si="142"/>
        <v>-23.882435045414535</v>
      </c>
    </row>
    <row r="973" spans="1:13" x14ac:dyDescent="0.25">
      <c r="A973" s="4">
        <v>965</v>
      </c>
      <c r="B973" s="4">
        <f t="shared" si="135"/>
        <v>125</v>
      </c>
      <c r="C973" s="4">
        <f t="shared" si="136"/>
        <v>980</v>
      </c>
      <c r="D973" s="4">
        <f>IF(B973&gt;'Mortality Table'!$A$118,D972,VLOOKUP(B973,'Mortality Table'!$A$2:$B$118,2,FALSE))</f>
        <v>0.59733000000000003</v>
      </c>
      <c r="E973" s="4">
        <f>IF(INT((C973-1)/12)+1&gt;'Lapse Table'!$A$11,E972,VLOOKUP(INT((C973-1)/12)+1,'Lapse Table'!$A$2:$B$11,2,FALSE))/12</f>
        <v>0</v>
      </c>
      <c r="F973" s="5">
        <f t="shared" si="143"/>
        <v>-21.723387365620869</v>
      </c>
      <c r="G973" s="6">
        <f t="shared" si="137"/>
        <v>4.9777500000000002E-2</v>
      </c>
      <c r="H973" s="6">
        <f t="shared" si="138"/>
        <v>0</v>
      </c>
      <c r="I973" s="7">
        <f t="shared" si="139"/>
        <v>-724.11291218736233</v>
      </c>
      <c r="J973" s="8">
        <f t="shared" si="140"/>
        <v>49777.5</v>
      </c>
      <c r="K973" s="7">
        <f t="shared" si="141"/>
        <v>-50501.61291218736</v>
      </c>
      <c r="L973" s="4">
        <f>IF(A973&gt;'Yield Curve'!A1587,L972,(1+VLOOKUP(A973,'Yield Curve'!A966:B1588,2,FALSE))^(1/12)-1)</f>
        <v>7.9741404289037643E-3</v>
      </c>
      <c r="M973" s="5">
        <f t="shared" si="142"/>
        <v>-23.694278235810756</v>
      </c>
    </row>
    <row r="974" spans="1:13" x14ac:dyDescent="0.25">
      <c r="A974" s="4">
        <v>966</v>
      </c>
      <c r="B974" s="4">
        <f t="shared" si="135"/>
        <v>125</v>
      </c>
      <c r="C974" s="4">
        <f t="shared" si="136"/>
        <v>981</v>
      </c>
      <c r="D974" s="4">
        <f>IF(B974&gt;'Mortality Table'!$A$118,D973,VLOOKUP(B974,'Mortality Table'!$A$2:$B$118,2,FALSE))</f>
        <v>0.59733000000000003</v>
      </c>
      <c r="E974" s="4">
        <f>IF(INT((C974-1)/12)+1&gt;'Lapse Table'!$A$11,E973,VLOOKUP(INT((C974-1)/12)+1,'Lapse Table'!$A$2:$B$11,2,FALSE))/12</f>
        <v>0</v>
      </c>
      <c r="F974" s="5">
        <f t="shared" si="143"/>
        <v>-21.773164865620871</v>
      </c>
      <c r="G974" s="6">
        <f t="shared" si="137"/>
        <v>4.9777500000000002E-2</v>
      </c>
      <c r="H974" s="6">
        <f t="shared" si="138"/>
        <v>0</v>
      </c>
      <c r="I974" s="7">
        <f t="shared" si="139"/>
        <v>-725.77216218736237</v>
      </c>
      <c r="J974" s="8">
        <f t="shared" si="140"/>
        <v>49777.5</v>
      </c>
      <c r="K974" s="7">
        <f t="shared" si="141"/>
        <v>-50503.272162187364</v>
      </c>
      <c r="L974" s="4">
        <f>IF(A974&gt;'Yield Curve'!A1588,L973,(1+VLOOKUP(A974,'Yield Curve'!A967:B1589,2,FALSE))^(1/12)-1)</f>
        <v>7.9741404289037643E-3</v>
      </c>
      <c r="M974" s="5">
        <f t="shared" si="142"/>
        <v>-23.507603786732396</v>
      </c>
    </row>
    <row r="975" spans="1:13" x14ac:dyDescent="0.25">
      <c r="A975" s="4">
        <v>967</v>
      </c>
      <c r="B975" s="4">
        <f t="shared" si="135"/>
        <v>125</v>
      </c>
      <c r="C975" s="4">
        <f t="shared" si="136"/>
        <v>982</v>
      </c>
      <c r="D975" s="4">
        <f>IF(B975&gt;'Mortality Table'!$A$118,D974,VLOOKUP(B975,'Mortality Table'!$A$2:$B$118,2,FALSE))</f>
        <v>0.59733000000000003</v>
      </c>
      <c r="E975" s="4">
        <f>IF(INT((C975-1)/12)+1&gt;'Lapse Table'!$A$11,E974,VLOOKUP(INT((C975-1)/12)+1,'Lapse Table'!$A$2:$B$11,2,FALSE))/12</f>
        <v>0</v>
      </c>
      <c r="F975" s="5">
        <f t="shared" si="143"/>
        <v>-21.822942365620872</v>
      </c>
      <c r="G975" s="6">
        <f t="shared" si="137"/>
        <v>4.9777500000000002E-2</v>
      </c>
      <c r="H975" s="6">
        <f t="shared" si="138"/>
        <v>0</v>
      </c>
      <c r="I975" s="7">
        <f t="shared" si="139"/>
        <v>-727.4314121873623</v>
      </c>
      <c r="J975" s="8">
        <f t="shared" si="140"/>
        <v>49777.5</v>
      </c>
      <c r="K975" s="7">
        <f t="shared" si="141"/>
        <v>-50504.931412187361</v>
      </c>
      <c r="L975" s="4">
        <f>IF(A975&gt;'Yield Curve'!A1589,L974,(1+VLOOKUP(A975,'Yield Curve'!A968:B1590,2,FALSE))^(1/12)-1)</f>
        <v>7.9741404289037643E-3</v>
      </c>
      <c r="M975" s="5">
        <f t="shared" si="142"/>
        <v>-23.322400019862815</v>
      </c>
    </row>
    <row r="976" spans="1:13" x14ac:dyDescent="0.25">
      <c r="A976" s="4">
        <v>968</v>
      </c>
      <c r="B976" s="4">
        <f t="shared" si="135"/>
        <v>125</v>
      </c>
      <c r="C976" s="4">
        <f t="shared" si="136"/>
        <v>983</v>
      </c>
      <c r="D976" s="4">
        <f>IF(B976&gt;'Mortality Table'!$A$118,D975,VLOOKUP(B976,'Mortality Table'!$A$2:$B$118,2,FALSE))</f>
        <v>0.59733000000000003</v>
      </c>
      <c r="E976" s="4">
        <f>IF(INT((C976-1)/12)+1&gt;'Lapse Table'!$A$11,E975,VLOOKUP(INT((C976-1)/12)+1,'Lapse Table'!$A$2:$B$11,2,FALSE))/12</f>
        <v>0</v>
      </c>
      <c r="F976" s="5">
        <f t="shared" si="143"/>
        <v>-21.872719865620873</v>
      </c>
      <c r="G976" s="6">
        <f t="shared" si="137"/>
        <v>4.9777500000000002E-2</v>
      </c>
      <c r="H976" s="6">
        <f t="shared" si="138"/>
        <v>0</v>
      </c>
      <c r="I976" s="7">
        <f t="shared" si="139"/>
        <v>-729.09066218736245</v>
      </c>
      <c r="J976" s="8">
        <f t="shared" si="140"/>
        <v>49777.5</v>
      </c>
      <c r="K976" s="7">
        <f t="shared" si="141"/>
        <v>-50506.590662187366</v>
      </c>
      <c r="L976" s="4">
        <f>IF(A976&gt;'Yield Curve'!A1590,L975,(1+VLOOKUP(A976,'Yield Curve'!A969:B1591,2,FALSE))^(1/12)-1)</f>
        <v>7.9741404289037643E-3</v>
      </c>
      <c r="M976" s="5">
        <f t="shared" si="142"/>
        <v>-23.138655348887749</v>
      </c>
    </row>
    <row r="977" spans="1:13" x14ac:dyDescent="0.25">
      <c r="A977" s="4">
        <v>969</v>
      </c>
      <c r="B977" s="4">
        <f t="shared" si="135"/>
        <v>125</v>
      </c>
      <c r="C977" s="4">
        <f t="shared" si="136"/>
        <v>984</v>
      </c>
      <c r="D977" s="4">
        <f>IF(B977&gt;'Mortality Table'!$A$118,D976,VLOOKUP(B977,'Mortality Table'!$A$2:$B$118,2,FALSE))</f>
        <v>0.59733000000000003</v>
      </c>
      <c r="E977" s="4">
        <f>IF(INT((C977-1)/12)+1&gt;'Lapse Table'!$A$11,E976,VLOOKUP(INT((C977-1)/12)+1,'Lapse Table'!$A$2:$B$11,2,FALSE))/12</f>
        <v>0</v>
      </c>
      <c r="F977" s="5">
        <f t="shared" si="143"/>
        <v>-21.922497365620874</v>
      </c>
      <c r="G977" s="6">
        <f t="shared" si="137"/>
        <v>4.9777500000000002E-2</v>
      </c>
      <c r="H977" s="6">
        <f t="shared" si="138"/>
        <v>0</v>
      </c>
      <c r="I977" s="7">
        <f t="shared" si="139"/>
        <v>-730.7499121873625</v>
      </c>
      <c r="J977" s="8">
        <f t="shared" si="140"/>
        <v>49777.5</v>
      </c>
      <c r="K977" s="7">
        <f t="shared" si="141"/>
        <v>-50508.249912187362</v>
      </c>
      <c r="L977" s="4">
        <f>IF(A977&gt;'Yield Curve'!A1591,L976,(1+VLOOKUP(A977,'Yield Curve'!A970:B1592,2,FALSE))^(1/12)-1)</f>
        <v>7.9741404289037643E-3</v>
      </c>
      <c r="M977" s="5">
        <f t="shared" si="142"/>
        <v>-22.95635827877058</v>
      </c>
    </row>
    <row r="978" spans="1:13" x14ac:dyDescent="0.25">
      <c r="A978" s="4">
        <v>970</v>
      </c>
      <c r="B978" s="4">
        <f t="shared" si="135"/>
        <v>125</v>
      </c>
      <c r="C978" s="4">
        <f t="shared" si="136"/>
        <v>985</v>
      </c>
      <c r="D978" s="4">
        <f>IF(B978&gt;'Mortality Table'!$A$118,D977,VLOOKUP(B978,'Mortality Table'!$A$2:$B$118,2,FALSE))</f>
        <v>0.59733000000000003</v>
      </c>
      <c r="E978" s="4">
        <f>IF(INT((C978-1)/12)+1&gt;'Lapse Table'!$A$11,E977,VLOOKUP(INT((C978-1)/12)+1,'Lapse Table'!$A$2:$B$11,2,FALSE))/12</f>
        <v>0</v>
      </c>
      <c r="F978" s="5">
        <f t="shared" si="143"/>
        <v>-21.972274865620875</v>
      </c>
      <c r="G978" s="6">
        <f t="shared" si="137"/>
        <v>4.9777500000000002E-2</v>
      </c>
      <c r="H978" s="6">
        <f t="shared" si="138"/>
        <v>0</v>
      </c>
      <c r="I978" s="7">
        <f t="shared" si="139"/>
        <v>-732.40916218736254</v>
      </c>
      <c r="J978" s="8">
        <f t="shared" si="140"/>
        <v>49777.5</v>
      </c>
      <c r="K978" s="7">
        <f t="shared" si="141"/>
        <v>-50509.909162187359</v>
      </c>
      <c r="L978" s="4">
        <f>IF(A978&gt;'Yield Curve'!A1592,L977,(1+VLOOKUP(A978,'Yield Curve'!A971:B1593,2,FALSE))^(1/12)-1)</f>
        <v>7.9741404289037643E-3</v>
      </c>
      <c r="M978" s="5">
        <f t="shared" si="142"/>
        <v>-22.775497405033182</v>
      </c>
    </row>
    <row r="979" spans="1:13" x14ac:dyDescent="0.25">
      <c r="A979" s="4">
        <v>971</v>
      </c>
      <c r="B979" s="4">
        <f t="shared" si="135"/>
        <v>125</v>
      </c>
      <c r="C979" s="4">
        <f t="shared" si="136"/>
        <v>986</v>
      </c>
      <c r="D979" s="4">
        <f>IF(B979&gt;'Mortality Table'!$A$118,D978,VLOOKUP(B979,'Mortality Table'!$A$2:$B$118,2,FALSE))</f>
        <v>0.59733000000000003</v>
      </c>
      <c r="E979" s="4">
        <f>IF(INT((C979-1)/12)+1&gt;'Lapse Table'!$A$11,E978,VLOOKUP(INT((C979-1)/12)+1,'Lapse Table'!$A$2:$B$11,2,FALSE))/12</f>
        <v>0</v>
      </c>
      <c r="F979" s="5">
        <f t="shared" si="143"/>
        <v>-22.022052365620876</v>
      </c>
      <c r="G979" s="6">
        <f t="shared" si="137"/>
        <v>4.9777500000000002E-2</v>
      </c>
      <c r="H979" s="6">
        <f t="shared" si="138"/>
        <v>0</v>
      </c>
      <c r="I979" s="7">
        <f t="shared" si="139"/>
        <v>-734.06841218736247</v>
      </c>
      <c r="J979" s="8">
        <f t="shared" si="140"/>
        <v>49777.5</v>
      </c>
      <c r="K979" s="7">
        <f t="shared" si="141"/>
        <v>-50511.568412187364</v>
      </c>
      <c r="L979" s="4">
        <f>IF(A979&gt;'Yield Curve'!A1593,L978,(1+VLOOKUP(A979,'Yield Curve'!A972:B1594,2,FALSE))^(1/12)-1)</f>
        <v>7.9741404289037643E-3</v>
      </c>
      <c r="M979" s="5">
        <f t="shared" si="142"/>
        <v>-22.596061413042548</v>
      </c>
    </row>
    <row r="980" spans="1:13" x14ac:dyDescent="0.25">
      <c r="A980" s="4">
        <v>972</v>
      </c>
      <c r="B980" s="4">
        <f t="shared" si="135"/>
        <v>126</v>
      </c>
      <c r="C980" s="4">
        <f t="shared" si="136"/>
        <v>987</v>
      </c>
      <c r="D980" s="4">
        <f>IF(B980&gt;'Mortality Table'!$A$118,D979,VLOOKUP(B980,'Mortality Table'!$A$2:$B$118,2,FALSE))</f>
        <v>0.59733000000000003</v>
      </c>
      <c r="E980" s="4">
        <f>IF(INT((C980-1)/12)+1&gt;'Lapse Table'!$A$11,E979,VLOOKUP(INT((C980-1)/12)+1,'Lapse Table'!$A$2:$B$11,2,FALSE))/12</f>
        <v>0</v>
      </c>
      <c r="F980" s="5">
        <f t="shared" si="143"/>
        <v>-22.071829865620877</v>
      </c>
      <c r="G980" s="6">
        <f t="shared" si="137"/>
        <v>4.9777500000000002E-2</v>
      </c>
      <c r="H980" s="6">
        <f t="shared" si="138"/>
        <v>0</v>
      </c>
      <c r="I980" s="7">
        <f t="shared" si="139"/>
        <v>-735.72766218736251</v>
      </c>
      <c r="J980" s="8">
        <f t="shared" si="140"/>
        <v>49777.5</v>
      </c>
      <c r="K980" s="7">
        <f t="shared" si="141"/>
        <v>-50513.227662187361</v>
      </c>
      <c r="L980" s="4">
        <f>IF(A980&gt;'Yield Curve'!A1594,L979,(1+VLOOKUP(A980,'Yield Curve'!A973:B1595,2,FALSE))^(1/12)-1)</f>
        <v>7.9741404289037643E-3</v>
      </c>
      <c r="M980" s="5">
        <f t="shared" si="142"/>
        <v>-22.418039077302968</v>
      </c>
    </row>
    <row r="981" spans="1:13" x14ac:dyDescent="0.25">
      <c r="A981" s="4">
        <v>973</v>
      </c>
      <c r="B981" s="4">
        <f t="shared" si="135"/>
        <v>126</v>
      </c>
      <c r="C981" s="4">
        <f t="shared" si="136"/>
        <v>988</v>
      </c>
      <c r="D981" s="4">
        <f>IF(B981&gt;'Mortality Table'!$A$118,D980,VLOOKUP(B981,'Mortality Table'!$A$2:$B$118,2,FALSE))</f>
        <v>0.59733000000000003</v>
      </c>
      <c r="E981" s="4">
        <f>IF(INT((C981-1)/12)+1&gt;'Lapse Table'!$A$11,E980,VLOOKUP(INT((C981-1)/12)+1,'Lapse Table'!$A$2:$B$11,2,FALSE))/12</f>
        <v>0</v>
      </c>
      <c r="F981" s="5">
        <f t="shared" si="143"/>
        <v>-22.121607365620878</v>
      </c>
      <c r="G981" s="6">
        <f t="shared" si="137"/>
        <v>4.9777500000000002E-2</v>
      </c>
      <c r="H981" s="6">
        <f t="shared" si="138"/>
        <v>0</v>
      </c>
      <c r="I981" s="7">
        <f t="shared" si="139"/>
        <v>-737.38691218736267</v>
      </c>
      <c r="J981" s="8">
        <f t="shared" si="140"/>
        <v>49777.5</v>
      </c>
      <c r="K981" s="7">
        <f t="shared" si="141"/>
        <v>-50514.886912187365</v>
      </c>
      <c r="L981" s="4">
        <f>IF(A981&gt;'Yield Curve'!A1595,L980,(1+VLOOKUP(A981,'Yield Curve'!A974:B1596,2,FALSE))^(1/12)-1)</f>
        <v>7.9741404289037643E-3</v>
      </c>
      <c r="M981" s="5">
        <f t="shared" si="142"/>
        <v>-22.241419260753865</v>
      </c>
    </row>
    <row r="982" spans="1:13" x14ac:dyDescent="0.25">
      <c r="A982" s="4">
        <v>974</v>
      </c>
      <c r="B982" s="4">
        <f t="shared" si="135"/>
        <v>126</v>
      </c>
      <c r="C982" s="4">
        <f t="shared" si="136"/>
        <v>989</v>
      </c>
      <c r="D982" s="4">
        <f>IF(B982&gt;'Mortality Table'!$A$118,D981,VLOOKUP(B982,'Mortality Table'!$A$2:$B$118,2,FALSE))</f>
        <v>0.59733000000000003</v>
      </c>
      <c r="E982" s="4">
        <f>IF(INT((C982-1)/12)+1&gt;'Lapse Table'!$A$11,E981,VLOOKUP(INT((C982-1)/12)+1,'Lapse Table'!$A$2:$B$11,2,FALSE))/12</f>
        <v>0</v>
      </c>
      <c r="F982" s="5">
        <f t="shared" si="143"/>
        <v>-22.17138486562088</v>
      </c>
      <c r="G982" s="6">
        <f t="shared" si="137"/>
        <v>4.9777500000000002E-2</v>
      </c>
      <c r="H982" s="6">
        <f t="shared" si="138"/>
        <v>0</v>
      </c>
      <c r="I982" s="7">
        <f t="shared" si="139"/>
        <v>-739.04616218736271</v>
      </c>
      <c r="J982" s="8">
        <f t="shared" si="140"/>
        <v>49777.5</v>
      </c>
      <c r="K982" s="7">
        <f t="shared" si="141"/>
        <v>-50516.546162187362</v>
      </c>
      <c r="L982" s="4">
        <f>IF(A982&gt;'Yield Curve'!A1596,L981,(1+VLOOKUP(A982,'Yield Curve'!A975:B1597,2,FALSE))^(1/12)-1)</f>
        <v>7.9741404289037643E-3</v>
      </c>
      <c r="M982" s="5">
        <f t="shared" si="142"/>
        <v>-22.066190914073044</v>
      </c>
    </row>
    <row r="983" spans="1:13" x14ac:dyDescent="0.25">
      <c r="A983" s="4">
        <v>975</v>
      </c>
      <c r="B983" s="4">
        <f t="shared" si="135"/>
        <v>126</v>
      </c>
      <c r="C983" s="4">
        <f t="shared" si="136"/>
        <v>990</v>
      </c>
      <c r="D983" s="4">
        <f>IF(B983&gt;'Mortality Table'!$A$118,D982,VLOOKUP(B983,'Mortality Table'!$A$2:$B$118,2,FALSE))</f>
        <v>0.59733000000000003</v>
      </c>
      <c r="E983" s="4">
        <f>IF(INT((C983-1)/12)+1&gt;'Lapse Table'!$A$11,E982,VLOOKUP(INT((C983-1)/12)+1,'Lapse Table'!$A$2:$B$11,2,FALSE))/12</f>
        <v>0</v>
      </c>
      <c r="F983" s="5">
        <f t="shared" si="143"/>
        <v>-22.221162365620881</v>
      </c>
      <c r="G983" s="6">
        <f t="shared" si="137"/>
        <v>4.9777500000000002E-2</v>
      </c>
      <c r="H983" s="6">
        <f t="shared" si="138"/>
        <v>0</v>
      </c>
      <c r="I983" s="7">
        <f t="shared" si="139"/>
        <v>-740.70541218736264</v>
      </c>
      <c r="J983" s="8">
        <f t="shared" si="140"/>
        <v>49777.5</v>
      </c>
      <c r="K983" s="7">
        <f t="shared" si="141"/>
        <v>-50518.205412187366</v>
      </c>
      <c r="L983" s="4">
        <f>IF(A983&gt;'Yield Curve'!A1597,L982,(1+VLOOKUP(A983,'Yield Curve'!A976:B1598,2,FALSE))^(1/12)-1)</f>
        <v>7.9741404289037643E-3</v>
      </c>
      <c r="M983" s="5">
        <f t="shared" si="142"/>
        <v>-21.892343074985572</v>
      </c>
    </row>
    <row r="984" spans="1:13" x14ac:dyDescent="0.25">
      <c r="A984" s="4">
        <v>976</v>
      </c>
      <c r="B984" s="4">
        <f t="shared" si="135"/>
        <v>126</v>
      </c>
      <c r="C984" s="4">
        <f t="shared" si="136"/>
        <v>991</v>
      </c>
      <c r="D984" s="4">
        <f>IF(B984&gt;'Mortality Table'!$A$118,D983,VLOOKUP(B984,'Mortality Table'!$A$2:$B$118,2,FALSE))</f>
        <v>0.59733000000000003</v>
      </c>
      <c r="E984" s="4">
        <f>IF(INT((C984-1)/12)+1&gt;'Lapse Table'!$A$11,E983,VLOOKUP(INT((C984-1)/12)+1,'Lapse Table'!$A$2:$B$11,2,FALSE))/12</f>
        <v>0</v>
      </c>
      <c r="F984" s="5">
        <f t="shared" si="143"/>
        <v>-22.270939865620882</v>
      </c>
      <c r="G984" s="6">
        <f t="shared" si="137"/>
        <v>4.9777500000000002E-2</v>
      </c>
      <c r="H984" s="6">
        <f t="shared" si="138"/>
        <v>0</v>
      </c>
      <c r="I984" s="7">
        <f t="shared" si="139"/>
        <v>-742.36466218736268</v>
      </c>
      <c r="J984" s="8">
        <f t="shared" si="140"/>
        <v>49777.5</v>
      </c>
      <c r="K984" s="7">
        <f t="shared" si="141"/>
        <v>-50519.864662187363</v>
      </c>
      <c r="L984" s="4">
        <f>IF(A984&gt;'Yield Curve'!A1598,L983,(1+VLOOKUP(A984,'Yield Curve'!A977:B1599,2,FALSE))^(1/12)-1)</f>
        <v>7.9741404289037643E-3</v>
      </c>
      <c r="M984" s="5">
        <f t="shared" si="142"/>
        <v>-21.719864867577932</v>
      </c>
    </row>
    <row r="985" spans="1:13" x14ac:dyDescent="0.25">
      <c r="A985" s="4">
        <v>977</v>
      </c>
      <c r="B985" s="4">
        <f t="shared" si="135"/>
        <v>126</v>
      </c>
      <c r="C985" s="4">
        <f t="shared" si="136"/>
        <v>992</v>
      </c>
      <c r="D985" s="4">
        <f>IF(B985&gt;'Mortality Table'!$A$118,D984,VLOOKUP(B985,'Mortality Table'!$A$2:$B$118,2,FALSE))</f>
        <v>0.59733000000000003</v>
      </c>
      <c r="E985" s="4">
        <f>IF(INT((C985-1)/12)+1&gt;'Lapse Table'!$A$11,E984,VLOOKUP(INT((C985-1)/12)+1,'Lapse Table'!$A$2:$B$11,2,FALSE))/12</f>
        <v>0</v>
      </c>
      <c r="F985" s="5">
        <f t="shared" si="143"/>
        <v>-22.320717365620883</v>
      </c>
      <c r="G985" s="6">
        <f t="shared" si="137"/>
        <v>4.9777500000000002E-2</v>
      </c>
      <c r="H985" s="6">
        <f t="shared" si="138"/>
        <v>0</v>
      </c>
      <c r="I985" s="7">
        <f t="shared" si="139"/>
        <v>-744.02391218736284</v>
      </c>
      <c r="J985" s="8">
        <f t="shared" si="140"/>
        <v>49777.5</v>
      </c>
      <c r="K985" s="7">
        <f t="shared" si="141"/>
        <v>-50521.52391218736</v>
      </c>
      <c r="L985" s="4">
        <f>IF(A985&gt;'Yield Curve'!A1599,L984,(1+VLOOKUP(A985,'Yield Curve'!A978:B1600,2,FALSE))^(1/12)-1)</f>
        <v>7.9741404289037643E-3</v>
      </c>
      <c r="M985" s="5">
        <f t="shared" si="142"/>
        <v>-21.54874550161777</v>
      </c>
    </row>
    <row r="986" spans="1:13" x14ac:dyDescent="0.25">
      <c r="A986" s="4">
        <v>978</v>
      </c>
      <c r="B986" s="4">
        <f t="shared" si="135"/>
        <v>126</v>
      </c>
      <c r="C986" s="4">
        <f t="shared" si="136"/>
        <v>993</v>
      </c>
      <c r="D986" s="4">
        <f>IF(B986&gt;'Mortality Table'!$A$118,D985,VLOOKUP(B986,'Mortality Table'!$A$2:$B$118,2,FALSE))</f>
        <v>0.59733000000000003</v>
      </c>
      <c r="E986" s="4">
        <f>IF(INT((C986-1)/12)+1&gt;'Lapse Table'!$A$11,E985,VLOOKUP(INT((C986-1)/12)+1,'Lapse Table'!$A$2:$B$11,2,FALSE))/12</f>
        <v>0</v>
      </c>
      <c r="F986" s="5">
        <f t="shared" si="143"/>
        <v>-22.370494865620884</v>
      </c>
      <c r="G986" s="6">
        <f t="shared" si="137"/>
        <v>4.9777500000000002E-2</v>
      </c>
      <c r="H986" s="6">
        <f t="shared" si="138"/>
        <v>0</v>
      </c>
      <c r="I986" s="7">
        <f t="shared" si="139"/>
        <v>-745.68316218736288</v>
      </c>
      <c r="J986" s="8">
        <f t="shared" si="140"/>
        <v>49777.5</v>
      </c>
      <c r="K986" s="7">
        <f t="shared" si="141"/>
        <v>-50523.183162187364</v>
      </c>
      <c r="L986" s="4">
        <f>IF(A986&gt;'Yield Curve'!A1600,L985,(1+VLOOKUP(A986,'Yield Curve'!A979:B1601,2,FALSE))^(1/12)-1)</f>
        <v>7.9741404289037643E-3</v>
      </c>
      <c r="M986" s="5">
        <f t="shared" si="142"/>
        <v>-21.37897427187886</v>
      </c>
    </row>
    <row r="987" spans="1:13" x14ac:dyDescent="0.25">
      <c r="A987" s="4">
        <v>979</v>
      </c>
      <c r="B987" s="4">
        <f t="shared" si="135"/>
        <v>126</v>
      </c>
      <c r="C987" s="4">
        <f t="shared" si="136"/>
        <v>994</v>
      </c>
      <c r="D987" s="4">
        <f>IF(B987&gt;'Mortality Table'!$A$118,D986,VLOOKUP(B987,'Mortality Table'!$A$2:$B$118,2,FALSE))</f>
        <v>0.59733000000000003</v>
      </c>
      <c r="E987" s="4">
        <f>IF(INT((C987-1)/12)+1&gt;'Lapse Table'!$A$11,E986,VLOOKUP(INT((C987-1)/12)+1,'Lapse Table'!$A$2:$B$11,2,FALSE))/12</f>
        <v>0</v>
      </c>
      <c r="F987" s="5">
        <f t="shared" si="143"/>
        <v>-22.420272365620885</v>
      </c>
      <c r="G987" s="6">
        <f t="shared" si="137"/>
        <v>4.9777500000000002E-2</v>
      </c>
      <c r="H987" s="6">
        <f t="shared" si="138"/>
        <v>0</v>
      </c>
      <c r="I987" s="7">
        <f t="shared" si="139"/>
        <v>-747.34241218736281</v>
      </c>
      <c r="J987" s="8">
        <f t="shared" si="140"/>
        <v>49777.5</v>
      </c>
      <c r="K987" s="7">
        <f t="shared" si="141"/>
        <v>-50524.842412187361</v>
      </c>
      <c r="L987" s="4">
        <f>IF(A987&gt;'Yield Curve'!A1601,L986,(1+VLOOKUP(A987,'Yield Curve'!A980:B1602,2,FALSE))^(1/12)-1)</f>
        <v>7.9741404289037643E-3</v>
      </c>
      <c r="M987" s="5">
        <f t="shared" si="142"/>
        <v>-21.210540557471415</v>
      </c>
    </row>
    <row r="988" spans="1:13" x14ac:dyDescent="0.25">
      <c r="A988" s="4">
        <v>980</v>
      </c>
      <c r="B988" s="4">
        <f t="shared" si="135"/>
        <v>126</v>
      </c>
      <c r="C988" s="4">
        <f t="shared" si="136"/>
        <v>995</v>
      </c>
      <c r="D988" s="4">
        <f>IF(B988&gt;'Mortality Table'!$A$118,D987,VLOOKUP(B988,'Mortality Table'!$A$2:$B$118,2,FALSE))</f>
        <v>0.59733000000000003</v>
      </c>
      <c r="E988" s="4">
        <f>IF(INT((C988-1)/12)+1&gt;'Lapse Table'!$A$11,E987,VLOOKUP(INT((C988-1)/12)+1,'Lapse Table'!$A$2:$B$11,2,FALSE))/12</f>
        <v>0</v>
      </c>
      <c r="F988" s="5">
        <f t="shared" si="143"/>
        <v>-22.470049865620886</v>
      </c>
      <c r="G988" s="6">
        <f t="shared" si="137"/>
        <v>4.9777500000000002E-2</v>
      </c>
      <c r="H988" s="6">
        <f t="shared" si="138"/>
        <v>0</v>
      </c>
      <c r="I988" s="7">
        <f t="shared" si="139"/>
        <v>-749.00166218736285</v>
      </c>
      <c r="J988" s="8">
        <f t="shared" si="140"/>
        <v>49777.5</v>
      </c>
      <c r="K988" s="7">
        <f t="shared" si="141"/>
        <v>-50526.501662187366</v>
      </c>
      <c r="L988" s="4">
        <f>IF(A988&gt;'Yield Curve'!A1602,L987,(1+VLOOKUP(A988,'Yield Curve'!A981:B1603,2,FALSE))^(1/12)-1)</f>
        <v>7.9741404289037643E-3</v>
      </c>
      <c r="M988" s="5">
        <f t="shared" si="142"/>
        <v>-21.043433821177715</v>
      </c>
    </row>
    <row r="989" spans="1:13" x14ac:dyDescent="0.25">
      <c r="A989" s="4">
        <v>981</v>
      </c>
      <c r="B989" s="4">
        <f t="shared" si="135"/>
        <v>126</v>
      </c>
      <c r="C989" s="4">
        <f t="shared" si="136"/>
        <v>996</v>
      </c>
      <c r="D989" s="4">
        <f>IF(B989&gt;'Mortality Table'!$A$118,D988,VLOOKUP(B989,'Mortality Table'!$A$2:$B$118,2,FALSE))</f>
        <v>0.59733000000000003</v>
      </c>
      <c r="E989" s="4">
        <f>IF(INT((C989-1)/12)+1&gt;'Lapse Table'!$A$11,E988,VLOOKUP(INT((C989-1)/12)+1,'Lapse Table'!$A$2:$B$11,2,FALSE))/12</f>
        <v>0</v>
      </c>
      <c r="F989" s="5">
        <f t="shared" si="143"/>
        <v>-22.519827365620888</v>
      </c>
      <c r="G989" s="6">
        <f t="shared" si="137"/>
        <v>4.9777500000000002E-2</v>
      </c>
      <c r="H989" s="6">
        <f t="shared" si="138"/>
        <v>0</v>
      </c>
      <c r="I989" s="7">
        <f t="shared" si="139"/>
        <v>-750.6609121873629</v>
      </c>
      <c r="J989" s="8">
        <f t="shared" si="140"/>
        <v>49777.5</v>
      </c>
      <c r="K989" s="7">
        <f t="shared" si="141"/>
        <v>-50528.160912187363</v>
      </c>
      <c r="L989" s="4">
        <f>IF(A989&gt;'Yield Curve'!A1603,L988,(1+VLOOKUP(A989,'Yield Curve'!A982:B1604,2,FALSE))^(1/12)-1)</f>
        <v>7.9741404289037643E-3</v>
      </c>
      <c r="M989" s="5">
        <f t="shared" si="142"/>
        <v>-20.87764360879293</v>
      </c>
    </row>
    <row r="990" spans="1:13" x14ac:dyDescent="0.25">
      <c r="A990" s="4">
        <v>982</v>
      </c>
      <c r="B990" s="4">
        <f t="shared" si="135"/>
        <v>126</v>
      </c>
      <c r="C990" s="4">
        <f t="shared" si="136"/>
        <v>997</v>
      </c>
      <c r="D990" s="4">
        <f>IF(B990&gt;'Mortality Table'!$A$118,D989,VLOOKUP(B990,'Mortality Table'!$A$2:$B$118,2,FALSE))</f>
        <v>0.59733000000000003</v>
      </c>
      <c r="E990" s="4">
        <f>IF(INT((C990-1)/12)+1&gt;'Lapse Table'!$A$11,E989,VLOOKUP(INT((C990-1)/12)+1,'Lapse Table'!$A$2:$B$11,2,FALSE))/12</f>
        <v>0</v>
      </c>
      <c r="F990" s="5">
        <f t="shared" si="143"/>
        <v>-22.569604865620889</v>
      </c>
      <c r="G990" s="6">
        <f t="shared" si="137"/>
        <v>4.9777500000000002E-2</v>
      </c>
      <c r="H990" s="6">
        <f t="shared" si="138"/>
        <v>0</v>
      </c>
      <c r="I990" s="7">
        <f t="shared" si="139"/>
        <v>-752.32016218736305</v>
      </c>
      <c r="J990" s="8">
        <f t="shared" si="140"/>
        <v>49777.5</v>
      </c>
      <c r="K990" s="7">
        <f t="shared" si="141"/>
        <v>-50529.82016218736</v>
      </c>
      <c r="L990" s="4">
        <f>IF(A990&gt;'Yield Curve'!A1604,L989,(1+VLOOKUP(A990,'Yield Curve'!A983:B1605,2,FALSE))^(1/12)-1)</f>
        <v>7.9741404289037643E-3</v>
      </c>
      <c r="M990" s="5">
        <f t="shared" si="142"/>
        <v>-20.713159548471197</v>
      </c>
    </row>
    <row r="991" spans="1:13" x14ac:dyDescent="0.25">
      <c r="A991" s="4">
        <v>983</v>
      </c>
      <c r="B991" s="4">
        <f t="shared" si="135"/>
        <v>126</v>
      </c>
      <c r="C991" s="4">
        <f t="shared" si="136"/>
        <v>998</v>
      </c>
      <c r="D991" s="4">
        <f>IF(B991&gt;'Mortality Table'!$A$118,D990,VLOOKUP(B991,'Mortality Table'!$A$2:$B$118,2,FALSE))</f>
        <v>0.59733000000000003</v>
      </c>
      <c r="E991" s="4">
        <f>IF(INT((C991-1)/12)+1&gt;'Lapse Table'!$A$11,E990,VLOOKUP(INT((C991-1)/12)+1,'Lapse Table'!$A$2:$B$11,2,FALSE))/12</f>
        <v>0</v>
      </c>
      <c r="F991" s="5">
        <f t="shared" si="143"/>
        <v>-22.61938236562089</v>
      </c>
      <c r="G991" s="6">
        <f t="shared" si="137"/>
        <v>4.9777500000000002E-2</v>
      </c>
      <c r="H991" s="6">
        <f t="shared" si="138"/>
        <v>0</v>
      </c>
      <c r="I991" s="7">
        <f t="shared" si="139"/>
        <v>-753.97941218736298</v>
      </c>
      <c r="J991" s="8">
        <f t="shared" si="140"/>
        <v>49777.5</v>
      </c>
      <c r="K991" s="7">
        <f t="shared" si="141"/>
        <v>-50531.479412187364</v>
      </c>
      <c r="L991" s="4">
        <f>IF(A991&gt;'Yield Curve'!A1605,L990,(1+VLOOKUP(A991,'Yield Curve'!A984:B1606,2,FALSE))^(1/12)-1)</f>
        <v>7.9741404289037643E-3</v>
      </c>
      <c r="M991" s="5">
        <f t="shared" si="142"/>
        <v>-20.549971350076735</v>
      </c>
    </row>
    <row r="992" spans="1:13" x14ac:dyDescent="0.25">
      <c r="A992" s="4">
        <v>984</v>
      </c>
      <c r="B992" s="4">
        <f t="shared" si="135"/>
        <v>127</v>
      </c>
      <c r="C992" s="4">
        <f t="shared" si="136"/>
        <v>999</v>
      </c>
      <c r="D992" s="4">
        <f>IF(B992&gt;'Mortality Table'!$A$118,D991,VLOOKUP(B992,'Mortality Table'!$A$2:$B$118,2,FALSE))</f>
        <v>0.59733000000000003</v>
      </c>
      <c r="E992" s="4">
        <f>IF(INT((C992-1)/12)+1&gt;'Lapse Table'!$A$11,E991,VLOOKUP(INT((C992-1)/12)+1,'Lapse Table'!$A$2:$B$11,2,FALSE))/12</f>
        <v>0</v>
      </c>
      <c r="F992" s="5">
        <f t="shared" si="143"/>
        <v>-22.669159865620891</v>
      </c>
      <c r="G992" s="6">
        <f t="shared" si="137"/>
        <v>4.9777500000000002E-2</v>
      </c>
      <c r="H992" s="6">
        <f t="shared" si="138"/>
        <v>0</v>
      </c>
      <c r="I992" s="7">
        <f t="shared" si="139"/>
        <v>-755.63866218736302</v>
      </c>
      <c r="J992" s="8">
        <f t="shared" si="140"/>
        <v>49777.5</v>
      </c>
      <c r="K992" s="7">
        <f t="shared" si="141"/>
        <v>-50533.138662187361</v>
      </c>
      <c r="L992" s="4">
        <f>IF(A992&gt;'Yield Curve'!A1606,L991,(1+VLOOKUP(A992,'Yield Curve'!A985:B1607,2,FALSE))^(1/12)-1)</f>
        <v>7.9741404289037643E-3</v>
      </c>
      <c r="M992" s="5">
        <f t="shared" si="142"/>
        <v>-20.388068804540168</v>
      </c>
    </row>
    <row r="993" spans="1:13" x14ac:dyDescent="0.25">
      <c r="A993" s="4">
        <v>985</v>
      </c>
      <c r="B993" s="4">
        <f t="shared" si="135"/>
        <v>127</v>
      </c>
      <c r="C993" s="4">
        <f t="shared" si="136"/>
        <v>1000</v>
      </c>
      <c r="D993" s="4">
        <f>IF(B993&gt;'Mortality Table'!$A$118,D992,VLOOKUP(B993,'Mortality Table'!$A$2:$B$118,2,FALSE))</f>
        <v>0.59733000000000003</v>
      </c>
      <c r="E993" s="4">
        <f>IF(INT((C993-1)/12)+1&gt;'Lapse Table'!$A$11,E992,VLOOKUP(INT((C993-1)/12)+1,'Lapse Table'!$A$2:$B$11,2,FALSE))/12</f>
        <v>0</v>
      </c>
      <c r="F993" s="5">
        <f t="shared" si="143"/>
        <v>-22.718937365620892</v>
      </c>
      <c r="G993" s="6">
        <f t="shared" si="137"/>
        <v>4.9777500000000002E-2</v>
      </c>
      <c r="H993" s="6">
        <f t="shared" si="138"/>
        <v>0</v>
      </c>
      <c r="I993" s="7">
        <f t="shared" si="139"/>
        <v>-757.29791218736307</v>
      </c>
      <c r="J993" s="8">
        <f t="shared" si="140"/>
        <v>49777.5</v>
      </c>
      <c r="K993" s="7">
        <f t="shared" si="141"/>
        <v>-50534.797912187365</v>
      </c>
      <c r="L993" s="4">
        <f>IF(A993&gt;'Yield Curve'!A1607,L992,(1+VLOOKUP(A993,'Yield Curve'!A986:B1608,2,FALSE))^(1/12)-1)</f>
        <v>7.9741404289037643E-3</v>
      </c>
      <c r="M993" s="5">
        <f t="shared" si="142"/>
        <v>-20.227441783219902</v>
      </c>
    </row>
    <row r="994" spans="1:13" x14ac:dyDescent="0.25">
      <c r="A994" s="4">
        <v>986</v>
      </c>
      <c r="B994" s="4">
        <f t="shared" si="135"/>
        <v>127</v>
      </c>
      <c r="C994" s="4">
        <f t="shared" si="136"/>
        <v>1001</v>
      </c>
      <c r="D994" s="4">
        <f>IF(B994&gt;'Mortality Table'!$A$118,D993,VLOOKUP(B994,'Mortality Table'!$A$2:$B$118,2,FALSE))</f>
        <v>0.59733000000000003</v>
      </c>
      <c r="E994" s="4">
        <f>IF(INT((C994-1)/12)+1&gt;'Lapse Table'!$A$11,E993,VLOOKUP(INT((C994-1)/12)+1,'Lapse Table'!$A$2:$B$11,2,FALSE))/12</f>
        <v>0</v>
      </c>
      <c r="F994" s="5">
        <f t="shared" si="143"/>
        <v>-22.768714865620893</v>
      </c>
      <c r="G994" s="6">
        <f t="shared" si="137"/>
        <v>4.9777500000000002E-2</v>
      </c>
      <c r="H994" s="6">
        <f t="shared" si="138"/>
        <v>0</v>
      </c>
      <c r="I994" s="7">
        <f t="shared" si="139"/>
        <v>-758.95716218736322</v>
      </c>
      <c r="J994" s="8">
        <f t="shared" si="140"/>
        <v>49777.5</v>
      </c>
      <c r="K994" s="7">
        <f t="shared" si="141"/>
        <v>-50536.457162187362</v>
      </c>
      <c r="L994" s="4">
        <f>IF(A994&gt;'Yield Curve'!A1608,L993,(1+VLOOKUP(A994,'Yield Curve'!A987:B1609,2,FALSE))^(1/12)-1)</f>
        <v>7.9741404289037643E-3</v>
      </c>
      <c r="M994" s="5">
        <f t="shared" si="142"/>
        <v>-20.068080237268507</v>
      </c>
    </row>
    <row r="995" spans="1:13" x14ac:dyDescent="0.25">
      <c r="A995" s="4">
        <v>987</v>
      </c>
      <c r="B995" s="4">
        <f t="shared" si="135"/>
        <v>127</v>
      </c>
      <c r="C995" s="4">
        <f t="shared" si="136"/>
        <v>1002</v>
      </c>
      <c r="D995" s="4">
        <f>IF(B995&gt;'Mortality Table'!$A$118,D994,VLOOKUP(B995,'Mortality Table'!$A$2:$B$118,2,FALSE))</f>
        <v>0.59733000000000003</v>
      </c>
      <c r="E995" s="4">
        <f>IF(INT((C995-1)/12)+1&gt;'Lapse Table'!$A$11,E994,VLOOKUP(INT((C995-1)/12)+1,'Lapse Table'!$A$2:$B$11,2,FALSE))/12</f>
        <v>0</v>
      </c>
      <c r="F995" s="5">
        <f t="shared" si="143"/>
        <v>-22.818492365620894</v>
      </c>
      <c r="G995" s="6">
        <f t="shared" si="137"/>
        <v>4.9777500000000002E-2</v>
      </c>
      <c r="H995" s="6">
        <f t="shared" si="138"/>
        <v>0</v>
      </c>
      <c r="I995" s="7">
        <f t="shared" si="139"/>
        <v>-760.61641218736315</v>
      </c>
      <c r="J995" s="8">
        <f t="shared" si="140"/>
        <v>49777.5</v>
      </c>
      <c r="K995" s="7">
        <f t="shared" si="141"/>
        <v>-50538.116412187366</v>
      </c>
      <c r="L995" s="4">
        <f>IF(A995&gt;'Yield Curve'!A1609,L994,(1+VLOOKUP(A995,'Yield Curve'!A988:B1610,2,FALSE))^(1/12)-1)</f>
        <v>7.9741404289037643E-3</v>
      </c>
      <c r="M995" s="5">
        <f t="shared" si="142"/>
        <v>-19.909974197004111</v>
      </c>
    </row>
    <row r="996" spans="1:13" x14ac:dyDescent="0.25">
      <c r="A996" s="4">
        <v>988</v>
      </c>
      <c r="B996" s="4">
        <f t="shared" si="135"/>
        <v>127</v>
      </c>
      <c r="C996" s="4">
        <f t="shared" si="136"/>
        <v>1003</v>
      </c>
      <c r="D996" s="4">
        <f>IF(B996&gt;'Mortality Table'!$A$118,D995,VLOOKUP(B996,'Mortality Table'!$A$2:$B$118,2,FALSE))</f>
        <v>0.59733000000000003</v>
      </c>
      <c r="E996" s="4">
        <f>IF(INT((C996-1)/12)+1&gt;'Lapse Table'!$A$11,E995,VLOOKUP(INT((C996-1)/12)+1,'Lapse Table'!$A$2:$B$11,2,FALSE))/12</f>
        <v>0</v>
      </c>
      <c r="F996" s="5">
        <f t="shared" si="143"/>
        <v>-22.868269865620896</v>
      </c>
      <c r="G996" s="6">
        <f t="shared" si="137"/>
        <v>4.9777500000000002E-2</v>
      </c>
      <c r="H996" s="6">
        <f t="shared" si="138"/>
        <v>0</v>
      </c>
      <c r="I996" s="7">
        <f t="shared" si="139"/>
        <v>-762.2756621873632</v>
      </c>
      <c r="J996" s="8">
        <f t="shared" si="140"/>
        <v>49777.5</v>
      </c>
      <c r="K996" s="7">
        <f t="shared" si="141"/>
        <v>-50539.775662187363</v>
      </c>
      <c r="L996" s="4">
        <f>IF(A996&gt;'Yield Curve'!A1610,L995,(1+VLOOKUP(A996,'Yield Curve'!A989:B1611,2,FALSE))^(1/12)-1)</f>
        <v>7.9741404289037643E-3</v>
      </c>
      <c r="M996" s="5">
        <f t="shared" si="142"/>
        <v>-19.753113771286703</v>
      </c>
    </row>
    <row r="997" spans="1:13" x14ac:dyDescent="0.25">
      <c r="A997" s="4">
        <v>989</v>
      </c>
      <c r="B997" s="4">
        <f t="shared" si="135"/>
        <v>127</v>
      </c>
      <c r="C997" s="4">
        <f t="shared" si="136"/>
        <v>1004</v>
      </c>
      <c r="D997" s="4">
        <f>IF(B997&gt;'Mortality Table'!$A$118,D996,VLOOKUP(B997,'Mortality Table'!$A$2:$B$118,2,FALSE))</f>
        <v>0.59733000000000003</v>
      </c>
      <c r="E997" s="4">
        <f>IF(INT((C997-1)/12)+1&gt;'Lapse Table'!$A$11,E996,VLOOKUP(INT((C997-1)/12)+1,'Lapse Table'!$A$2:$B$11,2,FALSE))/12</f>
        <v>0</v>
      </c>
      <c r="F997" s="5">
        <f t="shared" si="143"/>
        <v>-22.918047365620897</v>
      </c>
      <c r="G997" s="6">
        <f t="shared" si="137"/>
        <v>4.9777500000000002E-2</v>
      </c>
      <c r="H997" s="6">
        <f t="shared" si="138"/>
        <v>0</v>
      </c>
      <c r="I997" s="7">
        <f t="shared" si="139"/>
        <v>-763.93491218736324</v>
      </c>
      <c r="J997" s="8">
        <f t="shared" si="140"/>
        <v>49777.5</v>
      </c>
      <c r="K997" s="7">
        <f t="shared" si="141"/>
        <v>-50541.43491218736</v>
      </c>
      <c r="L997" s="4">
        <f>IF(A997&gt;'Yield Curve'!A1611,L996,(1+VLOOKUP(A997,'Yield Curve'!A990:B1612,2,FALSE))^(1/12)-1)</f>
        <v>7.9741404289037643E-3</v>
      </c>
      <c r="M997" s="5">
        <f t="shared" si="142"/>
        <v>-19.597489146899459</v>
      </c>
    </row>
    <row r="998" spans="1:13" x14ac:dyDescent="0.25">
      <c r="A998" s="4">
        <v>990</v>
      </c>
      <c r="B998" s="4">
        <f t="shared" si="135"/>
        <v>127</v>
      </c>
      <c r="C998" s="4">
        <f t="shared" si="136"/>
        <v>1005</v>
      </c>
      <c r="D998" s="4">
        <f>IF(B998&gt;'Mortality Table'!$A$118,D997,VLOOKUP(B998,'Mortality Table'!$A$2:$B$118,2,FALSE))</f>
        <v>0.59733000000000003</v>
      </c>
      <c r="E998" s="4">
        <f>IF(INT((C998-1)/12)+1&gt;'Lapse Table'!$A$11,E997,VLOOKUP(INT((C998-1)/12)+1,'Lapse Table'!$A$2:$B$11,2,FALSE))/12</f>
        <v>0</v>
      </c>
      <c r="F998" s="5">
        <f t="shared" si="143"/>
        <v>-22.967824865620898</v>
      </c>
      <c r="G998" s="6">
        <f t="shared" si="137"/>
        <v>4.9777500000000002E-2</v>
      </c>
      <c r="H998" s="6">
        <f t="shared" si="138"/>
        <v>0</v>
      </c>
      <c r="I998" s="7">
        <f t="shared" si="139"/>
        <v>-765.59416218736317</v>
      </c>
      <c r="J998" s="8">
        <f t="shared" si="140"/>
        <v>49777.5</v>
      </c>
      <c r="K998" s="7">
        <f t="shared" si="141"/>
        <v>-50543.094162187364</v>
      </c>
      <c r="L998" s="4">
        <f>IF(A998&gt;'Yield Curve'!A1612,L997,(1+VLOOKUP(A998,'Yield Curve'!A991:B1613,2,FALSE))^(1/12)-1)</f>
        <v>7.9741404289037643E-3</v>
      </c>
      <c r="M998" s="5">
        <f t="shared" si="142"/>
        <v>-19.443090587934801</v>
      </c>
    </row>
    <row r="999" spans="1:13" x14ac:dyDescent="0.25">
      <c r="A999" s="4">
        <v>991</v>
      </c>
      <c r="B999" s="4">
        <f t="shared" si="135"/>
        <v>127</v>
      </c>
      <c r="C999" s="4">
        <f t="shared" si="136"/>
        <v>1006</v>
      </c>
      <c r="D999" s="4">
        <f>IF(B999&gt;'Mortality Table'!$A$118,D998,VLOOKUP(B999,'Mortality Table'!$A$2:$B$118,2,FALSE))</f>
        <v>0.59733000000000003</v>
      </c>
      <c r="E999" s="4">
        <f>IF(INT((C999-1)/12)+1&gt;'Lapse Table'!$A$11,E998,VLOOKUP(INT((C999-1)/12)+1,'Lapse Table'!$A$2:$B$11,2,FALSE))/12</f>
        <v>0</v>
      </c>
      <c r="F999" s="5">
        <f t="shared" si="143"/>
        <v>-23.017602365620899</v>
      </c>
      <c r="G999" s="6">
        <f t="shared" si="137"/>
        <v>4.9777500000000002E-2</v>
      </c>
      <c r="H999" s="6">
        <f t="shared" si="138"/>
        <v>0</v>
      </c>
      <c r="I999" s="7">
        <f t="shared" si="139"/>
        <v>-767.25341218736332</v>
      </c>
      <c r="J999" s="8">
        <f t="shared" si="140"/>
        <v>49777.5</v>
      </c>
      <c r="K999" s="7">
        <f t="shared" si="141"/>
        <v>-50544.753412187361</v>
      </c>
      <c r="L999" s="4">
        <f>IF(A999&gt;'Yield Curve'!A1613,L998,(1+VLOOKUP(A999,'Yield Curve'!A992:B1614,2,FALSE))^(1/12)-1)</f>
        <v>7.9741404289037643E-3</v>
      </c>
      <c r="M999" s="5">
        <f t="shared" si="142"/>
        <v>-19.289908435185382</v>
      </c>
    </row>
    <row r="1000" spans="1:13" x14ac:dyDescent="0.25">
      <c r="A1000" s="4">
        <v>992</v>
      </c>
      <c r="B1000" s="4">
        <f t="shared" si="135"/>
        <v>127</v>
      </c>
      <c r="C1000" s="4">
        <f t="shared" si="136"/>
        <v>1007</v>
      </c>
      <c r="D1000" s="4">
        <f>IF(B1000&gt;'Mortality Table'!$A$118,D999,VLOOKUP(B1000,'Mortality Table'!$A$2:$B$118,2,FALSE))</f>
        <v>0.59733000000000003</v>
      </c>
      <c r="E1000" s="4">
        <f>IF(INT((C1000-1)/12)+1&gt;'Lapse Table'!$A$11,E999,VLOOKUP(INT((C1000-1)/12)+1,'Lapse Table'!$A$2:$B$11,2,FALSE))/12</f>
        <v>0</v>
      </c>
      <c r="F1000" s="5">
        <f t="shared" si="143"/>
        <v>-23.0673798656209</v>
      </c>
      <c r="G1000" s="6">
        <f t="shared" si="137"/>
        <v>4.9777500000000002E-2</v>
      </c>
      <c r="H1000" s="6">
        <f t="shared" si="138"/>
        <v>0</v>
      </c>
      <c r="I1000" s="7">
        <f t="shared" si="139"/>
        <v>-768.91266218736337</v>
      </c>
      <c r="J1000" s="8">
        <f t="shared" si="140"/>
        <v>49777.5</v>
      </c>
      <c r="K1000" s="7">
        <f t="shared" si="141"/>
        <v>-50546.412662187366</v>
      </c>
      <c r="L1000" s="4">
        <f>IF(A1000&gt;'Yield Curve'!A1614,L999,(1+VLOOKUP(A1000,'Yield Curve'!A993:B1615,2,FALSE))^(1/12)-1)</f>
        <v>7.9741404289037643E-3</v>
      </c>
      <c r="M1000" s="5">
        <f t="shared" si="142"/>
        <v>-19.137933105539844</v>
      </c>
    </row>
    <row r="1001" spans="1:13" x14ac:dyDescent="0.25">
      <c r="A1001" s="4">
        <v>993</v>
      </c>
      <c r="B1001" s="4">
        <f t="shared" si="135"/>
        <v>127</v>
      </c>
      <c r="C1001" s="4">
        <f t="shared" si="136"/>
        <v>1008</v>
      </c>
      <c r="D1001" s="4">
        <f>IF(B1001&gt;'Mortality Table'!$A$118,D1000,VLOOKUP(B1001,'Mortality Table'!$A$2:$B$118,2,FALSE))</f>
        <v>0.59733000000000003</v>
      </c>
      <c r="E1001" s="4">
        <f>IF(INT((C1001-1)/12)+1&gt;'Lapse Table'!$A$11,E1000,VLOOKUP(INT((C1001-1)/12)+1,'Lapse Table'!$A$2:$B$11,2,FALSE))/12</f>
        <v>0</v>
      </c>
      <c r="F1001" s="5">
        <f t="shared" si="143"/>
        <v>-23.117157365620901</v>
      </c>
      <c r="G1001" s="6">
        <f t="shared" si="137"/>
        <v>4.9777500000000002E-2</v>
      </c>
      <c r="H1001" s="6">
        <f t="shared" si="138"/>
        <v>0</v>
      </c>
      <c r="I1001" s="7">
        <f t="shared" si="139"/>
        <v>-770.57191218736341</v>
      </c>
      <c r="J1001" s="8">
        <f t="shared" si="140"/>
        <v>49777.5</v>
      </c>
      <c r="K1001" s="7">
        <f t="shared" si="141"/>
        <v>-50548.071912187363</v>
      </c>
      <c r="L1001" s="4">
        <f>IF(A1001&gt;'Yield Curve'!A1615,L1000,(1+VLOOKUP(A1001,'Yield Curve'!A994:B1616,2,FALSE))^(1/12)-1)</f>
        <v>7.9741404289037643E-3</v>
      </c>
      <c r="M1001" s="5">
        <f t="shared" si="142"/>
        <v>-18.987155091383361</v>
      </c>
    </row>
    <row r="1002" spans="1:13" x14ac:dyDescent="0.25">
      <c r="A1002" s="4">
        <v>994</v>
      </c>
      <c r="B1002" s="4">
        <f t="shared" si="135"/>
        <v>127</v>
      </c>
      <c r="C1002" s="4">
        <f t="shared" si="136"/>
        <v>1009</v>
      </c>
      <c r="D1002" s="4">
        <f>IF(B1002&gt;'Mortality Table'!$A$118,D1001,VLOOKUP(B1002,'Mortality Table'!$A$2:$B$118,2,FALSE))</f>
        <v>0.59733000000000003</v>
      </c>
      <c r="E1002" s="4">
        <f>IF(INT((C1002-1)/12)+1&gt;'Lapse Table'!$A$11,E1001,VLOOKUP(INT((C1002-1)/12)+1,'Lapse Table'!$A$2:$B$11,2,FALSE))/12</f>
        <v>0</v>
      </c>
      <c r="F1002" s="5">
        <f t="shared" si="143"/>
        <v>-23.166934865620902</v>
      </c>
      <c r="G1002" s="6">
        <f t="shared" si="137"/>
        <v>4.9777500000000002E-2</v>
      </c>
      <c r="H1002" s="6">
        <f t="shared" si="138"/>
        <v>0</v>
      </c>
      <c r="I1002" s="7">
        <f t="shared" si="139"/>
        <v>-772.23116218736334</v>
      </c>
      <c r="J1002" s="8">
        <f t="shared" si="140"/>
        <v>49777.5</v>
      </c>
      <c r="K1002" s="7">
        <f t="shared" si="141"/>
        <v>-50549.731162187367</v>
      </c>
      <c r="L1002" s="4">
        <f>IF(A1002&gt;'Yield Curve'!A1616,L1001,(1+VLOOKUP(A1002,'Yield Curve'!A995:B1617,2,FALSE))^(1/12)-1)</f>
        <v>7.9741404289037643E-3</v>
      </c>
      <c r="M1002" s="5">
        <f t="shared" si="142"/>
        <v>-18.837564960002851</v>
      </c>
    </row>
    <row r="1003" spans="1:13" x14ac:dyDescent="0.25">
      <c r="A1003" s="4">
        <v>995</v>
      </c>
      <c r="B1003" s="4">
        <f t="shared" si="135"/>
        <v>127</v>
      </c>
      <c r="C1003" s="4">
        <f t="shared" si="136"/>
        <v>1010</v>
      </c>
      <c r="D1003" s="4">
        <f>IF(B1003&gt;'Mortality Table'!$A$118,D1002,VLOOKUP(B1003,'Mortality Table'!$A$2:$B$118,2,FALSE))</f>
        <v>0.59733000000000003</v>
      </c>
      <c r="E1003" s="4">
        <f>IF(INT((C1003-1)/12)+1&gt;'Lapse Table'!$A$11,E1002,VLOOKUP(INT((C1003-1)/12)+1,'Lapse Table'!$A$2:$B$11,2,FALSE))/12</f>
        <v>0</v>
      </c>
      <c r="F1003" s="5">
        <f t="shared" si="143"/>
        <v>-23.216712365620904</v>
      </c>
      <c r="G1003" s="6">
        <f t="shared" si="137"/>
        <v>4.9777500000000002E-2</v>
      </c>
      <c r="H1003" s="6">
        <f t="shared" si="138"/>
        <v>0</v>
      </c>
      <c r="I1003" s="7">
        <f t="shared" si="139"/>
        <v>-773.89041218736338</v>
      </c>
      <c r="J1003" s="8">
        <f t="shared" si="140"/>
        <v>49777.5</v>
      </c>
      <c r="K1003" s="7">
        <f t="shared" si="141"/>
        <v>-50551.390412187364</v>
      </c>
      <c r="L1003" s="4">
        <f>IF(A1003&gt;'Yield Curve'!A1617,L1002,(1+VLOOKUP(A1003,'Yield Curve'!A996:B1618,2,FALSE))^(1/12)-1)</f>
        <v>7.9741404289037643E-3</v>
      </c>
      <c r="M1003" s="5">
        <f t="shared" si="142"/>
        <v>-18.689153352996918</v>
      </c>
    </row>
    <row r="1004" spans="1:13" x14ac:dyDescent="0.25">
      <c r="A1004" s="4">
        <v>996</v>
      </c>
      <c r="B1004" s="4">
        <f t="shared" si="135"/>
        <v>128</v>
      </c>
      <c r="C1004" s="4">
        <f t="shared" si="136"/>
        <v>1011</v>
      </c>
      <c r="D1004" s="4">
        <f>IF(B1004&gt;'Mortality Table'!$A$118,D1003,VLOOKUP(B1004,'Mortality Table'!$A$2:$B$118,2,FALSE))</f>
        <v>0.59733000000000003</v>
      </c>
      <c r="E1004" s="4">
        <f>IF(INT((C1004-1)/12)+1&gt;'Lapse Table'!$A$11,E1003,VLOOKUP(INT((C1004-1)/12)+1,'Lapse Table'!$A$2:$B$11,2,FALSE))/12</f>
        <v>0</v>
      </c>
      <c r="F1004" s="5">
        <f t="shared" si="143"/>
        <v>-23.266489865620905</v>
      </c>
      <c r="G1004" s="6">
        <f t="shared" si="137"/>
        <v>4.9777500000000002E-2</v>
      </c>
      <c r="H1004" s="6">
        <f t="shared" si="138"/>
        <v>0</v>
      </c>
      <c r="I1004" s="7">
        <f t="shared" si="139"/>
        <v>-775.54966218736354</v>
      </c>
      <c r="J1004" s="8">
        <f t="shared" si="140"/>
        <v>49777.5</v>
      </c>
      <c r="K1004" s="7">
        <f t="shared" si="141"/>
        <v>-50553.049662187361</v>
      </c>
      <c r="L1004" s="4">
        <f>IF(A1004&gt;'Yield Curve'!A1618,L1003,(1+VLOOKUP(A1004,'Yield Curve'!A997:B1619,2,FALSE))^(1/12)-1)</f>
        <v>7.9741404289037643E-3</v>
      </c>
      <c r="M1004" s="5">
        <f t="shared" si="142"/>
        <v>-18.541910985690411</v>
      </c>
    </row>
    <row r="1005" spans="1:13" x14ac:dyDescent="0.25">
      <c r="A1005" s="4">
        <v>997</v>
      </c>
      <c r="B1005" s="4">
        <f t="shared" si="135"/>
        <v>128</v>
      </c>
      <c r="C1005" s="4">
        <f t="shared" si="136"/>
        <v>1012</v>
      </c>
      <c r="D1005" s="4">
        <f>IF(B1005&gt;'Mortality Table'!$A$118,D1004,VLOOKUP(B1005,'Mortality Table'!$A$2:$B$118,2,FALSE))</f>
        <v>0.59733000000000003</v>
      </c>
      <c r="E1005" s="4">
        <f>IF(INT((C1005-1)/12)+1&gt;'Lapse Table'!$A$11,E1004,VLOOKUP(INT((C1005-1)/12)+1,'Lapse Table'!$A$2:$B$11,2,FALSE))/12</f>
        <v>0</v>
      </c>
      <c r="F1005" s="5">
        <f t="shared" si="143"/>
        <v>-23.316267365620906</v>
      </c>
      <c r="G1005" s="6">
        <f t="shared" si="137"/>
        <v>4.9777500000000002E-2</v>
      </c>
      <c r="H1005" s="6">
        <f t="shared" si="138"/>
        <v>0</v>
      </c>
      <c r="I1005" s="7">
        <f t="shared" si="139"/>
        <v>-777.20891218736358</v>
      </c>
      <c r="J1005" s="8">
        <f t="shared" si="140"/>
        <v>49777.5</v>
      </c>
      <c r="K1005" s="7">
        <f t="shared" si="141"/>
        <v>-50554.708912187365</v>
      </c>
      <c r="L1005" s="4">
        <f>IF(A1005&gt;'Yield Curve'!A1619,L1004,(1+VLOOKUP(A1005,'Yield Curve'!A998:B1620,2,FALSE))^(1/12)-1)</f>
        <v>7.9741404289037643E-3</v>
      </c>
      <c r="M1005" s="5">
        <f t="shared" si="142"/>
        <v>-18.395828646553664</v>
      </c>
    </row>
    <row r="1006" spans="1:13" x14ac:dyDescent="0.25">
      <c r="A1006" s="4">
        <v>998</v>
      </c>
      <c r="B1006" s="4">
        <f t="shared" si="135"/>
        <v>128</v>
      </c>
      <c r="C1006" s="4">
        <f t="shared" si="136"/>
        <v>1013</v>
      </c>
      <c r="D1006" s="4">
        <f>IF(B1006&gt;'Mortality Table'!$A$118,D1005,VLOOKUP(B1006,'Mortality Table'!$A$2:$B$118,2,FALSE))</f>
        <v>0.59733000000000003</v>
      </c>
      <c r="E1006" s="4">
        <f>IF(INT((C1006-1)/12)+1&gt;'Lapse Table'!$A$11,E1005,VLOOKUP(INT((C1006-1)/12)+1,'Lapse Table'!$A$2:$B$11,2,FALSE))/12</f>
        <v>0</v>
      </c>
      <c r="F1006" s="5">
        <f t="shared" si="143"/>
        <v>-23.366044865620907</v>
      </c>
      <c r="G1006" s="6">
        <f t="shared" si="137"/>
        <v>4.9777500000000002E-2</v>
      </c>
      <c r="H1006" s="6">
        <f t="shared" si="138"/>
        <v>0</v>
      </c>
      <c r="I1006" s="7">
        <f t="shared" si="139"/>
        <v>-778.86816218736351</v>
      </c>
      <c r="J1006" s="8">
        <f t="shared" si="140"/>
        <v>49777.5</v>
      </c>
      <c r="K1006" s="7">
        <f t="shared" si="141"/>
        <v>-50556.368162187362</v>
      </c>
      <c r="L1006" s="4">
        <f>IF(A1006&gt;'Yield Curve'!A1620,L1005,(1+VLOOKUP(A1006,'Yield Curve'!A999:B1621,2,FALSE))^(1/12)-1)</f>
        <v>7.9741404289037643E-3</v>
      </c>
      <c r="M1006" s="5">
        <f t="shared" si="142"/>
        <v>-18.25089719662618</v>
      </c>
    </row>
    <row r="1007" spans="1:13" x14ac:dyDescent="0.25">
      <c r="A1007" s="4">
        <v>999</v>
      </c>
      <c r="B1007" s="4">
        <f t="shared" si="135"/>
        <v>128</v>
      </c>
      <c r="C1007" s="4">
        <f t="shared" si="136"/>
        <v>1014</v>
      </c>
      <c r="D1007" s="4">
        <f>IF(B1007&gt;'Mortality Table'!$A$118,D1006,VLOOKUP(B1007,'Mortality Table'!$A$2:$B$118,2,FALSE))</f>
        <v>0.59733000000000003</v>
      </c>
      <c r="E1007" s="4">
        <f>IF(INT((C1007-1)/12)+1&gt;'Lapse Table'!$A$11,E1006,VLOOKUP(INT((C1007-1)/12)+1,'Lapse Table'!$A$2:$B$11,2,FALSE))/12</f>
        <v>0</v>
      </c>
      <c r="F1007" s="5">
        <f t="shared" si="143"/>
        <v>-23.415822365620908</v>
      </c>
      <c r="G1007" s="6">
        <f t="shared" si="137"/>
        <v>4.9777500000000002E-2</v>
      </c>
      <c r="H1007" s="6">
        <f t="shared" si="138"/>
        <v>0</v>
      </c>
      <c r="I1007" s="7">
        <f t="shared" si="139"/>
        <v>-780.52741218736355</v>
      </c>
      <c r="J1007" s="8">
        <f t="shared" si="140"/>
        <v>49777.5</v>
      </c>
      <c r="K1007" s="7">
        <f t="shared" si="141"/>
        <v>-50558.027412187366</v>
      </c>
      <c r="L1007" s="4">
        <f>IF(A1007&gt;'Yield Curve'!A1621,L1006,(1+VLOOKUP(A1007,'Yield Curve'!A1000:B1622,2,FALSE))^(1/12)-1)</f>
        <v>7.9741404289037643E-3</v>
      </c>
      <c r="M1007" s="5">
        <f t="shared" si="142"/>
        <v>-18.107107568945022</v>
      </c>
    </row>
    <row r="1008" spans="1:13" x14ac:dyDescent="0.25">
      <c r="A1008" s="4">
        <v>1000</v>
      </c>
      <c r="B1008" s="4">
        <f t="shared" si="135"/>
        <v>128</v>
      </c>
      <c r="C1008" s="4">
        <f t="shared" si="136"/>
        <v>1015</v>
      </c>
      <c r="D1008" s="4">
        <f>IF(B1008&gt;'Mortality Table'!$A$118,D1007,VLOOKUP(B1008,'Mortality Table'!$A$2:$B$118,2,FALSE))</f>
        <v>0.59733000000000003</v>
      </c>
      <c r="E1008" s="4">
        <f>IF(INT((C1008-1)/12)+1&gt;'Lapse Table'!$A$11,E1007,VLOOKUP(INT((C1008-1)/12)+1,'Lapse Table'!$A$2:$B$11,2,FALSE))/12</f>
        <v>0</v>
      </c>
      <c r="F1008" s="5">
        <f t="shared" si="143"/>
        <v>-23.465599865620909</v>
      </c>
      <c r="G1008" s="6">
        <f t="shared" si="137"/>
        <v>4.9777500000000002E-2</v>
      </c>
      <c r="H1008" s="6">
        <f t="shared" si="138"/>
        <v>0</v>
      </c>
      <c r="I1008" s="7">
        <f t="shared" si="139"/>
        <v>-782.18666218736371</v>
      </c>
      <c r="J1008" s="8">
        <f t="shared" si="140"/>
        <v>49777.5</v>
      </c>
      <c r="K1008" s="7">
        <f t="shared" si="141"/>
        <v>-50559.686662187363</v>
      </c>
      <c r="L1008" s="4">
        <f>IF(A1008&gt;'Yield Curve'!A1622,L1007,(1+VLOOKUP(A1008,'Yield Curve'!A1001:B1623,2,FALSE))^(1/12)-1)</f>
        <v>7.9741404289037643E-3</v>
      </c>
      <c r="M1008" s="5">
        <f t="shared" si="142"/>
        <v>-17.964450767977539</v>
      </c>
    </row>
    <row r="1009" spans="1:13" x14ac:dyDescent="0.25">
      <c r="A1009" s="4">
        <v>1001</v>
      </c>
      <c r="B1009" s="4">
        <f t="shared" si="135"/>
        <v>128</v>
      </c>
      <c r="C1009" s="4">
        <f t="shared" si="136"/>
        <v>1016</v>
      </c>
      <c r="D1009" s="4">
        <f>IF(B1009&gt;'Mortality Table'!$A$118,D1008,VLOOKUP(B1009,'Mortality Table'!$A$2:$B$118,2,FALSE))</f>
        <v>0.59733000000000003</v>
      </c>
      <c r="E1009" s="4">
        <f>IF(INT((C1009-1)/12)+1&gt;'Lapse Table'!$A$11,E1008,VLOOKUP(INT((C1009-1)/12)+1,'Lapse Table'!$A$2:$B$11,2,FALSE))/12</f>
        <v>0</v>
      </c>
      <c r="F1009" s="5">
        <f t="shared" si="143"/>
        <v>-23.51537736562091</v>
      </c>
      <c r="G1009" s="6">
        <f t="shared" si="137"/>
        <v>4.9777500000000002E-2</v>
      </c>
      <c r="H1009" s="6">
        <f t="shared" si="138"/>
        <v>0</v>
      </c>
      <c r="I1009" s="7">
        <f t="shared" si="139"/>
        <v>-783.84591218736375</v>
      </c>
      <c r="J1009" s="8">
        <f t="shared" si="140"/>
        <v>49777.5</v>
      </c>
      <c r="K1009" s="7">
        <f t="shared" si="141"/>
        <v>-50561.34591218736</v>
      </c>
      <c r="L1009" s="4">
        <f>IF(A1009&gt;'Yield Curve'!A1623,L1008,(1+VLOOKUP(A1009,'Yield Curve'!A1002:B1624,2,FALSE))^(1/12)-1)</f>
        <v>7.9741404289037643E-3</v>
      </c>
      <c r="M1009" s="5">
        <f t="shared" si="142"/>
        <v>-17.82291786905871</v>
      </c>
    </row>
    <row r="1010" spans="1:13" x14ac:dyDescent="0.25">
      <c r="A1010" s="4">
        <v>1002</v>
      </c>
      <c r="B1010" s="4">
        <f t="shared" si="135"/>
        <v>128</v>
      </c>
      <c r="C1010" s="4">
        <f t="shared" si="136"/>
        <v>1017</v>
      </c>
      <c r="D1010" s="4">
        <f>IF(B1010&gt;'Mortality Table'!$A$118,D1009,VLOOKUP(B1010,'Mortality Table'!$A$2:$B$118,2,FALSE))</f>
        <v>0.59733000000000003</v>
      </c>
      <c r="E1010" s="4">
        <f>IF(INT((C1010-1)/12)+1&gt;'Lapse Table'!$A$11,E1009,VLOOKUP(INT((C1010-1)/12)+1,'Lapse Table'!$A$2:$B$11,2,FALSE))/12</f>
        <v>0</v>
      </c>
      <c r="F1010" s="5">
        <f t="shared" si="143"/>
        <v>-23.565154865620912</v>
      </c>
      <c r="G1010" s="6">
        <f t="shared" si="137"/>
        <v>4.9777500000000002E-2</v>
      </c>
      <c r="H1010" s="6">
        <f t="shared" si="138"/>
        <v>0</v>
      </c>
      <c r="I1010" s="7">
        <f t="shared" si="139"/>
        <v>-785.50516218736368</v>
      </c>
      <c r="J1010" s="8">
        <f t="shared" si="140"/>
        <v>49777.5</v>
      </c>
      <c r="K1010" s="7">
        <f t="shared" si="141"/>
        <v>-50563.005162187364</v>
      </c>
      <c r="L1010" s="4">
        <f>IF(A1010&gt;'Yield Curve'!A1624,L1009,(1+VLOOKUP(A1010,'Yield Curve'!A1003:B1625,2,FALSE))^(1/12)-1)</f>
        <v>7.9741404289037643E-3</v>
      </c>
      <c r="M1010" s="5">
        <f t="shared" si="142"/>
        <v>-17.682500017832805</v>
      </c>
    </row>
    <row r="1011" spans="1:13" x14ac:dyDescent="0.25">
      <c r="A1011" s="4">
        <v>1003</v>
      </c>
      <c r="B1011" s="4">
        <f t="shared" si="135"/>
        <v>128</v>
      </c>
      <c r="C1011" s="4">
        <f t="shared" si="136"/>
        <v>1018</v>
      </c>
      <c r="D1011" s="4">
        <f>IF(B1011&gt;'Mortality Table'!$A$118,D1010,VLOOKUP(B1011,'Mortality Table'!$A$2:$B$118,2,FALSE))</f>
        <v>0.59733000000000003</v>
      </c>
      <c r="E1011" s="4">
        <f>IF(INT((C1011-1)/12)+1&gt;'Lapse Table'!$A$11,E1010,VLOOKUP(INT((C1011-1)/12)+1,'Lapse Table'!$A$2:$B$11,2,FALSE))/12</f>
        <v>0</v>
      </c>
      <c r="F1011" s="5">
        <f t="shared" si="143"/>
        <v>-23.614932365620913</v>
      </c>
      <c r="G1011" s="6">
        <f t="shared" si="137"/>
        <v>4.9777500000000002E-2</v>
      </c>
      <c r="H1011" s="6">
        <f t="shared" si="138"/>
        <v>0</v>
      </c>
      <c r="I1011" s="7">
        <f t="shared" si="139"/>
        <v>-787.16441218736372</v>
      </c>
      <c r="J1011" s="8">
        <f t="shared" si="140"/>
        <v>49777.5</v>
      </c>
      <c r="K1011" s="7">
        <f t="shared" si="141"/>
        <v>-50564.664412187361</v>
      </c>
      <c r="L1011" s="4">
        <f>IF(A1011&gt;'Yield Curve'!A1625,L1010,(1+VLOOKUP(A1011,'Yield Curve'!A1004:B1626,2,FALSE))^(1/12)-1)</f>
        <v>7.9741404289037643E-3</v>
      </c>
      <c r="M1011" s="5">
        <f t="shared" si="142"/>
        <v>-17.543188429699516</v>
      </c>
    </row>
    <row r="1012" spans="1:13" x14ac:dyDescent="0.25">
      <c r="A1012" s="4">
        <v>1004</v>
      </c>
      <c r="B1012" s="4">
        <f t="shared" si="135"/>
        <v>128</v>
      </c>
      <c r="C1012" s="4">
        <f t="shared" si="136"/>
        <v>1019</v>
      </c>
      <c r="D1012" s="4">
        <f>IF(B1012&gt;'Mortality Table'!$A$118,D1011,VLOOKUP(B1012,'Mortality Table'!$A$2:$B$118,2,FALSE))</f>
        <v>0.59733000000000003</v>
      </c>
      <c r="E1012" s="4">
        <f>IF(INT((C1012-1)/12)+1&gt;'Lapse Table'!$A$11,E1011,VLOOKUP(INT((C1012-1)/12)+1,'Lapse Table'!$A$2:$B$11,2,FALSE))/12</f>
        <v>0</v>
      </c>
      <c r="F1012" s="5">
        <f t="shared" si="143"/>
        <v>-23.664709865620914</v>
      </c>
      <c r="G1012" s="6">
        <f t="shared" si="137"/>
        <v>4.9777500000000002E-2</v>
      </c>
      <c r="H1012" s="6">
        <f t="shared" si="138"/>
        <v>0</v>
      </c>
      <c r="I1012" s="7">
        <f t="shared" si="139"/>
        <v>-788.82366218736377</v>
      </c>
      <c r="J1012" s="8">
        <f t="shared" si="140"/>
        <v>49777.5</v>
      </c>
      <c r="K1012" s="7">
        <f t="shared" si="141"/>
        <v>-50566.323662187366</v>
      </c>
      <c r="L1012" s="4">
        <f>IF(A1012&gt;'Yield Curve'!A1626,L1011,(1+VLOOKUP(A1012,'Yield Curve'!A1005:B1627,2,FALSE))^(1/12)-1)</f>
        <v>7.9741404289037643E-3</v>
      </c>
      <c r="M1012" s="5">
        <f t="shared" si="142"/>
        <v>-17.404974389264417</v>
      </c>
    </row>
    <row r="1013" spans="1:13" x14ac:dyDescent="0.25">
      <c r="A1013" s="4">
        <v>1005</v>
      </c>
      <c r="B1013" s="4">
        <f t="shared" si="135"/>
        <v>128</v>
      </c>
      <c r="C1013" s="4">
        <f t="shared" si="136"/>
        <v>1020</v>
      </c>
      <c r="D1013" s="4">
        <f>IF(B1013&gt;'Mortality Table'!$A$118,D1012,VLOOKUP(B1013,'Mortality Table'!$A$2:$B$118,2,FALSE))</f>
        <v>0.59733000000000003</v>
      </c>
      <c r="E1013" s="4">
        <f>IF(INT((C1013-1)/12)+1&gt;'Lapse Table'!$A$11,E1012,VLOOKUP(INT((C1013-1)/12)+1,'Lapse Table'!$A$2:$B$11,2,FALSE))/12</f>
        <v>0</v>
      </c>
      <c r="F1013" s="5">
        <f t="shared" si="143"/>
        <v>-23.714487365620915</v>
      </c>
      <c r="G1013" s="6">
        <f t="shared" si="137"/>
        <v>4.9777500000000002E-2</v>
      </c>
      <c r="H1013" s="6">
        <f t="shared" si="138"/>
        <v>0</v>
      </c>
      <c r="I1013" s="7">
        <f t="shared" si="139"/>
        <v>-790.48291218736392</v>
      </c>
      <c r="J1013" s="8">
        <f t="shared" si="140"/>
        <v>49777.5</v>
      </c>
      <c r="K1013" s="7">
        <f t="shared" si="141"/>
        <v>-50567.982912187363</v>
      </c>
      <c r="L1013" s="4">
        <f>IF(A1013&gt;'Yield Curve'!A1627,L1012,(1+VLOOKUP(A1013,'Yield Curve'!A1006:B1628,2,FALSE))^(1/12)-1)</f>
        <v>7.9741404289037643E-3</v>
      </c>
      <c r="M1013" s="5">
        <f t="shared" si="142"/>
        <v>-17.267849249793773</v>
      </c>
    </row>
    <row r="1014" spans="1:13" x14ac:dyDescent="0.25">
      <c r="A1014" s="4">
        <v>1006</v>
      </c>
      <c r="B1014" s="4">
        <f t="shared" si="135"/>
        <v>128</v>
      </c>
      <c r="C1014" s="4">
        <f t="shared" si="136"/>
        <v>1021</v>
      </c>
      <c r="D1014" s="4">
        <f>IF(B1014&gt;'Mortality Table'!$A$118,D1013,VLOOKUP(B1014,'Mortality Table'!$A$2:$B$118,2,FALSE))</f>
        <v>0.59733000000000003</v>
      </c>
      <c r="E1014" s="4">
        <f>IF(INT((C1014-1)/12)+1&gt;'Lapse Table'!$A$11,E1013,VLOOKUP(INT((C1014-1)/12)+1,'Lapse Table'!$A$2:$B$11,2,FALSE))/12</f>
        <v>0</v>
      </c>
      <c r="F1014" s="5">
        <f t="shared" si="143"/>
        <v>-23.764264865620916</v>
      </c>
      <c r="G1014" s="6">
        <f t="shared" si="137"/>
        <v>4.9777500000000002E-2</v>
      </c>
      <c r="H1014" s="6">
        <f t="shared" si="138"/>
        <v>0</v>
      </c>
      <c r="I1014" s="7">
        <f t="shared" si="139"/>
        <v>-792.14216218736385</v>
      </c>
      <c r="J1014" s="8">
        <f t="shared" si="140"/>
        <v>49777.5</v>
      </c>
      <c r="K1014" s="7">
        <f t="shared" si="141"/>
        <v>-50569.642162187367</v>
      </c>
      <c r="L1014" s="4">
        <f>IF(A1014&gt;'Yield Curve'!A1628,L1013,(1+VLOOKUP(A1014,'Yield Curve'!A1007:B1629,2,FALSE))^(1/12)-1)</f>
        <v>7.9741404289037643E-3</v>
      </c>
      <c r="M1014" s="5">
        <f t="shared" si="142"/>
        <v>-17.131804432673622</v>
      </c>
    </row>
    <row r="1015" spans="1:13" x14ac:dyDescent="0.25">
      <c r="A1015" s="4">
        <v>1007</v>
      </c>
      <c r="B1015" s="4">
        <f t="shared" si="135"/>
        <v>128</v>
      </c>
      <c r="C1015" s="4">
        <f t="shared" si="136"/>
        <v>1022</v>
      </c>
      <c r="D1015" s="4">
        <f>IF(B1015&gt;'Mortality Table'!$A$118,D1014,VLOOKUP(B1015,'Mortality Table'!$A$2:$B$118,2,FALSE))</f>
        <v>0.59733000000000003</v>
      </c>
      <c r="E1015" s="4">
        <f>IF(INT((C1015-1)/12)+1&gt;'Lapse Table'!$A$11,E1014,VLOOKUP(INT((C1015-1)/12)+1,'Lapse Table'!$A$2:$B$11,2,FALSE))/12</f>
        <v>0</v>
      </c>
      <c r="F1015" s="5">
        <f t="shared" si="143"/>
        <v>-23.814042365620917</v>
      </c>
      <c r="G1015" s="6">
        <f t="shared" si="137"/>
        <v>4.9777500000000002E-2</v>
      </c>
      <c r="H1015" s="6">
        <f t="shared" si="138"/>
        <v>0</v>
      </c>
      <c r="I1015" s="7">
        <f t="shared" si="139"/>
        <v>-793.80141218736389</v>
      </c>
      <c r="J1015" s="8">
        <f t="shared" si="140"/>
        <v>49777.5</v>
      </c>
      <c r="K1015" s="7">
        <f t="shared" si="141"/>
        <v>-50571.301412187364</v>
      </c>
      <c r="L1015" s="4">
        <f>IF(A1015&gt;'Yield Curve'!A1629,L1014,(1+VLOOKUP(A1015,'Yield Curve'!A1008:B1630,2,FALSE))^(1/12)-1)</f>
        <v>7.9741404289037643E-3</v>
      </c>
      <c r="M1015" s="5">
        <f t="shared" si="142"/>
        <v>-16.996831426873126</v>
      </c>
    </row>
    <row r="1016" spans="1:13" x14ac:dyDescent="0.25">
      <c r="A1016" s="4">
        <v>1008</v>
      </c>
      <c r="B1016" s="4">
        <f t="shared" si="135"/>
        <v>129</v>
      </c>
      <c r="C1016" s="4">
        <f t="shared" si="136"/>
        <v>1023</v>
      </c>
      <c r="D1016" s="4">
        <f>IF(B1016&gt;'Mortality Table'!$A$118,D1015,VLOOKUP(B1016,'Mortality Table'!$A$2:$B$118,2,FALSE))</f>
        <v>0.59733000000000003</v>
      </c>
      <c r="E1016" s="4">
        <f>IF(INT((C1016-1)/12)+1&gt;'Lapse Table'!$A$11,E1015,VLOOKUP(INT((C1016-1)/12)+1,'Lapse Table'!$A$2:$B$11,2,FALSE))/12</f>
        <v>0</v>
      </c>
      <c r="F1016" s="5">
        <f t="shared" si="143"/>
        <v>-23.863819865620918</v>
      </c>
      <c r="G1016" s="6">
        <f t="shared" si="137"/>
        <v>4.9777500000000002E-2</v>
      </c>
      <c r="H1016" s="6">
        <f t="shared" si="138"/>
        <v>0</v>
      </c>
      <c r="I1016" s="7">
        <f t="shared" si="139"/>
        <v>-795.46066218736394</v>
      </c>
      <c r="J1016" s="8">
        <f t="shared" si="140"/>
        <v>49777.5</v>
      </c>
      <c r="K1016" s="7">
        <f t="shared" si="141"/>
        <v>-50572.960662187361</v>
      </c>
      <c r="L1016" s="4">
        <f>IF(A1016&gt;'Yield Curve'!A1630,L1015,(1+VLOOKUP(A1016,'Yield Curve'!A1009:B1631,2,FALSE))^(1/12)-1)</f>
        <v>7.9741404289037643E-3</v>
      </c>
      <c r="M1016" s="5">
        <f t="shared" si="142"/>
        <v>-16.86292178841218</v>
      </c>
    </row>
    <row r="1017" spans="1:13" x14ac:dyDescent="0.25">
      <c r="A1017" s="4">
        <v>1009</v>
      </c>
      <c r="B1017" s="4">
        <f t="shared" si="135"/>
        <v>129</v>
      </c>
      <c r="C1017" s="4">
        <f t="shared" si="136"/>
        <v>1024</v>
      </c>
      <c r="D1017" s="4">
        <f>IF(B1017&gt;'Mortality Table'!$A$118,D1016,VLOOKUP(B1017,'Mortality Table'!$A$2:$B$118,2,FALSE))</f>
        <v>0.59733000000000003</v>
      </c>
      <c r="E1017" s="4">
        <f>IF(INT((C1017-1)/12)+1&gt;'Lapse Table'!$A$11,E1016,VLOOKUP(INT((C1017-1)/12)+1,'Lapse Table'!$A$2:$B$11,2,FALSE))/12</f>
        <v>0</v>
      </c>
      <c r="F1017" s="5">
        <f t="shared" si="143"/>
        <v>-23.91359736562092</v>
      </c>
      <c r="G1017" s="6">
        <f t="shared" si="137"/>
        <v>4.9777500000000002E-2</v>
      </c>
      <c r="H1017" s="6">
        <f t="shared" si="138"/>
        <v>0</v>
      </c>
      <c r="I1017" s="7">
        <f t="shared" si="139"/>
        <v>-797.11991218736409</v>
      </c>
      <c r="J1017" s="8">
        <f t="shared" si="140"/>
        <v>49777.5</v>
      </c>
      <c r="K1017" s="7">
        <f t="shared" si="141"/>
        <v>-50574.619912187365</v>
      </c>
      <c r="L1017" s="4">
        <f>IF(A1017&gt;'Yield Curve'!A1631,L1016,(1+VLOOKUP(A1017,'Yield Curve'!A1010:B1632,2,FALSE))^(1/12)-1)</f>
        <v>7.9741404289037643E-3</v>
      </c>
      <c r="M1017" s="5">
        <f t="shared" si="142"/>
        <v>-16.730067139833178</v>
      </c>
    </row>
    <row r="1018" spans="1:13" x14ac:dyDescent="0.25">
      <c r="A1018" s="4">
        <v>1010</v>
      </c>
      <c r="B1018" s="4">
        <f t="shared" si="135"/>
        <v>129</v>
      </c>
      <c r="C1018" s="4">
        <f t="shared" si="136"/>
        <v>1025</v>
      </c>
      <c r="D1018" s="4">
        <f>IF(B1018&gt;'Mortality Table'!$A$118,D1017,VLOOKUP(B1018,'Mortality Table'!$A$2:$B$118,2,FALSE))</f>
        <v>0.59733000000000003</v>
      </c>
      <c r="E1018" s="4">
        <f>IF(INT((C1018-1)/12)+1&gt;'Lapse Table'!$A$11,E1017,VLOOKUP(INT((C1018-1)/12)+1,'Lapse Table'!$A$2:$B$11,2,FALSE))/12</f>
        <v>0</v>
      </c>
      <c r="F1018" s="5">
        <f t="shared" si="143"/>
        <v>-23.963374865620921</v>
      </c>
      <c r="G1018" s="6">
        <f t="shared" si="137"/>
        <v>4.9777500000000002E-2</v>
      </c>
      <c r="H1018" s="6">
        <f t="shared" si="138"/>
        <v>0</v>
      </c>
      <c r="I1018" s="7">
        <f t="shared" si="139"/>
        <v>-798.77916218736402</v>
      </c>
      <c r="J1018" s="8">
        <f t="shared" si="140"/>
        <v>49777.5</v>
      </c>
      <c r="K1018" s="7">
        <f t="shared" si="141"/>
        <v>-50576.279162187362</v>
      </c>
      <c r="L1018" s="4">
        <f>IF(A1018&gt;'Yield Curve'!A1632,L1017,(1+VLOOKUP(A1018,'Yield Curve'!A1011:B1633,2,FALSE))^(1/12)-1)</f>
        <v>7.9741404289037643E-3</v>
      </c>
      <c r="M1018" s="5">
        <f t="shared" si="142"/>
        <v>-16.598259169676925</v>
      </c>
    </row>
    <row r="1019" spans="1:13" x14ac:dyDescent="0.25">
      <c r="A1019" s="4">
        <v>1011</v>
      </c>
      <c r="B1019" s="4">
        <f t="shared" si="135"/>
        <v>129</v>
      </c>
      <c r="C1019" s="4">
        <f t="shared" si="136"/>
        <v>1026</v>
      </c>
      <c r="D1019" s="4">
        <f>IF(B1019&gt;'Mortality Table'!$A$118,D1018,VLOOKUP(B1019,'Mortality Table'!$A$2:$B$118,2,FALSE))</f>
        <v>0.59733000000000003</v>
      </c>
      <c r="E1019" s="4">
        <f>IF(INT((C1019-1)/12)+1&gt;'Lapse Table'!$A$11,E1018,VLOOKUP(INT((C1019-1)/12)+1,'Lapse Table'!$A$2:$B$11,2,FALSE))/12</f>
        <v>0</v>
      </c>
      <c r="F1019" s="5">
        <f t="shared" si="143"/>
        <v>-24.013152365620922</v>
      </c>
      <c r="G1019" s="6">
        <f t="shared" si="137"/>
        <v>4.9777500000000002E-2</v>
      </c>
      <c r="H1019" s="6">
        <f t="shared" si="138"/>
        <v>0</v>
      </c>
      <c r="I1019" s="7">
        <f t="shared" si="139"/>
        <v>-800.43841218736407</v>
      </c>
      <c r="J1019" s="8">
        <f t="shared" si="140"/>
        <v>49777.5</v>
      </c>
      <c r="K1019" s="7">
        <f t="shared" si="141"/>
        <v>-50577.938412187366</v>
      </c>
      <c r="L1019" s="4">
        <f>IF(A1019&gt;'Yield Curve'!A1633,L1018,(1+VLOOKUP(A1019,'Yield Curve'!A1012:B1634,2,FALSE))^(1/12)-1)</f>
        <v>7.9741404289037643E-3</v>
      </c>
      <c r="M1019" s="5">
        <f t="shared" si="142"/>
        <v>-16.467489631962753</v>
      </c>
    </row>
    <row r="1020" spans="1:13" x14ac:dyDescent="0.25">
      <c r="A1020" s="4">
        <v>1012</v>
      </c>
      <c r="B1020" s="4">
        <f t="shared" si="135"/>
        <v>129</v>
      </c>
      <c r="C1020" s="4">
        <f t="shared" si="136"/>
        <v>1027</v>
      </c>
      <c r="D1020" s="4">
        <f>IF(B1020&gt;'Mortality Table'!$A$118,D1019,VLOOKUP(B1020,'Mortality Table'!$A$2:$B$118,2,FALSE))</f>
        <v>0.59733000000000003</v>
      </c>
      <c r="E1020" s="4">
        <f>IF(INT((C1020-1)/12)+1&gt;'Lapse Table'!$A$11,E1019,VLOOKUP(INT((C1020-1)/12)+1,'Lapse Table'!$A$2:$B$11,2,FALSE))/12</f>
        <v>0</v>
      </c>
      <c r="F1020" s="5">
        <f t="shared" si="143"/>
        <v>-24.062929865620923</v>
      </c>
      <c r="G1020" s="6">
        <f t="shared" si="137"/>
        <v>4.9777500000000002E-2</v>
      </c>
      <c r="H1020" s="6">
        <f t="shared" si="138"/>
        <v>0</v>
      </c>
      <c r="I1020" s="7">
        <f t="shared" si="139"/>
        <v>-802.09766218736411</v>
      </c>
      <c r="J1020" s="8">
        <f t="shared" si="140"/>
        <v>49777.5</v>
      </c>
      <c r="K1020" s="7">
        <f t="shared" si="141"/>
        <v>-50579.597662187363</v>
      </c>
      <c r="L1020" s="4">
        <f>IF(A1020&gt;'Yield Curve'!A1634,L1019,(1+VLOOKUP(A1020,'Yield Curve'!A1013:B1635,2,FALSE))^(1/12)-1)</f>
        <v>7.9741404289037643E-3</v>
      </c>
      <c r="M1020" s="5">
        <f t="shared" si="142"/>
        <v>-16.337750345672628</v>
      </c>
    </row>
    <row r="1021" spans="1:13" x14ac:dyDescent="0.25">
      <c r="A1021" s="4">
        <v>1013</v>
      </c>
      <c r="B1021" s="4">
        <f t="shared" si="135"/>
        <v>129</v>
      </c>
      <c r="C1021" s="4">
        <f t="shared" si="136"/>
        <v>1028</v>
      </c>
      <c r="D1021" s="4">
        <f>IF(B1021&gt;'Mortality Table'!$A$118,D1020,VLOOKUP(B1021,'Mortality Table'!$A$2:$B$118,2,FALSE))</f>
        <v>0.59733000000000003</v>
      </c>
      <c r="E1021" s="4">
        <f>IF(INT((C1021-1)/12)+1&gt;'Lapse Table'!$A$11,E1020,VLOOKUP(INT((C1021-1)/12)+1,'Lapse Table'!$A$2:$B$11,2,FALSE))/12</f>
        <v>0</v>
      </c>
      <c r="F1021" s="5">
        <f t="shared" si="143"/>
        <v>-24.112707365620924</v>
      </c>
      <c r="G1021" s="6">
        <f t="shared" si="137"/>
        <v>4.9777500000000002E-2</v>
      </c>
      <c r="H1021" s="6">
        <f t="shared" si="138"/>
        <v>0</v>
      </c>
      <c r="I1021" s="7">
        <f t="shared" si="139"/>
        <v>-803.75691218736404</v>
      </c>
      <c r="J1021" s="8">
        <f t="shared" si="140"/>
        <v>49777.5</v>
      </c>
      <c r="K1021" s="7">
        <f t="shared" si="141"/>
        <v>-50581.256912187368</v>
      </c>
      <c r="L1021" s="4">
        <f>IF(A1021&gt;'Yield Curve'!A1635,L1020,(1+VLOOKUP(A1021,'Yield Curve'!A1014:B1636,2,FALSE))^(1/12)-1)</f>
        <v>7.9741404289037643E-3</v>
      </c>
      <c r="M1021" s="5">
        <f t="shared" si="142"/>
        <v>-16.209033194239417</v>
      </c>
    </row>
    <row r="1022" spans="1:13" x14ac:dyDescent="0.25">
      <c r="A1022" s="4">
        <v>1014</v>
      </c>
      <c r="B1022" s="4">
        <f t="shared" si="135"/>
        <v>129</v>
      </c>
      <c r="C1022" s="4">
        <f t="shared" si="136"/>
        <v>1029</v>
      </c>
      <c r="D1022" s="4">
        <f>IF(B1022&gt;'Mortality Table'!$A$118,D1021,VLOOKUP(B1022,'Mortality Table'!$A$2:$B$118,2,FALSE))</f>
        <v>0.59733000000000003</v>
      </c>
      <c r="E1022" s="4">
        <f>IF(INT((C1022-1)/12)+1&gt;'Lapse Table'!$A$11,E1021,VLOOKUP(INT((C1022-1)/12)+1,'Lapse Table'!$A$2:$B$11,2,FALSE))/12</f>
        <v>0</v>
      </c>
      <c r="F1022" s="5">
        <f t="shared" si="143"/>
        <v>-24.162484865620925</v>
      </c>
      <c r="G1022" s="6">
        <f t="shared" si="137"/>
        <v>4.9777500000000002E-2</v>
      </c>
      <c r="H1022" s="6">
        <f t="shared" si="138"/>
        <v>0</v>
      </c>
      <c r="I1022" s="7">
        <f t="shared" si="139"/>
        <v>-805.41616218736419</v>
      </c>
      <c r="J1022" s="8">
        <f t="shared" si="140"/>
        <v>49777.5</v>
      </c>
      <c r="K1022" s="7">
        <f t="shared" si="141"/>
        <v>-50582.916162187365</v>
      </c>
      <c r="L1022" s="4">
        <f>IF(A1022&gt;'Yield Curve'!A1636,L1021,(1+VLOOKUP(A1022,'Yield Curve'!A1015:B1637,2,FALSE))^(1/12)-1)</f>
        <v>7.9741404289037643E-3</v>
      </c>
      <c r="M1022" s="5">
        <f t="shared" si="142"/>
        <v>-16.081330125039152</v>
      </c>
    </row>
    <row r="1023" spans="1:13" x14ac:dyDescent="0.25">
      <c r="A1023" s="4">
        <v>1015</v>
      </c>
      <c r="B1023" s="4">
        <f t="shared" si="135"/>
        <v>129</v>
      </c>
      <c r="C1023" s="4">
        <f t="shared" si="136"/>
        <v>1030</v>
      </c>
      <c r="D1023" s="4">
        <f>IF(B1023&gt;'Mortality Table'!$A$118,D1022,VLOOKUP(B1023,'Mortality Table'!$A$2:$B$118,2,FALSE))</f>
        <v>0.59733000000000003</v>
      </c>
      <c r="E1023" s="4">
        <f>IF(INT((C1023-1)/12)+1&gt;'Lapse Table'!$A$11,E1022,VLOOKUP(INT((C1023-1)/12)+1,'Lapse Table'!$A$2:$B$11,2,FALSE))/12</f>
        <v>0</v>
      </c>
      <c r="F1023" s="5">
        <f t="shared" si="143"/>
        <v>-24.212262365620926</v>
      </c>
      <c r="G1023" s="6">
        <f t="shared" si="137"/>
        <v>4.9777500000000002E-2</v>
      </c>
      <c r="H1023" s="6">
        <f t="shared" si="138"/>
        <v>0</v>
      </c>
      <c r="I1023" s="7">
        <f t="shared" si="139"/>
        <v>-807.07541218736424</v>
      </c>
      <c r="J1023" s="8">
        <f t="shared" si="140"/>
        <v>49777.5</v>
      </c>
      <c r="K1023" s="7">
        <f t="shared" si="141"/>
        <v>-50584.575412187362</v>
      </c>
      <c r="L1023" s="4">
        <f>IF(A1023&gt;'Yield Curve'!A1637,L1022,(1+VLOOKUP(A1023,'Yield Curve'!A1016:B1638,2,FALSE))^(1/12)-1)</f>
        <v>7.9741404289037643E-3</v>
      </c>
      <c r="M1023" s="5">
        <f t="shared" si="142"/>
        <v>-15.95463314888724</v>
      </c>
    </row>
    <row r="1024" spans="1:13" x14ac:dyDescent="0.25">
      <c r="A1024" s="4">
        <v>1016</v>
      </c>
      <c r="B1024" s="4">
        <f t="shared" si="135"/>
        <v>129</v>
      </c>
      <c r="C1024" s="4">
        <f t="shared" si="136"/>
        <v>1031</v>
      </c>
      <c r="D1024" s="4">
        <f>IF(B1024&gt;'Mortality Table'!$A$118,D1023,VLOOKUP(B1024,'Mortality Table'!$A$2:$B$118,2,FALSE))</f>
        <v>0.59733000000000003</v>
      </c>
      <c r="E1024" s="4">
        <f>IF(INT((C1024-1)/12)+1&gt;'Lapse Table'!$A$11,E1023,VLOOKUP(INT((C1024-1)/12)+1,'Lapse Table'!$A$2:$B$11,2,FALSE))/12</f>
        <v>0</v>
      </c>
      <c r="F1024" s="5">
        <f t="shared" si="143"/>
        <v>-24.262039865620928</v>
      </c>
      <c r="G1024" s="6">
        <f t="shared" si="137"/>
        <v>4.9777500000000002E-2</v>
      </c>
      <c r="H1024" s="6">
        <f t="shared" si="138"/>
        <v>0</v>
      </c>
      <c r="I1024" s="7">
        <f t="shared" si="139"/>
        <v>-808.73466218736428</v>
      </c>
      <c r="J1024" s="8">
        <f t="shared" si="140"/>
        <v>49777.5</v>
      </c>
      <c r="K1024" s="7">
        <f t="shared" si="141"/>
        <v>-50586.234662187366</v>
      </c>
      <c r="L1024" s="4">
        <f>IF(A1024&gt;'Yield Curve'!A1638,L1023,(1+VLOOKUP(A1024,'Yield Curve'!A1017:B1639,2,FALSE))^(1/12)-1)</f>
        <v>7.9741404289037643E-3</v>
      </c>
      <c r="M1024" s="5">
        <f t="shared" si="142"/>
        <v>-15.828934339538739</v>
      </c>
    </row>
    <row r="1025" spans="1:13" x14ac:dyDescent="0.25">
      <c r="A1025" s="4">
        <v>1017</v>
      </c>
      <c r="B1025" s="4">
        <f t="shared" si="135"/>
        <v>129</v>
      </c>
      <c r="C1025" s="4">
        <f t="shared" si="136"/>
        <v>1032</v>
      </c>
      <c r="D1025" s="4">
        <f>IF(B1025&gt;'Mortality Table'!$A$118,D1024,VLOOKUP(B1025,'Mortality Table'!$A$2:$B$118,2,FALSE))</f>
        <v>0.59733000000000003</v>
      </c>
      <c r="E1025" s="4">
        <f>IF(INT((C1025-1)/12)+1&gt;'Lapse Table'!$A$11,E1024,VLOOKUP(INT((C1025-1)/12)+1,'Lapse Table'!$A$2:$B$11,2,FALSE))/12</f>
        <v>0</v>
      </c>
      <c r="F1025" s="5">
        <f t="shared" si="143"/>
        <v>-24.311817365620929</v>
      </c>
      <c r="G1025" s="6">
        <f t="shared" si="137"/>
        <v>4.9777500000000002E-2</v>
      </c>
      <c r="H1025" s="6">
        <f t="shared" si="138"/>
        <v>0</v>
      </c>
      <c r="I1025" s="7">
        <f t="shared" si="139"/>
        <v>-810.39391218736421</v>
      </c>
      <c r="J1025" s="8">
        <f t="shared" si="140"/>
        <v>49777.5</v>
      </c>
      <c r="K1025" s="7">
        <f t="shared" si="141"/>
        <v>-50587.893912187363</v>
      </c>
      <c r="L1025" s="4">
        <f>IF(A1025&gt;'Yield Curve'!A1639,L1024,(1+VLOOKUP(A1025,'Yield Curve'!A1018:B1640,2,FALSE))^(1/12)-1)</f>
        <v>7.9741404289037643E-3</v>
      </c>
      <c r="M1025" s="5">
        <f t="shared" si="142"/>
        <v>-15.704225833192512</v>
      </c>
    </row>
    <row r="1026" spans="1:13" x14ac:dyDescent="0.25">
      <c r="A1026" s="4">
        <v>1018</v>
      </c>
      <c r="B1026" s="4">
        <f t="shared" si="135"/>
        <v>129</v>
      </c>
      <c r="C1026" s="4">
        <f t="shared" si="136"/>
        <v>1033</v>
      </c>
      <c r="D1026" s="4">
        <f>IF(B1026&gt;'Mortality Table'!$A$118,D1025,VLOOKUP(B1026,'Mortality Table'!$A$2:$B$118,2,FALSE))</f>
        <v>0.59733000000000003</v>
      </c>
      <c r="E1026" s="4">
        <f>IF(INT((C1026-1)/12)+1&gt;'Lapse Table'!$A$11,E1025,VLOOKUP(INT((C1026-1)/12)+1,'Lapse Table'!$A$2:$B$11,2,FALSE))/12</f>
        <v>0</v>
      </c>
      <c r="F1026" s="5">
        <f t="shared" si="143"/>
        <v>-24.36159486562093</v>
      </c>
      <c r="G1026" s="6">
        <f t="shared" si="137"/>
        <v>4.9777500000000002E-2</v>
      </c>
      <c r="H1026" s="6">
        <f t="shared" si="138"/>
        <v>0</v>
      </c>
      <c r="I1026" s="7">
        <f t="shared" si="139"/>
        <v>-812.05316218736425</v>
      </c>
      <c r="J1026" s="8">
        <f t="shared" si="140"/>
        <v>49777.5</v>
      </c>
      <c r="K1026" s="7">
        <f t="shared" si="141"/>
        <v>-50589.553162187367</v>
      </c>
      <c r="L1026" s="4">
        <f>IF(A1026&gt;'Yield Curve'!A1640,L1025,(1+VLOOKUP(A1026,'Yield Curve'!A1019:B1641,2,FALSE))^(1/12)-1)</f>
        <v>7.9741404289037643E-3</v>
      </c>
      <c r="M1026" s="5">
        <f t="shared" si="142"/>
        <v>-15.58049982799926</v>
      </c>
    </row>
    <row r="1027" spans="1:13" x14ac:dyDescent="0.25">
      <c r="A1027" s="4">
        <v>1019</v>
      </c>
      <c r="B1027" s="4">
        <f t="shared" si="135"/>
        <v>129</v>
      </c>
      <c r="C1027" s="4">
        <f t="shared" si="136"/>
        <v>1034</v>
      </c>
      <c r="D1027" s="4">
        <f>IF(B1027&gt;'Mortality Table'!$A$118,D1026,VLOOKUP(B1027,'Mortality Table'!$A$2:$B$118,2,FALSE))</f>
        <v>0.59733000000000003</v>
      </c>
      <c r="E1027" s="4">
        <f>IF(INT((C1027-1)/12)+1&gt;'Lapse Table'!$A$11,E1026,VLOOKUP(INT((C1027-1)/12)+1,'Lapse Table'!$A$2:$B$11,2,FALSE))/12</f>
        <v>0</v>
      </c>
      <c r="F1027" s="5">
        <f t="shared" si="143"/>
        <v>-24.411372365620931</v>
      </c>
      <c r="G1027" s="6">
        <f t="shared" si="137"/>
        <v>4.9777500000000002E-2</v>
      </c>
      <c r="H1027" s="6">
        <f t="shared" si="138"/>
        <v>0</v>
      </c>
      <c r="I1027" s="7">
        <f t="shared" si="139"/>
        <v>-813.71241218736441</v>
      </c>
      <c r="J1027" s="8">
        <f t="shared" si="140"/>
        <v>49777.5</v>
      </c>
      <c r="K1027" s="7">
        <f t="shared" si="141"/>
        <v>-50591.212412187364</v>
      </c>
      <c r="L1027" s="4">
        <f>IF(A1027&gt;'Yield Curve'!A1641,L1026,(1+VLOOKUP(A1027,'Yield Curve'!A1020:B1642,2,FALSE))^(1/12)-1)</f>
        <v>7.9741404289037643E-3</v>
      </c>
      <c r="M1027" s="5">
        <f t="shared" si="142"/>
        <v>-15.457748583573517</v>
      </c>
    </row>
    <row r="1028" spans="1:13" x14ac:dyDescent="0.25">
      <c r="A1028" s="4">
        <v>1020</v>
      </c>
      <c r="B1028" s="4">
        <f t="shared" si="135"/>
        <v>130</v>
      </c>
      <c r="C1028" s="4">
        <f t="shared" si="136"/>
        <v>1035</v>
      </c>
      <c r="D1028" s="4">
        <f>IF(B1028&gt;'Mortality Table'!$A$118,D1027,VLOOKUP(B1028,'Mortality Table'!$A$2:$B$118,2,FALSE))</f>
        <v>0.59733000000000003</v>
      </c>
      <c r="E1028" s="4">
        <f>IF(INT((C1028-1)/12)+1&gt;'Lapse Table'!$A$11,E1027,VLOOKUP(INT((C1028-1)/12)+1,'Lapse Table'!$A$2:$B$11,2,FALSE))/12</f>
        <v>0</v>
      </c>
      <c r="F1028" s="5">
        <f t="shared" si="143"/>
        <v>-24.461149865620932</v>
      </c>
      <c r="G1028" s="6">
        <f t="shared" si="137"/>
        <v>4.9777500000000002E-2</v>
      </c>
      <c r="H1028" s="6">
        <f t="shared" si="138"/>
        <v>0</v>
      </c>
      <c r="I1028" s="7">
        <f t="shared" si="139"/>
        <v>-815.37166218736445</v>
      </c>
      <c r="J1028" s="8">
        <f t="shared" si="140"/>
        <v>49777.5</v>
      </c>
      <c r="K1028" s="7">
        <f t="shared" si="141"/>
        <v>-50592.871662187361</v>
      </c>
      <c r="L1028" s="4">
        <f>IF(A1028&gt;'Yield Curve'!A1642,L1027,(1+VLOOKUP(A1028,'Yield Curve'!A1021:B1643,2,FALSE))^(1/12)-1)</f>
        <v>7.9741404289037643E-3</v>
      </c>
      <c r="M1028" s="5">
        <f t="shared" si="142"/>
        <v>-15.335964420509413</v>
      </c>
    </row>
    <row r="1029" spans="1:13" x14ac:dyDescent="0.25">
      <c r="A1029" s="4">
        <v>1021</v>
      </c>
      <c r="B1029" s="4">
        <f t="shared" si="135"/>
        <v>130</v>
      </c>
      <c r="C1029" s="4">
        <f t="shared" si="136"/>
        <v>1036</v>
      </c>
      <c r="D1029" s="4">
        <f>IF(B1029&gt;'Mortality Table'!$A$118,D1028,VLOOKUP(B1029,'Mortality Table'!$A$2:$B$118,2,FALSE))</f>
        <v>0.59733000000000003</v>
      </c>
      <c r="E1029" s="4">
        <f>IF(INT((C1029-1)/12)+1&gt;'Lapse Table'!$A$11,E1028,VLOOKUP(INT((C1029-1)/12)+1,'Lapse Table'!$A$2:$B$11,2,FALSE))/12</f>
        <v>0</v>
      </c>
      <c r="F1029" s="5">
        <f t="shared" si="143"/>
        <v>-24.510927365620933</v>
      </c>
      <c r="G1029" s="6">
        <f t="shared" si="137"/>
        <v>4.9777500000000002E-2</v>
      </c>
      <c r="H1029" s="6">
        <f t="shared" si="138"/>
        <v>0</v>
      </c>
      <c r="I1029" s="7">
        <f t="shared" si="139"/>
        <v>-817.03091218736438</v>
      </c>
      <c r="J1029" s="8">
        <f t="shared" si="140"/>
        <v>49777.5</v>
      </c>
      <c r="K1029" s="7">
        <f t="shared" si="141"/>
        <v>-50594.530912187365</v>
      </c>
      <c r="L1029" s="4">
        <f>IF(A1029&gt;'Yield Curve'!A1643,L1028,(1+VLOOKUP(A1029,'Yield Curve'!A1022:B1644,2,FALSE))^(1/12)-1)</f>
        <v>7.9741404289037643E-3</v>
      </c>
      <c r="M1029" s="5">
        <f t="shared" si="142"/>
        <v>-15.215139719900275</v>
      </c>
    </row>
    <row r="1030" spans="1:13" x14ac:dyDescent="0.25">
      <c r="A1030" s="4">
        <v>1022</v>
      </c>
      <c r="B1030" s="4">
        <f t="shared" si="135"/>
        <v>130</v>
      </c>
      <c r="C1030" s="4">
        <f t="shared" si="136"/>
        <v>1037</v>
      </c>
      <c r="D1030" s="4">
        <f>IF(B1030&gt;'Mortality Table'!$A$118,D1029,VLOOKUP(B1030,'Mortality Table'!$A$2:$B$118,2,FALSE))</f>
        <v>0.59733000000000003</v>
      </c>
      <c r="E1030" s="4">
        <f>IF(INT((C1030-1)/12)+1&gt;'Lapse Table'!$A$11,E1029,VLOOKUP(INT((C1030-1)/12)+1,'Lapse Table'!$A$2:$B$11,2,FALSE))/12</f>
        <v>0</v>
      </c>
      <c r="F1030" s="5">
        <f t="shared" si="143"/>
        <v>-24.560704865620934</v>
      </c>
      <c r="G1030" s="6">
        <f t="shared" si="137"/>
        <v>4.9777500000000002E-2</v>
      </c>
      <c r="H1030" s="6">
        <f t="shared" si="138"/>
        <v>0</v>
      </c>
      <c r="I1030" s="7">
        <f t="shared" si="139"/>
        <v>-818.69016218736442</v>
      </c>
      <c r="J1030" s="8">
        <f t="shared" si="140"/>
        <v>49777.5</v>
      </c>
      <c r="K1030" s="7">
        <f t="shared" si="141"/>
        <v>-50596.190162187362</v>
      </c>
      <c r="L1030" s="4">
        <f>IF(A1030&gt;'Yield Curve'!A1644,L1029,(1+VLOOKUP(A1030,'Yield Curve'!A1023:B1645,2,FALSE))^(1/12)-1)</f>
        <v>7.9741404289037643E-3</v>
      </c>
      <c r="M1030" s="5">
        <f t="shared" si="142"/>
        <v>-15.095266922862042</v>
      </c>
    </row>
    <row r="1031" spans="1:13" x14ac:dyDescent="0.25">
      <c r="A1031" s="4">
        <v>1023</v>
      </c>
      <c r="B1031" s="4">
        <f t="shared" si="135"/>
        <v>130</v>
      </c>
      <c r="C1031" s="4">
        <f t="shared" si="136"/>
        <v>1038</v>
      </c>
      <c r="D1031" s="4">
        <f>IF(B1031&gt;'Mortality Table'!$A$118,D1030,VLOOKUP(B1031,'Mortality Table'!$A$2:$B$118,2,FALSE))</f>
        <v>0.59733000000000003</v>
      </c>
      <c r="E1031" s="4">
        <f>IF(INT((C1031-1)/12)+1&gt;'Lapse Table'!$A$11,E1030,VLOOKUP(INT((C1031-1)/12)+1,'Lapse Table'!$A$2:$B$11,2,FALSE))/12</f>
        <v>0</v>
      </c>
      <c r="F1031" s="5">
        <f t="shared" si="143"/>
        <v>-24.610482365620935</v>
      </c>
      <c r="G1031" s="6">
        <f t="shared" si="137"/>
        <v>4.9777500000000002E-2</v>
      </c>
      <c r="H1031" s="6">
        <f t="shared" si="138"/>
        <v>0</v>
      </c>
      <c r="I1031" s="7">
        <f t="shared" si="139"/>
        <v>-820.34941218736458</v>
      </c>
      <c r="J1031" s="8">
        <f t="shared" si="140"/>
        <v>49777.5</v>
      </c>
      <c r="K1031" s="7">
        <f t="shared" si="141"/>
        <v>-50597.849412187366</v>
      </c>
      <c r="L1031" s="4">
        <f>IF(A1031&gt;'Yield Curve'!A1645,L1030,(1+VLOOKUP(A1031,'Yield Curve'!A1024:B1646,2,FALSE))^(1/12)-1)</f>
        <v>7.9741404289037643E-3</v>
      </c>
      <c r="M1031" s="5">
        <f t="shared" si="142"/>
        <v>-14.976338530060367</v>
      </c>
    </row>
    <row r="1032" spans="1:13" x14ac:dyDescent="0.25">
      <c r="A1032" s="4">
        <v>1024</v>
      </c>
      <c r="B1032" s="4">
        <f t="shared" si="135"/>
        <v>130</v>
      </c>
      <c r="C1032" s="4">
        <f t="shared" si="136"/>
        <v>1039</v>
      </c>
      <c r="D1032" s="4">
        <f>IF(B1032&gt;'Mortality Table'!$A$118,D1031,VLOOKUP(B1032,'Mortality Table'!$A$2:$B$118,2,FALSE))</f>
        <v>0.59733000000000003</v>
      </c>
      <c r="E1032" s="4">
        <f>IF(INT((C1032-1)/12)+1&gt;'Lapse Table'!$A$11,E1031,VLOOKUP(INT((C1032-1)/12)+1,'Lapse Table'!$A$2:$B$11,2,FALSE))/12</f>
        <v>0</v>
      </c>
      <c r="F1032" s="5">
        <f t="shared" si="143"/>
        <v>-24.660259865620937</v>
      </c>
      <c r="G1032" s="6">
        <f t="shared" si="137"/>
        <v>4.9777500000000002E-2</v>
      </c>
      <c r="H1032" s="6">
        <f t="shared" si="138"/>
        <v>0</v>
      </c>
      <c r="I1032" s="7">
        <f t="shared" si="139"/>
        <v>-822.00866218736462</v>
      </c>
      <c r="J1032" s="8">
        <f t="shared" si="140"/>
        <v>49777.5</v>
      </c>
      <c r="K1032" s="7">
        <f t="shared" si="141"/>
        <v>-50599.508662187363</v>
      </c>
      <c r="L1032" s="4">
        <f>IF(A1032&gt;'Yield Curve'!A1646,L1031,(1+VLOOKUP(A1032,'Yield Curve'!A1025:B1647,2,FALSE))^(1/12)-1)</f>
        <v>7.9741404289037643E-3</v>
      </c>
      <c r="M1032" s="5">
        <f t="shared" si="142"/>
        <v>-14.85834710124152</v>
      </c>
    </row>
    <row r="1033" spans="1:13" x14ac:dyDescent="0.25">
      <c r="A1033" s="4">
        <v>1025</v>
      </c>
      <c r="B1033" s="4">
        <f t="shared" si="135"/>
        <v>130</v>
      </c>
      <c r="C1033" s="4">
        <f t="shared" si="136"/>
        <v>1040</v>
      </c>
      <c r="D1033" s="4">
        <f>IF(B1033&gt;'Mortality Table'!$A$118,D1032,VLOOKUP(B1033,'Mortality Table'!$A$2:$B$118,2,FALSE))</f>
        <v>0.59733000000000003</v>
      </c>
      <c r="E1033" s="4">
        <f>IF(INT((C1033-1)/12)+1&gt;'Lapse Table'!$A$11,E1032,VLOOKUP(INT((C1033-1)/12)+1,'Lapse Table'!$A$2:$B$11,2,FALSE))/12</f>
        <v>0</v>
      </c>
      <c r="F1033" s="5">
        <f t="shared" si="143"/>
        <v>-24.710037365620938</v>
      </c>
      <c r="G1033" s="6">
        <f t="shared" si="137"/>
        <v>4.9777500000000002E-2</v>
      </c>
      <c r="H1033" s="6">
        <f t="shared" si="138"/>
        <v>0</v>
      </c>
      <c r="I1033" s="7">
        <f t="shared" si="139"/>
        <v>-823.66791218736455</v>
      </c>
      <c r="J1033" s="8">
        <f t="shared" si="140"/>
        <v>49777.5</v>
      </c>
      <c r="K1033" s="7">
        <f t="shared" si="141"/>
        <v>-50601.167912187368</v>
      </c>
      <c r="L1033" s="4">
        <f>IF(A1033&gt;'Yield Curve'!A1647,L1032,(1+VLOOKUP(A1033,'Yield Curve'!A1026:B1648,2,FALSE))^(1/12)-1)</f>
        <v>7.9741404289037643E-3</v>
      </c>
      <c r="M1033" s="5">
        <f t="shared" si="142"/>
        <v>-14.741285254766954</v>
      </c>
    </row>
    <row r="1034" spans="1:13" x14ac:dyDescent="0.25">
      <c r="A1034" s="4">
        <v>1026</v>
      </c>
      <c r="B1034" s="4">
        <f t="shared" ref="B1034:B1097" si="144">INT($B$3+A1034/12)</f>
        <v>130</v>
      </c>
      <c r="C1034" s="4">
        <f t="shared" ref="C1034:C1097" si="145">$B$4+A1034</f>
        <v>1041</v>
      </c>
      <c r="D1034" s="4">
        <f>IF(B1034&gt;'Mortality Table'!$A$118,D1033,VLOOKUP(B1034,'Mortality Table'!$A$2:$B$118,2,FALSE))</f>
        <v>0.59733000000000003</v>
      </c>
      <c r="E1034" s="4">
        <f>IF(INT((C1034-1)/12)+1&gt;'Lapse Table'!$A$11,E1033,VLOOKUP(INT((C1034-1)/12)+1,'Lapse Table'!$A$2:$B$11,2,FALSE))/12</f>
        <v>0</v>
      </c>
      <c r="F1034" s="5">
        <f t="shared" si="143"/>
        <v>-24.759814865620939</v>
      </c>
      <c r="G1034" s="6">
        <f t="shared" ref="G1034:G1097" si="146">D1034/12*(1-0.5*E1034)</f>
        <v>4.9777500000000002E-2</v>
      </c>
      <c r="H1034" s="6">
        <f t="shared" ref="H1034:H1097" si="147">E1034*(1-0.5*D1034)</f>
        <v>0</v>
      </c>
      <c r="I1034" s="7">
        <f t="shared" ref="I1034:I1097" si="148">F1034*$B$5/12</f>
        <v>-825.32716218736459</v>
      </c>
      <c r="J1034" s="8">
        <f t="shared" ref="J1034:J1097" si="149">$B$6*G1034</f>
        <v>49777.5</v>
      </c>
      <c r="K1034" s="7">
        <f t="shared" ref="K1034:K1097" si="150">I1034-J1034</f>
        <v>-50602.827162187365</v>
      </c>
      <c r="L1034" s="4">
        <f>IF(A1034&gt;'Yield Curve'!A1648,L1033,(1+VLOOKUP(A1034,'Yield Curve'!A1027:B1649,2,FALSE))^(1/12)-1)</f>
        <v>7.9741404289037643E-3</v>
      </c>
      <c r="M1034" s="5">
        <f t="shared" ref="M1034:M1097" si="151">K1034*(1+L1034)^-A1034</f>
        <v>-14.625145667151509</v>
      </c>
    </row>
    <row r="1035" spans="1:13" x14ac:dyDescent="0.25">
      <c r="A1035" s="4">
        <v>1027</v>
      </c>
      <c r="B1035" s="4">
        <f t="shared" si="144"/>
        <v>130</v>
      </c>
      <c r="C1035" s="4">
        <f t="shared" si="145"/>
        <v>1042</v>
      </c>
      <c r="D1035" s="4">
        <f>IF(B1035&gt;'Mortality Table'!$A$118,D1034,VLOOKUP(B1035,'Mortality Table'!$A$2:$B$118,2,FALSE))</f>
        <v>0.59733000000000003</v>
      </c>
      <c r="E1035" s="4">
        <f>IF(INT((C1035-1)/12)+1&gt;'Lapse Table'!$A$11,E1034,VLOOKUP(INT((C1035-1)/12)+1,'Lapse Table'!$A$2:$B$11,2,FALSE))/12</f>
        <v>0</v>
      </c>
      <c r="F1035" s="5">
        <f t="shared" ref="F1035:F1098" si="152">F1034-G1035-H1035</f>
        <v>-24.80959236562094</v>
      </c>
      <c r="G1035" s="6">
        <f t="shared" si="146"/>
        <v>4.9777500000000002E-2</v>
      </c>
      <c r="H1035" s="6">
        <f t="shared" si="147"/>
        <v>0</v>
      </c>
      <c r="I1035" s="7">
        <f t="shared" si="148"/>
        <v>-826.98641218736464</v>
      </c>
      <c r="J1035" s="8">
        <f t="shared" si="149"/>
        <v>49777.5</v>
      </c>
      <c r="K1035" s="7">
        <f t="shared" si="150"/>
        <v>-50604.486412187362</v>
      </c>
      <c r="L1035" s="4">
        <f>IF(A1035&gt;'Yield Curve'!A1649,L1034,(1+VLOOKUP(A1035,'Yield Curve'!A1028:B1650,2,FALSE))^(1/12)-1)</f>
        <v>7.9741404289037643E-3</v>
      </c>
      <c r="M1035" s="5">
        <f t="shared" si="151"/>
        <v>-14.5099210726053</v>
      </c>
    </row>
    <row r="1036" spans="1:13" x14ac:dyDescent="0.25">
      <c r="A1036" s="4">
        <v>1028</v>
      </c>
      <c r="B1036" s="4">
        <f t="shared" si="144"/>
        <v>130</v>
      </c>
      <c r="C1036" s="4">
        <f t="shared" si="145"/>
        <v>1043</v>
      </c>
      <c r="D1036" s="4">
        <f>IF(B1036&gt;'Mortality Table'!$A$118,D1035,VLOOKUP(B1036,'Mortality Table'!$A$2:$B$118,2,FALSE))</f>
        <v>0.59733000000000003</v>
      </c>
      <c r="E1036" s="4">
        <f>IF(INT((C1036-1)/12)+1&gt;'Lapse Table'!$A$11,E1035,VLOOKUP(INT((C1036-1)/12)+1,'Lapse Table'!$A$2:$B$11,2,FALSE))/12</f>
        <v>0</v>
      </c>
      <c r="F1036" s="5">
        <f t="shared" si="152"/>
        <v>-24.859369865620941</v>
      </c>
      <c r="G1036" s="6">
        <f t="shared" si="146"/>
        <v>4.9777500000000002E-2</v>
      </c>
      <c r="H1036" s="6">
        <f t="shared" si="147"/>
        <v>0</v>
      </c>
      <c r="I1036" s="7">
        <f t="shared" si="148"/>
        <v>-828.64566218736479</v>
      </c>
      <c r="J1036" s="8">
        <f t="shared" si="149"/>
        <v>49777.5</v>
      </c>
      <c r="K1036" s="7">
        <f t="shared" si="150"/>
        <v>-50606.145662187366</v>
      </c>
      <c r="L1036" s="4">
        <f>IF(A1036&gt;'Yield Curve'!A1650,L1035,(1+VLOOKUP(A1036,'Yield Curve'!A1029:B1651,2,FALSE))^(1/12)-1)</f>
        <v>7.9741404289037643E-3</v>
      </c>
      <c r="M1036" s="5">
        <f t="shared" si="151"/>
        <v>-14.395604262579187</v>
      </c>
    </row>
    <row r="1037" spans="1:13" x14ac:dyDescent="0.25">
      <c r="A1037" s="4">
        <v>1029</v>
      </c>
      <c r="B1037" s="4">
        <f t="shared" si="144"/>
        <v>130</v>
      </c>
      <c r="C1037" s="4">
        <f t="shared" si="145"/>
        <v>1044</v>
      </c>
      <c r="D1037" s="4">
        <f>IF(B1037&gt;'Mortality Table'!$A$118,D1036,VLOOKUP(B1037,'Mortality Table'!$A$2:$B$118,2,FALSE))</f>
        <v>0.59733000000000003</v>
      </c>
      <c r="E1037" s="4">
        <f>IF(INT((C1037-1)/12)+1&gt;'Lapse Table'!$A$11,E1036,VLOOKUP(INT((C1037-1)/12)+1,'Lapse Table'!$A$2:$B$11,2,FALSE))/12</f>
        <v>0</v>
      </c>
      <c r="F1037" s="5">
        <f t="shared" si="152"/>
        <v>-24.909147365620942</v>
      </c>
      <c r="G1037" s="6">
        <f t="shared" si="146"/>
        <v>4.9777500000000002E-2</v>
      </c>
      <c r="H1037" s="6">
        <f t="shared" si="147"/>
        <v>0</v>
      </c>
      <c r="I1037" s="7">
        <f t="shared" si="148"/>
        <v>-830.30491218736472</v>
      </c>
      <c r="J1037" s="8">
        <f t="shared" si="149"/>
        <v>49777.5</v>
      </c>
      <c r="K1037" s="7">
        <f t="shared" si="150"/>
        <v>-50607.804912187363</v>
      </c>
      <c r="L1037" s="4">
        <f>IF(A1037&gt;'Yield Curve'!A1651,L1036,(1+VLOOKUP(A1037,'Yield Curve'!A1030:B1652,2,FALSE))^(1/12)-1)</f>
        <v>7.9741404289037643E-3</v>
      </c>
      <c r="M1037" s="5">
        <f t="shared" si="151"/>
        <v>-14.282188085313843</v>
      </c>
    </row>
    <row r="1038" spans="1:13" x14ac:dyDescent="0.25">
      <c r="A1038" s="4">
        <v>1030</v>
      </c>
      <c r="B1038" s="4">
        <f t="shared" si="144"/>
        <v>130</v>
      </c>
      <c r="C1038" s="4">
        <f t="shared" si="145"/>
        <v>1045</v>
      </c>
      <c r="D1038" s="4">
        <f>IF(B1038&gt;'Mortality Table'!$A$118,D1037,VLOOKUP(B1038,'Mortality Table'!$A$2:$B$118,2,FALSE))</f>
        <v>0.59733000000000003</v>
      </c>
      <c r="E1038" s="4">
        <f>IF(INT((C1038-1)/12)+1&gt;'Lapse Table'!$A$11,E1037,VLOOKUP(INT((C1038-1)/12)+1,'Lapse Table'!$A$2:$B$11,2,FALSE))/12</f>
        <v>0</v>
      </c>
      <c r="F1038" s="5">
        <f t="shared" si="152"/>
        <v>-24.958924865620943</v>
      </c>
      <c r="G1038" s="6">
        <f t="shared" si="146"/>
        <v>4.9777500000000002E-2</v>
      </c>
      <c r="H1038" s="6">
        <f t="shared" si="147"/>
        <v>0</v>
      </c>
      <c r="I1038" s="7">
        <f t="shared" si="148"/>
        <v>-831.96416218736476</v>
      </c>
      <c r="J1038" s="8">
        <f t="shared" si="149"/>
        <v>49777.5</v>
      </c>
      <c r="K1038" s="7">
        <f t="shared" si="150"/>
        <v>-50609.464162187367</v>
      </c>
      <c r="L1038" s="4">
        <f>IF(A1038&gt;'Yield Curve'!A1652,L1037,(1+VLOOKUP(A1038,'Yield Curve'!A1031:B1653,2,FALSE))^(1/12)-1)</f>
        <v>7.9741404289037643E-3</v>
      </c>
      <c r="M1038" s="5">
        <f t="shared" si="151"/>
        <v>-14.169665445392363</v>
      </c>
    </row>
    <row r="1039" spans="1:13" x14ac:dyDescent="0.25">
      <c r="A1039" s="4">
        <v>1031</v>
      </c>
      <c r="B1039" s="4">
        <f t="shared" si="144"/>
        <v>130</v>
      </c>
      <c r="C1039" s="4">
        <f t="shared" si="145"/>
        <v>1046</v>
      </c>
      <c r="D1039" s="4">
        <f>IF(B1039&gt;'Mortality Table'!$A$118,D1038,VLOOKUP(B1039,'Mortality Table'!$A$2:$B$118,2,FALSE))</f>
        <v>0.59733000000000003</v>
      </c>
      <c r="E1039" s="4">
        <f>IF(INT((C1039-1)/12)+1&gt;'Lapse Table'!$A$11,E1038,VLOOKUP(INT((C1039-1)/12)+1,'Lapse Table'!$A$2:$B$11,2,FALSE))/12</f>
        <v>0</v>
      </c>
      <c r="F1039" s="5">
        <f t="shared" si="152"/>
        <v>-25.008702365620945</v>
      </c>
      <c r="G1039" s="6">
        <f t="shared" si="146"/>
        <v>4.9777500000000002E-2</v>
      </c>
      <c r="H1039" s="6">
        <f t="shared" si="147"/>
        <v>0</v>
      </c>
      <c r="I1039" s="7">
        <f t="shared" si="148"/>
        <v>-833.62341218736481</v>
      </c>
      <c r="J1039" s="8">
        <f t="shared" si="149"/>
        <v>49777.5</v>
      </c>
      <c r="K1039" s="7">
        <f t="shared" si="150"/>
        <v>-50611.123412187364</v>
      </c>
      <c r="L1039" s="4">
        <f>IF(A1039&gt;'Yield Curve'!A1653,L1038,(1+VLOOKUP(A1039,'Yield Curve'!A1032:B1654,2,FALSE))^(1/12)-1)</f>
        <v>7.9741404289037643E-3</v>
      </c>
      <c r="M1039" s="5">
        <f t="shared" si="151"/>
        <v>-14.058029303296381</v>
      </c>
    </row>
    <row r="1040" spans="1:13" x14ac:dyDescent="0.25">
      <c r="A1040" s="4">
        <v>1032</v>
      </c>
      <c r="B1040" s="4">
        <f t="shared" si="144"/>
        <v>131</v>
      </c>
      <c r="C1040" s="4">
        <f t="shared" si="145"/>
        <v>1047</v>
      </c>
      <c r="D1040" s="4">
        <f>IF(B1040&gt;'Mortality Table'!$A$118,D1039,VLOOKUP(B1040,'Mortality Table'!$A$2:$B$118,2,FALSE))</f>
        <v>0.59733000000000003</v>
      </c>
      <c r="E1040" s="4">
        <f>IF(INT((C1040-1)/12)+1&gt;'Lapse Table'!$A$11,E1039,VLOOKUP(INT((C1040-1)/12)+1,'Lapse Table'!$A$2:$B$11,2,FALSE))/12</f>
        <v>0</v>
      </c>
      <c r="F1040" s="5">
        <f t="shared" si="152"/>
        <v>-25.058479865620946</v>
      </c>
      <c r="G1040" s="6">
        <f t="shared" si="146"/>
        <v>4.9777500000000002E-2</v>
      </c>
      <c r="H1040" s="6">
        <f t="shared" si="147"/>
        <v>0</v>
      </c>
      <c r="I1040" s="7">
        <f t="shared" si="148"/>
        <v>-835.28266218736496</v>
      </c>
      <c r="J1040" s="8">
        <f t="shared" si="149"/>
        <v>49777.5</v>
      </c>
      <c r="K1040" s="7">
        <f t="shared" si="150"/>
        <v>-50612.782662187368</v>
      </c>
      <c r="L1040" s="4">
        <f>IF(A1040&gt;'Yield Curve'!A1654,L1039,(1+VLOOKUP(A1040,'Yield Curve'!A1033:B1655,2,FALSE))^(1/12)-1)</f>
        <v>7.9741404289037643E-3</v>
      </c>
      <c r="M1040" s="5">
        <f t="shared" si="151"/>
        <v>-13.947272674965726</v>
      </c>
    </row>
    <row r="1041" spans="1:13" x14ac:dyDescent="0.25">
      <c r="A1041" s="4">
        <v>1033</v>
      </c>
      <c r="B1041" s="4">
        <f t="shared" si="144"/>
        <v>131</v>
      </c>
      <c r="C1041" s="4">
        <f t="shared" si="145"/>
        <v>1048</v>
      </c>
      <c r="D1041" s="4">
        <f>IF(B1041&gt;'Mortality Table'!$A$118,D1040,VLOOKUP(B1041,'Mortality Table'!$A$2:$B$118,2,FALSE))</f>
        <v>0.59733000000000003</v>
      </c>
      <c r="E1041" s="4">
        <f>IF(INT((C1041-1)/12)+1&gt;'Lapse Table'!$A$11,E1040,VLOOKUP(INT((C1041-1)/12)+1,'Lapse Table'!$A$2:$B$11,2,FALSE))/12</f>
        <v>0</v>
      </c>
      <c r="F1041" s="5">
        <f t="shared" si="152"/>
        <v>-25.108257365620947</v>
      </c>
      <c r="G1041" s="6">
        <f t="shared" si="146"/>
        <v>4.9777500000000002E-2</v>
      </c>
      <c r="H1041" s="6">
        <f t="shared" si="147"/>
        <v>0</v>
      </c>
      <c r="I1041" s="7">
        <f t="shared" si="148"/>
        <v>-836.94191218736489</v>
      </c>
      <c r="J1041" s="8">
        <f t="shared" si="149"/>
        <v>49777.5</v>
      </c>
      <c r="K1041" s="7">
        <f t="shared" si="150"/>
        <v>-50614.441912187365</v>
      </c>
      <c r="L1041" s="4">
        <f>IF(A1041&gt;'Yield Curve'!A1655,L1040,(1+VLOOKUP(A1041,'Yield Curve'!A1034:B1656,2,FALSE))^(1/12)-1)</f>
        <v>7.9741404289037643E-3</v>
      </c>
      <c r="M1041" s="5">
        <f t="shared" si="151"/>
        <v>-13.837388631361515</v>
      </c>
    </row>
    <row r="1042" spans="1:13" x14ac:dyDescent="0.25">
      <c r="A1042" s="4">
        <v>1034</v>
      </c>
      <c r="B1042" s="4">
        <f t="shared" si="144"/>
        <v>131</v>
      </c>
      <c r="C1042" s="4">
        <f t="shared" si="145"/>
        <v>1049</v>
      </c>
      <c r="D1042" s="4">
        <f>IF(B1042&gt;'Mortality Table'!$A$118,D1041,VLOOKUP(B1042,'Mortality Table'!$A$2:$B$118,2,FALSE))</f>
        <v>0.59733000000000003</v>
      </c>
      <c r="E1042" s="4">
        <f>IF(INT((C1042-1)/12)+1&gt;'Lapse Table'!$A$11,E1041,VLOOKUP(INT((C1042-1)/12)+1,'Lapse Table'!$A$2:$B$11,2,FALSE))/12</f>
        <v>0</v>
      </c>
      <c r="F1042" s="5">
        <f t="shared" si="152"/>
        <v>-25.158034865620948</v>
      </c>
      <c r="G1042" s="6">
        <f t="shared" si="146"/>
        <v>4.9777500000000002E-2</v>
      </c>
      <c r="H1042" s="6">
        <f t="shared" si="147"/>
        <v>0</v>
      </c>
      <c r="I1042" s="7">
        <f t="shared" si="148"/>
        <v>-838.60116218736493</v>
      </c>
      <c r="J1042" s="8">
        <f t="shared" si="149"/>
        <v>49777.5</v>
      </c>
      <c r="K1042" s="7">
        <f t="shared" si="150"/>
        <v>-50616.101162187362</v>
      </c>
      <c r="L1042" s="4">
        <f>IF(A1042&gt;'Yield Curve'!A1656,L1041,(1+VLOOKUP(A1042,'Yield Curve'!A1035:B1657,2,FALSE))^(1/12)-1)</f>
        <v>7.9741404289037643E-3</v>
      </c>
      <c r="M1042" s="5">
        <f t="shared" si="151"/>
        <v>-13.728370298032692</v>
      </c>
    </row>
    <row r="1043" spans="1:13" x14ac:dyDescent="0.25">
      <c r="A1043" s="4">
        <v>1035</v>
      </c>
      <c r="B1043" s="4">
        <f t="shared" si="144"/>
        <v>131</v>
      </c>
      <c r="C1043" s="4">
        <f t="shared" si="145"/>
        <v>1050</v>
      </c>
      <c r="D1043" s="4">
        <f>IF(B1043&gt;'Mortality Table'!$A$118,D1042,VLOOKUP(B1043,'Mortality Table'!$A$2:$B$118,2,FALSE))</f>
        <v>0.59733000000000003</v>
      </c>
      <c r="E1043" s="4">
        <f>IF(INT((C1043-1)/12)+1&gt;'Lapse Table'!$A$11,E1042,VLOOKUP(INT((C1043-1)/12)+1,'Lapse Table'!$A$2:$B$11,2,FALSE))/12</f>
        <v>0</v>
      </c>
      <c r="F1043" s="5">
        <f t="shared" si="152"/>
        <v>-25.207812365620949</v>
      </c>
      <c r="G1043" s="6">
        <f t="shared" si="146"/>
        <v>4.9777500000000002E-2</v>
      </c>
      <c r="H1043" s="6">
        <f t="shared" si="147"/>
        <v>0</v>
      </c>
      <c r="I1043" s="7">
        <f t="shared" si="148"/>
        <v>-840.26041218736498</v>
      </c>
      <c r="J1043" s="8">
        <f t="shared" si="149"/>
        <v>49777.5</v>
      </c>
      <c r="K1043" s="7">
        <f t="shared" si="150"/>
        <v>-50617.760412187366</v>
      </c>
      <c r="L1043" s="4">
        <f>IF(A1043&gt;'Yield Curve'!A1657,L1042,(1+VLOOKUP(A1043,'Yield Curve'!A1036:B1658,2,FALSE))^(1/12)-1)</f>
        <v>7.9741404289037643E-3</v>
      </c>
      <c r="M1043" s="5">
        <f t="shared" si="151"/>
        <v>-13.620210854685991</v>
      </c>
    </row>
    <row r="1044" spans="1:13" x14ac:dyDescent="0.25">
      <c r="A1044" s="4">
        <v>1036</v>
      </c>
      <c r="B1044" s="4">
        <f t="shared" si="144"/>
        <v>131</v>
      </c>
      <c r="C1044" s="4">
        <f t="shared" si="145"/>
        <v>1051</v>
      </c>
      <c r="D1044" s="4">
        <f>IF(B1044&gt;'Mortality Table'!$A$118,D1043,VLOOKUP(B1044,'Mortality Table'!$A$2:$B$118,2,FALSE))</f>
        <v>0.59733000000000003</v>
      </c>
      <c r="E1044" s="4">
        <f>IF(INT((C1044-1)/12)+1&gt;'Lapse Table'!$A$11,E1043,VLOOKUP(INT((C1044-1)/12)+1,'Lapse Table'!$A$2:$B$11,2,FALSE))/12</f>
        <v>0</v>
      </c>
      <c r="F1044" s="5">
        <f t="shared" si="152"/>
        <v>-25.25758986562095</v>
      </c>
      <c r="G1044" s="6">
        <f t="shared" si="146"/>
        <v>4.9777500000000002E-2</v>
      </c>
      <c r="H1044" s="6">
        <f t="shared" si="147"/>
        <v>0</v>
      </c>
      <c r="I1044" s="7">
        <f t="shared" si="148"/>
        <v>-841.91966218736491</v>
      </c>
      <c r="J1044" s="8">
        <f t="shared" si="149"/>
        <v>49777.5</v>
      </c>
      <c r="K1044" s="7">
        <f t="shared" si="150"/>
        <v>-50619.419662187363</v>
      </c>
      <c r="L1044" s="4">
        <f>IF(A1044&gt;'Yield Curve'!A1658,L1043,(1+VLOOKUP(A1044,'Yield Curve'!A1037:B1659,2,FALSE))^(1/12)-1)</f>
        <v>7.9741404289037643E-3</v>
      </c>
      <c r="M1044" s="5">
        <f t="shared" si="151"/>
        <v>-13.512903534759271</v>
      </c>
    </row>
    <row r="1045" spans="1:13" x14ac:dyDescent="0.25">
      <c r="A1045" s="4">
        <v>1037</v>
      </c>
      <c r="B1045" s="4">
        <f t="shared" si="144"/>
        <v>131</v>
      </c>
      <c r="C1045" s="4">
        <f t="shared" si="145"/>
        <v>1052</v>
      </c>
      <c r="D1045" s="4">
        <f>IF(B1045&gt;'Mortality Table'!$A$118,D1044,VLOOKUP(B1045,'Mortality Table'!$A$2:$B$118,2,FALSE))</f>
        <v>0.59733000000000003</v>
      </c>
      <c r="E1045" s="4">
        <f>IF(INT((C1045-1)/12)+1&gt;'Lapse Table'!$A$11,E1044,VLOOKUP(INT((C1045-1)/12)+1,'Lapse Table'!$A$2:$B$11,2,FALSE))/12</f>
        <v>0</v>
      </c>
      <c r="F1045" s="5">
        <f t="shared" si="152"/>
        <v>-25.307367365620951</v>
      </c>
      <c r="G1045" s="6">
        <f t="shared" si="146"/>
        <v>4.9777500000000002E-2</v>
      </c>
      <c r="H1045" s="6">
        <f t="shared" si="147"/>
        <v>0</v>
      </c>
      <c r="I1045" s="7">
        <f t="shared" si="148"/>
        <v>-843.57891218736506</v>
      </c>
      <c r="J1045" s="8">
        <f t="shared" si="149"/>
        <v>49777.5</v>
      </c>
      <c r="K1045" s="7">
        <f t="shared" si="150"/>
        <v>-50621.078912187368</v>
      </c>
      <c r="L1045" s="4">
        <f>IF(A1045&gt;'Yield Curve'!A1659,L1044,(1+VLOOKUP(A1045,'Yield Curve'!A1038:B1660,2,FALSE))^(1/12)-1)</f>
        <v>7.9741404289037643E-3</v>
      </c>
      <c r="M1045" s="5">
        <f t="shared" si="151"/>
        <v>-13.40644162499825</v>
      </c>
    </row>
    <row r="1046" spans="1:13" x14ac:dyDescent="0.25">
      <c r="A1046" s="4">
        <v>1038</v>
      </c>
      <c r="B1046" s="4">
        <f t="shared" si="144"/>
        <v>131</v>
      </c>
      <c r="C1046" s="4">
        <f t="shared" si="145"/>
        <v>1053</v>
      </c>
      <c r="D1046" s="4">
        <f>IF(B1046&gt;'Mortality Table'!$A$118,D1045,VLOOKUP(B1046,'Mortality Table'!$A$2:$B$118,2,FALSE))</f>
        <v>0.59733000000000003</v>
      </c>
      <c r="E1046" s="4">
        <f>IF(INT((C1046-1)/12)+1&gt;'Lapse Table'!$A$11,E1045,VLOOKUP(INT((C1046-1)/12)+1,'Lapse Table'!$A$2:$B$11,2,FALSE))/12</f>
        <v>0</v>
      </c>
      <c r="F1046" s="5">
        <f t="shared" si="152"/>
        <v>-25.357144865620953</v>
      </c>
      <c r="G1046" s="6">
        <f t="shared" si="146"/>
        <v>4.9777500000000002E-2</v>
      </c>
      <c r="H1046" s="6">
        <f t="shared" si="147"/>
        <v>0</v>
      </c>
      <c r="I1046" s="7">
        <f t="shared" si="148"/>
        <v>-845.23816218736511</v>
      </c>
      <c r="J1046" s="8">
        <f t="shared" si="149"/>
        <v>49777.5</v>
      </c>
      <c r="K1046" s="7">
        <f t="shared" si="150"/>
        <v>-50622.738162187365</v>
      </c>
      <c r="L1046" s="4">
        <f>IF(A1046&gt;'Yield Curve'!A1660,L1045,(1+VLOOKUP(A1046,'Yield Curve'!A1039:B1661,2,FALSE))^(1/12)-1)</f>
        <v>7.9741404289037643E-3</v>
      </c>
      <c r="M1046" s="5">
        <f t="shared" si="151"/>
        <v>-13.300818465036505</v>
      </c>
    </row>
    <row r="1047" spans="1:13" x14ac:dyDescent="0.25">
      <c r="A1047" s="4">
        <v>1039</v>
      </c>
      <c r="B1047" s="4">
        <f t="shared" si="144"/>
        <v>131</v>
      </c>
      <c r="C1047" s="4">
        <f t="shared" si="145"/>
        <v>1054</v>
      </c>
      <c r="D1047" s="4">
        <f>IF(B1047&gt;'Mortality Table'!$A$118,D1046,VLOOKUP(B1047,'Mortality Table'!$A$2:$B$118,2,FALSE))</f>
        <v>0.59733000000000003</v>
      </c>
      <c r="E1047" s="4">
        <f>IF(INT((C1047-1)/12)+1&gt;'Lapse Table'!$A$11,E1046,VLOOKUP(INT((C1047-1)/12)+1,'Lapse Table'!$A$2:$B$11,2,FALSE))/12</f>
        <v>0</v>
      </c>
      <c r="F1047" s="5">
        <f t="shared" si="152"/>
        <v>-25.406922365620954</v>
      </c>
      <c r="G1047" s="6">
        <f t="shared" si="146"/>
        <v>4.9777500000000002E-2</v>
      </c>
      <c r="H1047" s="6">
        <f t="shared" si="147"/>
        <v>0</v>
      </c>
      <c r="I1047" s="7">
        <f t="shared" si="148"/>
        <v>-846.89741218736515</v>
      </c>
      <c r="J1047" s="8">
        <f t="shared" si="149"/>
        <v>49777.5</v>
      </c>
      <c r="K1047" s="7">
        <f t="shared" si="150"/>
        <v>-50624.397412187362</v>
      </c>
      <c r="L1047" s="4">
        <f>IF(A1047&gt;'Yield Curve'!A1661,L1046,(1+VLOOKUP(A1047,'Yield Curve'!A1040:B1662,2,FALSE))^(1/12)-1)</f>
        <v>7.9741404289037643E-3</v>
      </c>
      <c r="M1047" s="5">
        <f t="shared" si="151"/>
        <v>-13.196027446978858</v>
      </c>
    </row>
    <row r="1048" spans="1:13" x14ac:dyDescent="0.25">
      <c r="A1048" s="4">
        <v>1040</v>
      </c>
      <c r="B1048" s="4">
        <f t="shared" si="144"/>
        <v>131</v>
      </c>
      <c r="C1048" s="4">
        <f t="shared" si="145"/>
        <v>1055</v>
      </c>
      <c r="D1048" s="4">
        <f>IF(B1048&gt;'Mortality Table'!$A$118,D1047,VLOOKUP(B1048,'Mortality Table'!$A$2:$B$118,2,FALSE))</f>
        <v>0.59733000000000003</v>
      </c>
      <c r="E1048" s="4">
        <f>IF(INT((C1048-1)/12)+1&gt;'Lapse Table'!$A$11,E1047,VLOOKUP(INT((C1048-1)/12)+1,'Lapse Table'!$A$2:$B$11,2,FALSE))/12</f>
        <v>0</v>
      </c>
      <c r="F1048" s="5">
        <f t="shared" si="152"/>
        <v>-25.456699865620955</v>
      </c>
      <c r="G1048" s="6">
        <f t="shared" si="146"/>
        <v>4.9777500000000002E-2</v>
      </c>
      <c r="H1048" s="6">
        <f t="shared" si="147"/>
        <v>0</v>
      </c>
      <c r="I1048" s="7">
        <f t="shared" si="148"/>
        <v>-848.55666218736508</v>
      </c>
      <c r="J1048" s="8">
        <f t="shared" si="149"/>
        <v>49777.5</v>
      </c>
      <c r="K1048" s="7">
        <f t="shared" si="150"/>
        <v>-50626.056662187366</v>
      </c>
      <c r="L1048" s="4">
        <f>IF(A1048&gt;'Yield Curve'!A1662,L1047,(1+VLOOKUP(A1048,'Yield Curve'!A1041:B1663,2,FALSE))^(1/12)-1)</f>
        <v>7.9741404289037643E-3</v>
      </c>
      <c r="M1048" s="5">
        <f t="shared" si="151"/>
        <v>-13.092062014987988</v>
      </c>
    </row>
    <row r="1049" spans="1:13" x14ac:dyDescent="0.25">
      <c r="A1049" s="4">
        <v>1041</v>
      </c>
      <c r="B1049" s="4">
        <f t="shared" si="144"/>
        <v>131</v>
      </c>
      <c r="C1049" s="4">
        <f t="shared" si="145"/>
        <v>1056</v>
      </c>
      <c r="D1049" s="4">
        <f>IF(B1049&gt;'Mortality Table'!$A$118,D1048,VLOOKUP(B1049,'Mortality Table'!$A$2:$B$118,2,FALSE))</f>
        <v>0.59733000000000003</v>
      </c>
      <c r="E1049" s="4">
        <f>IF(INT((C1049-1)/12)+1&gt;'Lapse Table'!$A$11,E1048,VLOOKUP(INT((C1049-1)/12)+1,'Lapse Table'!$A$2:$B$11,2,FALSE))/12</f>
        <v>0</v>
      </c>
      <c r="F1049" s="5">
        <f t="shared" si="152"/>
        <v>-25.506477365620956</v>
      </c>
      <c r="G1049" s="6">
        <f t="shared" si="146"/>
        <v>4.9777500000000002E-2</v>
      </c>
      <c r="H1049" s="6">
        <f t="shared" si="147"/>
        <v>0</v>
      </c>
      <c r="I1049" s="7">
        <f t="shared" si="148"/>
        <v>-850.21591218736523</v>
      </c>
      <c r="J1049" s="8">
        <f t="shared" si="149"/>
        <v>49777.5</v>
      </c>
      <c r="K1049" s="7">
        <f t="shared" si="150"/>
        <v>-50627.715912187363</v>
      </c>
      <c r="L1049" s="4">
        <f>IF(A1049&gt;'Yield Curve'!A1663,L1048,(1+VLOOKUP(A1049,'Yield Curve'!A1042:B1664,2,FALSE))^(1/12)-1)</f>
        <v>7.9741404289037643E-3</v>
      </c>
      <c r="M1049" s="5">
        <f t="shared" si="151"/>
        <v>-12.988915664874334</v>
      </c>
    </row>
    <row r="1050" spans="1:13" x14ac:dyDescent="0.25">
      <c r="A1050" s="4">
        <v>1042</v>
      </c>
      <c r="B1050" s="4">
        <f t="shared" si="144"/>
        <v>131</v>
      </c>
      <c r="C1050" s="4">
        <f t="shared" si="145"/>
        <v>1057</v>
      </c>
      <c r="D1050" s="4">
        <f>IF(B1050&gt;'Mortality Table'!$A$118,D1049,VLOOKUP(B1050,'Mortality Table'!$A$2:$B$118,2,FALSE))</f>
        <v>0.59733000000000003</v>
      </c>
      <c r="E1050" s="4">
        <f>IF(INT((C1050-1)/12)+1&gt;'Lapse Table'!$A$11,E1049,VLOOKUP(INT((C1050-1)/12)+1,'Lapse Table'!$A$2:$B$11,2,FALSE))/12</f>
        <v>0</v>
      </c>
      <c r="F1050" s="5">
        <f t="shared" si="152"/>
        <v>-25.556254865620957</v>
      </c>
      <c r="G1050" s="6">
        <f t="shared" si="146"/>
        <v>4.9777500000000002E-2</v>
      </c>
      <c r="H1050" s="6">
        <f t="shared" si="147"/>
        <v>0</v>
      </c>
      <c r="I1050" s="7">
        <f t="shared" si="148"/>
        <v>-851.87516218736528</v>
      </c>
      <c r="J1050" s="8">
        <f t="shared" si="149"/>
        <v>49777.5</v>
      </c>
      <c r="K1050" s="7">
        <f t="shared" si="150"/>
        <v>-50629.375162187367</v>
      </c>
      <c r="L1050" s="4">
        <f>IF(A1050&gt;'Yield Curve'!A1664,L1049,(1+VLOOKUP(A1050,'Yield Curve'!A1043:B1665,2,FALSE))^(1/12)-1)</f>
        <v>7.9741404289037643E-3</v>
      </c>
      <c r="M1050" s="5">
        <f t="shared" si="151"/>
        <v>-12.886581943689201</v>
      </c>
    </row>
    <row r="1051" spans="1:13" x14ac:dyDescent="0.25">
      <c r="A1051" s="4">
        <v>1043</v>
      </c>
      <c r="B1051" s="4">
        <f t="shared" si="144"/>
        <v>131</v>
      </c>
      <c r="C1051" s="4">
        <f t="shared" si="145"/>
        <v>1058</v>
      </c>
      <c r="D1051" s="4">
        <f>IF(B1051&gt;'Mortality Table'!$A$118,D1050,VLOOKUP(B1051,'Mortality Table'!$A$2:$B$118,2,FALSE))</f>
        <v>0.59733000000000003</v>
      </c>
      <c r="E1051" s="4">
        <f>IF(INT((C1051-1)/12)+1&gt;'Lapse Table'!$A$11,E1050,VLOOKUP(INT((C1051-1)/12)+1,'Lapse Table'!$A$2:$B$11,2,FALSE))/12</f>
        <v>0</v>
      </c>
      <c r="F1051" s="5">
        <f t="shared" si="152"/>
        <v>-25.606032365620958</v>
      </c>
      <c r="G1051" s="6">
        <f t="shared" si="146"/>
        <v>4.9777500000000002E-2</v>
      </c>
      <c r="H1051" s="6">
        <f t="shared" si="147"/>
        <v>0</v>
      </c>
      <c r="I1051" s="7">
        <f t="shared" si="148"/>
        <v>-853.53441218736532</v>
      </c>
      <c r="J1051" s="8">
        <f t="shared" si="149"/>
        <v>49777.5</v>
      </c>
      <c r="K1051" s="7">
        <f t="shared" si="150"/>
        <v>-50631.034412187364</v>
      </c>
      <c r="L1051" s="4">
        <f>IF(A1051&gt;'Yield Curve'!A1665,L1050,(1+VLOOKUP(A1051,'Yield Curve'!A1044:B1666,2,FALSE))^(1/12)-1)</f>
        <v>7.9741404289037643E-3</v>
      </c>
      <c r="M1051" s="5">
        <f t="shared" si="151"/>
        <v>-12.785054449321088</v>
      </c>
    </row>
    <row r="1052" spans="1:13" x14ac:dyDescent="0.25">
      <c r="A1052" s="4">
        <v>1044</v>
      </c>
      <c r="B1052" s="4">
        <f t="shared" si="144"/>
        <v>132</v>
      </c>
      <c r="C1052" s="4">
        <f t="shared" si="145"/>
        <v>1059</v>
      </c>
      <c r="D1052" s="4">
        <f>IF(B1052&gt;'Mortality Table'!$A$118,D1051,VLOOKUP(B1052,'Mortality Table'!$A$2:$B$118,2,FALSE))</f>
        <v>0.59733000000000003</v>
      </c>
      <c r="E1052" s="4">
        <f>IF(INT((C1052-1)/12)+1&gt;'Lapse Table'!$A$11,E1051,VLOOKUP(INT((C1052-1)/12)+1,'Lapse Table'!$A$2:$B$11,2,FALSE))/12</f>
        <v>0</v>
      </c>
      <c r="F1052" s="5">
        <f t="shared" si="152"/>
        <v>-25.655809865620959</v>
      </c>
      <c r="G1052" s="6">
        <f t="shared" si="146"/>
        <v>4.9777500000000002E-2</v>
      </c>
      <c r="H1052" s="6">
        <f t="shared" si="147"/>
        <v>0</v>
      </c>
      <c r="I1052" s="7">
        <f t="shared" si="148"/>
        <v>-855.19366218736525</v>
      </c>
      <c r="J1052" s="8">
        <f t="shared" si="149"/>
        <v>49777.5</v>
      </c>
      <c r="K1052" s="7">
        <f t="shared" si="150"/>
        <v>-50632.693662187368</v>
      </c>
      <c r="L1052" s="4">
        <f>IF(A1052&gt;'Yield Curve'!A1666,L1051,(1+VLOOKUP(A1052,'Yield Curve'!A1045:B1667,2,FALSE))^(1/12)-1)</f>
        <v>7.9741404289037643E-3</v>
      </c>
      <c r="M1052" s="5">
        <f t="shared" si="151"/>
        <v>-12.684326830095191</v>
      </c>
    </row>
    <row r="1053" spans="1:13" x14ac:dyDescent="0.25">
      <c r="A1053" s="4">
        <v>1045</v>
      </c>
      <c r="B1053" s="4">
        <f t="shared" si="144"/>
        <v>132</v>
      </c>
      <c r="C1053" s="4">
        <f t="shared" si="145"/>
        <v>1060</v>
      </c>
      <c r="D1053" s="4">
        <f>IF(B1053&gt;'Mortality Table'!$A$118,D1052,VLOOKUP(B1053,'Mortality Table'!$A$2:$B$118,2,FALSE))</f>
        <v>0.59733000000000003</v>
      </c>
      <c r="E1053" s="4">
        <f>IF(INT((C1053-1)/12)+1&gt;'Lapse Table'!$A$11,E1052,VLOOKUP(INT((C1053-1)/12)+1,'Lapse Table'!$A$2:$B$11,2,FALSE))/12</f>
        <v>0</v>
      </c>
      <c r="F1053" s="5">
        <f t="shared" si="152"/>
        <v>-25.705587365620961</v>
      </c>
      <c r="G1053" s="6">
        <f t="shared" si="146"/>
        <v>4.9777500000000002E-2</v>
      </c>
      <c r="H1053" s="6">
        <f t="shared" si="147"/>
        <v>0</v>
      </c>
      <c r="I1053" s="7">
        <f t="shared" si="148"/>
        <v>-856.85291218736529</v>
      </c>
      <c r="J1053" s="8">
        <f t="shared" si="149"/>
        <v>49777.5</v>
      </c>
      <c r="K1053" s="7">
        <f t="shared" si="150"/>
        <v>-50634.352912187365</v>
      </c>
      <c r="L1053" s="4">
        <f>IF(A1053&gt;'Yield Curve'!A1667,L1052,(1+VLOOKUP(A1053,'Yield Curve'!A1046:B1668,2,FALSE))^(1/12)-1)</f>
        <v>7.9741404289037643E-3</v>
      </c>
      <c r="M1053" s="5">
        <f t="shared" si="151"/>
        <v>-12.584392784376075</v>
      </c>
    </row>
    <row r="1054" spans="1:13" x14ac:dyDescent="0.25">
      <c r="A1054" s="4">
        <v>1046</v>
      </c>
      <c r="B1054" s="4">
        <f t="shared" si="144"/>
        <v>132</v>
      </c>
      <c r="C1054" s="4">
        <f t="shared" si="145"/>
        <v>1061</v>
      </c>
      <c r="D1054" s="4">
        <f>IF(B1054&gt;'Mortality Table'!$A$118,D1053,VLOOKUP(B1054,'Mortality Table'!$A$2:$B$118,2,FALSE))</f>
        <v>0.59733000000000003</v>
      </c>
      <c r="E1054" s="4">
        <f>IF(INT((C1054-1)/12)+1&gt;'Lapse Table'!$A$11,E1053,VLOOKUP(INT((C1054-1)/12)+1,'Lapse Table'!$A$2:$B$11,2,FALSE))/12</f>
        <v>0</v>
      </c>
      <c r="F1054" s="5">
        <f t="shared" si="152"/>
        <v>-25.755364865620962</v>
      </c>
      <c r="G1054" s="6">
        <f t="shared" si="146"/>
        <v>4.9777500000000002E-2</v>
      </c>
      <c r="H1054" s="6">
        <f t="shared" si="147"/>
        <v>0</v>
      </c>
      <c r="I1054" s="7">
        <f t="shared" si="148"/>
        <v>-858.51216218736545</v>
      </c>
      <c r="J1054" s="8">
        <f t="shared" si="149"/>
        <v>49777.5</v>
      </c>
      <c r="K1054" s="7">
        <f t="shared" si="150"/>
        <v>-50636.012162187362</v>
      </c>
      <c r="L1054" s="4">
        <f>IF(A1054&gt;'Yield Curve'!A1668,L1053,(1+VLOOKUP(A1054,'Yield Curve'!A1047:B1669,2,FALSE))^(1/12)-1)</f>
        <v>7.9741404289037643E-3</v>
      </c>
      <c r="M1054" s="5">
        <f t="shared" si="151"/>
        <v>-12.485246060173456</v>
      </c>
    </row>
    <row r="1055" spans="1:13" x14ac:dyDescent="0.25">
      <c r="A1055" s="4">
        <v>1047</v>
      </c>
      <c r="B1055" s="4">
        <f t="shared" si="144"/>
        <v>132</v>
      </c>
      <c r="C1055" s="4">
        <f t="shared" si="145"/>
        <v>1062</v>
      </c>
      <c r="D1055" s="4">
        <f>IF(B1055&gt;'Mortality Table'!$A$118,D1054,VLOOKUP(B1055,'Mortality Table'!$A$2:$B$118,2,FALSE))</f>
        <v>0.59733000000000003</v>
      </c>
      <c r="E1055" s="4">
        <f>IF(INT((C1055-1)/12)+1&gt;'Lapse Table'!$A$11,E1054,VLOOKUP(INT((C1055-1)/12)+1,'Lapse Table'!$A$2:$B$11,2,FALSE))/12</f>
        <v>0</v>
      </c>
      <c r="F1055" s="5">
        <f t="shared" si="152"/>
        <v>-25.805142365620963</v>
      </c>
      <c r="G1055" s="6">
        <f t="shared" si="146"/>
        <v>4.9777500000000002E-2</v>
      </c>
      <c r="H1055" s="6">
        <f t="shared" si="147"/>
        <v>0</v>
      </c>
      <c r="I1055" s="7">
        <f t="shared" si="148"/>
        <v>-860.17141218736549</v>
      </c>
      <c r="J1055" s="8">
        <f t="shared" si="149"/>
        <v>49777.5</v>
      </c>
      <c r="K1055" s="7">
        <f t="shared" si="150"/>
        <v>-50637.671412187367</v>
      </c>
      <c r="L1055" s="4">
        <f>IF(A1055&gt;'Yield Curve'!A1669,L1054,(1+VLOOKUP(A1055,'Yield Curve'!A1048:B1670,2,FALSE))^(1/12)-1)</f>
        <v>7.9741404289037643E-3</v>
      </c>
      <c r="M1055" s="5">
        <f t="shared" si="151"/>
        <v>-12.386880454751084</v>
      </c>
    </row>
    <row r="1056" spans="1:13" x14ac:dyDescent="0.25">
      <c r="A1056" s="4">
        <v>1048</v>
      </c>
      <c r="B1056" s="4">
        <f t="shared" si="144"/>
        <v>132</v>
      </c>
      <c r="C1056" s="4">
        <f t="shared" si="145"/>
        <v>1063</v>
      </c>
      <c r="D1056" s="4">
        <f>IF(B1056&gt;'Mortality Table'!$A$118,D1055,VLOOKUP(B1056,'Mortality Table'!$A$2:$B$118,2,FALSE))</f>
        <v>0.59733000000000003</v>
      </c>
      <c r="E1056" s="4">
        <f>IF(INT((C1056-1)/12)+1&gt;'Lapse Table'!$A$11,E1055,VLOOKUP(INT((C1056-1)/12)+1,'Lapse Table'!$A$2:$B$11,2,FALSE))/12</f>
        <v>0</v>
      </c>
      <c r="F1056" s="5">
        <f t="shared" si="152"/>
        <v>-25.854919865620964</v>
      </c>
      <c r="G1056" s="6">
        <f t="shared" si="146"/>
        <v>4.9777500000000002E-2</v>
      </c>
      <c r="H1056" s="6">
        <f t="shared" si="147"/>
        <v>0</v>
      </c>
      <c r="I1056" s="7">
        <f t="shared" si="148"/>
        <v>-861.83066218736542</v>
      </c>
      <c r="J1056" s="8">
        <f t="shared" si="149"/>
        <v>49777.5</v>
      </c>
      <c r="K1056" s="7">
        <f t="shared" si="150"/>
        <v>-50639.330662187363</v>
      </c>
      <c r="L1056" s="4">
        <f>IF(A1056&gt;'Yield Curve'!A1670,L1055,(1+VLOOKUP(A1056,'Yield Curve'!A1049:B1671,2,FALSE))^(1/12)-1)</f>
        <v>7.9741404289037643E-3</v>
      </c>
      <c r="M1056" s="5">
        <f t="shared" si="151"/>
        <v>-12.289289814238741</v>
      </c>
    </row>
    <row r="1057" spans="1:13" x14ac:dyDescent="0.25">
      <c r="A1057" s="4">
        <v>1049</v>
      </c>
      <c r="B1057" s="4">
        <f t="shared" si="144"/>
        <v>132</v>
      </c>
      <c r="C1057" s="4">
        <f t="shared" si="145"/>
        <v>1064</v>
      </c>
      <c r="D1057" s="4">
        <f>IF(B1057&gt;'Mortality Table'!$A$118,D1056,VLOOKUP(B1057,'Mortality Table'!$A$2:$B$118,2,FALSE))</f>
        <v>0.59733000000000003</v>
      </c>
      <c r="E1057" s="4">
        <f>IF(INT((C1057-1)/12)+1&gt;'Lapse Table'!$A$11,E1056,VLOOKUP(INT((C1057-1)/12)+1,'Lapse Table'!$A$2:$B$11,2,FALSE))/12</f>
        <v>0</v>
      </c>
      <c r="F1057" s="5">
        <f t="shared" si="152"/>
        <v>-25.904697365620965</v>
      </c>
      <c r="G1057" s="6">
        <f t="shared" si="146"/>
        <v>4.9777500000000002E-2</v>
      </c>
      <c r="H1057" s="6">
        <f t="shared" si="147"/>
        <v>0</v>
      </c>
      <c r="I1057" s="7">
        <f t="shared" si="148"/>
        <v>-863.48991218736546</v>
      </c>
      <c r="J1057" s="8">
        <f t="shared" si="149"/>
        <v>49777.5</v>
      </c>
      <c r="K1057" s="7">
        <f t="shared" si="150"/>
        <v>-50640.989912187368</v>
      </c>
      <c r="L1057" s="4">
        <f>IF(A1057&gt;'Yield Curve'!A1671,L1056,(1+VLOOKUP(A1057,'Yield Curve'!A1050:B1672,2,FALSE))^(1/12)-1)</f>
        <v>7.9741404289037643E-3</v>
      </c>
      <c r="M1057" s="5">
        <f t="shared" si="151"/>
        <v>-12.192468033247266</v>
      </c>
    </row>
    <row r="1058" spans="1:13" x14ac:dyDescent="0.25">
      <c r="A1058" s="4">
        <v>1050</v>
      </c>
      <c r="B1058" s="4">
        <f t="shared" si="144"/>
        <v>132</v>
      </c>
      <c r="C1058" s="4">
        <f t="shared" si="145"/>
        <v>1065</v>
      </c>
      <c r="D1058" s="4">
        <f>IF(B1058&gt;'Mortality Table'!$A$118,D1057,VLOOKUP(B1058,'Mortality Table'!$A$2:$B$118,2,FALSE))</f>
        <v>0.59733000000000003</v>
      </c>
      <c r="E1058" s="4">
        <f>IF(INT((C1058-1)/12)+1&gt;'Lapse Table'!$A$11,E1057,VLOOKUP(INT((C1058-1)/12)+1,'Lapse Table'!$A$2:$B$11,2,FALSE))/12</f>
        <v>0</v>
      </c>
      <c r="F1058" s="5">
        <f t="shared" si="152"/>
        <v>-25.954474865620966</v>
      </c>
      <c r="G1058" s="6">
        <f t="shared" si="146"/>
        <v>4.9777500000000002E-2</v>
      </c>
      <c r="H1058" s="6">
        <f t="shared" si="147"/>
        <v>0</v>
      </c>
      <c r="I1058" s="7">
        <f t="shared" si="148"/>
        <v>-865.14916218736562</v>
      </c>
      <c r="J1058" s="8">
        <f t="shared" si="149"/>
        <v>49777.5</v>
      </c>
      <c r="K1058" s="7">
        <f t="shared" si="150"/>
        <v>-50642.649162187365</v>
      </c>
      <c r="L1058" s="4">
        <f>IF(A1058&gt;'Yield Curve'!A1672,L1057,(1+VLOOKUP(A1058,'Yield Curve'!A1051:B1673,2,FALSE))^(1/12)-1)</f>
        <v>7.9741404289037643E-3</v>
      </c>
      <c r="M1058" s="5">
        <f t="shared" si="151"/>
        <v>-12.09640905448661</v>
      </c>
    </row>
    <row r="1059" spans="1:13" x14ac:dyDescent="0.25">
      <c r="A1059" s="4">
        <v>1051</v>
      </c>
      <c r="B1059" s="4">
        <f t="shared" si="144"/>
        <v>132</v>
      </c>
      <c r="C1059" s="4">
        <f t="shared" si="145"/>
        <v>1066</v>
      </c>
      <c r="D1059" s="4">
        <f>IF(B1059&gt;'Mortality Table'!$A$118,D1058,VLOOKUP(B1059,'Mortality Table'!$A$2:$B$118,2,FALSE))</f>
        <v>0.59733000000000003</v>
      </c>
      <c r="E1059" s="4">
        <f>IF(INT((C1059-1)/12)+1&gt;'Lapse Table'!$A$11,E1058,VLOOKUP(INT((C1059-1)/12)+1,'Lapse Table'!$A$2:$B$11,2,FALSE))/12</f>
        <v>0</v>
      </c>
      <c r="F1059" s="5">
        <f t="shared" si="152"/>
        <v>-26.004252365620967</v>
      </c>
      <c r="G1059" s="6">
        <f t="shared" si="146"/>
        <v>4.9777500000000002E-2</v>
      </c>
      <c r="H1059" s="6">
        <f t="shared" si="147"/>
        <v>0</v>
      </c>
      <c r="I1059" s="7">
        <f t="shared" si="148"/>
        <v>-866.80841218736566</v>
      </c>
      <c r="J1059" s="8">
        <f t="shared" si="149"/>
        <v>49777.5</v>
      </c>
      <c r="K1059" s="7">
        <f t="shared" si="150"/>
        <v>-50644.308412187369</v>
      </c>
      <c r="L1059" s="4">
        <f>IF(A1059&gt;'Yield Curve'!A1673,L1058,(1+VLOOKUP(A1059,'Yield Curve'!A1052:B1674,2,FALSE))^(1/12)-1)</f>
        <v>7.9741404289037643E-3</v>
      </c>
      <c r="M1059" s="5">
        <f t="shared" si="151"/>
        <v>-12.001106868386932</v>
      </c>
    </row>
    <row r="1060" spans="1:13" x14ac:dyDescent="0.25">
      <c r="A1060" s="4">
        <v>1052</v>
      </c>
      <c r="B1060" s="4">
        <f t="shared" si="144"/>
        <v>132</v>
      </c>
      <c r="C1060" s="4">
        <f t="shared" si="145"/>
        <v>1067</v>
      </c>
      <c r="D1060" s="4">
        <f>IF(B1060&gt;'Mortality Table'!$A$118,D1059,VLOOKUP(B1060,'Mortality Table'!$A$2:$B$118,2,FALSE))</f>
        <v>0.59733000000000003</v>
      </c>
      <c r="E1060" s="4">
        <f>IF(INT((C1060-1)/12)+1&gt;'Lapse Table'!$A$11,E1059,VLOOKUP(INT((C1060-1)/12)+1,'Lapse Table'!$A$2:$B$11,2,FALSE))/12</f>
        <v>0</v>
      </c>
      <c r="F1060" s="5">
        <f t="shared" si="152"/>
        <v>-26.054029865620969</v>
      </c>
      <c r="G1060" s="6">
        <f t="shared" si="146"/>
        <v>4.9777500000000002E-2</v>
      </c>
      <c r="H1060" s="6">
        <f t="shared" si="147"/>
        <v>0</v>
      </c>
      <c r="I1060" s="7">
        <f t="shared" si="148"/>
        <v>-868.46766218736559</v>
      </c>
      <c r="J1060" s="8">
        <f t="shared" si="149"/>
        <v>49777.5</v>
      </c>
      <c r="K1060" s="7">
        <f t="shared" si="150"/>
        <v>-50645.967662187366</v>
      </c>
      <c r="L1060" s="4">
        <f>IF(A1060&gt;'Yield Curve'!A1674,L1059,(1+VLOOKUP(A1060,'Yield Curve'!A1053:B1675,2,FALSE))^(1/12)-1)</f>
        <v>7.9741404289037643E-3</v>
      </c>
      <c r="M1060" s="5">
        <f t="shared" si="151"/>
        <v>-11.906555512722635</v>
      </c>
    </row>
    <row r="1061" spans="1:13" x14ac:dyDescent="0.25">
      <c r="A1061" s="4">
        <v>1053</v>
      </c>
      <c r="B1061" s="4">
        <f t="shared" si="144"/>
        <v>132</v>
      </c>
      <c r="C1061" s="4">
        <f t="shared" si="145"/>
        <v>1068</v>
      </c>
      <c r="D1061" s="4">
        <f>IF(B1061&gt;'Mortality Table'!$A$118,D1060,VLOOKUP(B1061,'Mortality Table'!$A$2:$B$118,2,FALSE))</f>
        <v>0.59733000000000003</v>
      </c>
      <c r="E1061" s="4">
        <f>IF(INT((C1061-1)/12)+1&gt;'Lapse Table'!$A$11,E1060,VLOOKUP(INT((C1061-1)/12)+1,'Lapse Table'!$A$2:$B$11,2,FALSE))/12</f>
        <v>0</v>
      </c>
      <c r="F1061" s="5">
        <f t="shared" si="152"/>
        <v>-26.10380736562097</v>
      </c>
      <c r="G1061" s="6">
        <f t="shared" si="146"/>
        <v>4.9777500000000002E-2</v>
      </c>
      <c r="H1061" s="6">
        <f t="shared" si="147"/>
        <v>0</v>
      </c>
      <c r="I1061" s="7">
        <f t="shared" si="148"/>
        <v>-870.12691218736563</v>
      </c>
      <c r="J1061" s="8">
        <f t="shared" si="149"/>
        <v>49777.5</v>
      </c>
      <c r="K1061" s="7">
        <f t="shared" si="150"/>
        <v>-50647.626912187363</v>
      </c>
      <c r="L1061" s="4">
        <f>IF(A1061&gt;'Yield Curve'!A1675,L1060,(1+VLOOKUP(A1061,'Yield Curve'!A1054:B1676,2,FALSE))^(1/12)-1)</f>
        <v>7.9741404289037643E-3</v>
      </c>
      <c r="M1061" s="5">
        <f t="shared" si="151"/>
        <v>-11.812749072239416</v>
      </c>
    </row>
    <row r="1062" spans="1:13" x14ac:dyDescent="0.25">
      <c r="A1062" s="4">
        <v>1054</v>
      </c>
      <c r="B1062" s="4">
        <f t="shared" si="144"/>
        <v>132</v>
      </c>
      <c r="C1062" s="4">
        <f t="shared" si="145"/>
        <v>1069</v>
      </c>
      <c r="D1062" s="4">
        <f>IF(B1062&gt;'Mortality Table'!$A$118,D1061,VLOOKUP(B1062,'Mortality Table'!$A$2:$B$118,2,FALSE))</f>
        <v>0.59733000000000003</v>
      </c>
      <c r="E1062" s="4">
        <f>IF(INT((C1062-1)/12)+1&gt;'Lapse Table'!$A$11,E1061,VLOOKUP(INT((C1062-1)/12)+1,'Lapse Table'!$A$2:$B$11,2,FALSE))/12</f>
        <v>0</v>
      </c>
      <c r="F1062" s="5">
        <f t="shared" si="152"/>
        <v>-26.153584865620971</v>
      </c>
      <c r="G1062" s="6">
        <f t="shared" si="146"/>
        <v>4.9777500000000002E-2</v>
      </c>
      <c r="H1062" s="6">
        <f t="shared" si="147"/>
        <v>0</v>
      </c>
      <c r="I1062" s="7">
        <f t="shared" si="148"/>
        <v>-871.78616218736568</v>
      </c>
      <c r="J1062" s="8">
        <f t="shared" si="149"/>
        <v>49777.5</v>
      </c>
      <c r="K1062" s="7">
        <f t="shared" si="150"/>
        <v>-50649.286162187367</v>
      </c>
      <c r="L1062" s="4">
        <f>IF(A1062&gt;'Yield Curve'!A1676,L1061,(1+VLOOKUP(A1062,'Yield Curve'!A1055:B1677,2,FALSE))^(1/12)-1)</f>
        <v>7.9741404289037643E-3</v>
      </c>
      <c r="M1062" s="5">
        <f t="shared" si="151"/>
        <v>-11.719681678284202</v>
      </c>
    </row>
    <row r="1063" spans="1:13" x14ac:dyDescent="0.25">
      <c r="A1063" s="4">
        <v>1055</v>
      </c>
      <c r="B1063" s="4">
        <f t="shared" si="144"/>
        <v>132</v>
      </c>
      <c r="C1063" s="4">
        <f t="shared" si="145"/>
        <v>1070</v>
      </c>
      <c r="D1063" s="4">
        <f>IF(B1063&gt;'Mortality Table'!$A$118,D1062,VLOOKUP(B1063,'Mortality Table'!$A$2:$B$118,2,FALSE))</f>
        <v>0.59733000000000003</v>
      </c>
      <c r="E1063" s="4">
        <f>IF(INT((C1063-1)/12)+1&gt;'Lapse Table'!$A$11,E1062,VLOOKUP(INT((C1063-1)/12)+1,'Lapse Table'!$A$2:$B$11,2,FALSE))/12</f>
        <v>0</v>
      </c>
      <c r="F1063" s="5">
        <f t="shared" si="152"/>
        <v>-26.203362365620972</v>
      </c>
      <c r="G1063" s="6">
        <f t="shared" si="146"/>
        <v>4.9777500000000002E-2</v>
      </c>
      <c r="H1063" s="6">
        <f t="shared" si="147"/>
        <v>0</v>
      </c>
      <c r="I1063" s="7">
        <f t="shared" si="148"/>
        <v>-873.44541218736583</v>
      </c>
      <c r="J1063" s="8">
        <f t="shared" si="149"/>
        <v>49777.5</v>
      </c>
      <c r="K1063" s="7">
        <f t="shared" si="150"/>
        <v>-50650.945412187364</v>
      </c>
      <c r="L1063" s="4">
        <f>IF(A1063&gt;'Yield Curve'!A1677,L1062,(1+VLOOKUP(A1063,'Yield Curve'!A1056:B1678,2,FALSE))^(1/12)-1)</f>
        <v>7.9741404289037643E-3</v>
      </c>
      <c r="M1063" s="5">
        <f t="shared" si="151"/>
        <v>-11.627347508438026</v>
      </c>
    </row>
    <row r="1064" spans="1:13" x14ac:dyDescent="0.25">
      <c r="A1064" s="4">
        <v>1056</v>
      </c>
      <c r="B1064" s="4">
        <f t="shared" si="144"/>
        <v>133</v>
      </c>
      <c r="C1064" s="4">
        <f t="shared" si="145"/>
        <v>1071</v>
      </c>
      <c r="D1064" s="4">
        <f>IF(B1064&gt;'Mortality Table'!$A$118,D1063,VLOOKUP(B1064,'Mortality Table'!$A$2:$B$118,2,FALSE))</f>
        <v>0.59733000000000003</v>
      </c>
      <c r="E1064" s="4">
        <f>IF(INT((C1064-1)/12)+1&gt;'Lapse Table'!$A$11,E1063,VLOOKUP(INT((C1064-1)/12)+1,'Lapse Table'!$A$2:$B$11,2,FALSE))/12</f>
        <v>0</v>
      </c>
      <c r="F1064" s="5">
        <f t="shared" si="152"/>
        <v>-26.253139865620973</v>
      </c>
      <c r="G1064" s="6">
        <f t="shared" si="146"/>
        <v>4.9777500000000002E-2</v>
      </c>
      <c r="H1064" s="6">
        <f t="shared" si="147"/>
        <v>0</v>
      </c>
      <c r="I1064" s="7">
        <f t="shared" si="148"/>
        <v>-875.10466218736576</v>
      </c>
      <c r="J1064" s="8">
        <f t="shared" si="149"/>
        <v>49777.5</v>
      </c>
      <c r="K1064" s="7">
        <f t="shared" si="150"/>
        <v>-50652.604662187368</v>
      </c>
      <c r="L1064" s="4">
        <f>IF(A1064&gt;'Yield Curve'!A1678,L1063,(1+VLOOKUP(A1064,'Yield Curve'!A1057:B1679,2,FALSE))^(1/12)-1)</f>
        <v>7.9741404289037643E-3</v>
      </c>
      <c r="M1064" s="5">
        <f t="shared" si="151"/>
        <v>-11.535740786151813</v>
      </c>
    </row>
    <row r="1065" spans="1:13" x14ac:dyDescent="0.25">
      <c r="A1065" s="4">
        <v>1057</v>
      </c>
      <c r="B1065" s="4">
        <f t="shared" si="144"/>
        <v>133</v>
      </c>
      <c r="C1065" s="4">
        <f t="shared" si="145"/>
        <v>1072</v>
      </c>
      <c r="D1065" s="4">
        <f>IF(B1065&gt;'Mortality Table'!$A$118,D1064,VLOOKUP(B1065,'Mortality Table'!$A$2:$B$118,2,FALSE))</f>
        <v>0.59733000000000003</v>
      </c>
      <c r="E1065" s="4">
        <f>IF(INT((C1065-1)/12)+1&gt;'Lapse Table'!$A$11,E1064,VLOOKUP(INT((C1065-1)/12)+1,'Lapse Table'!$A$2:$B$11,2,FALSE))/12</f>
        <v>0</v>
      </c>
      <c r="F1065" s="5">
        <f t="shared" si="152"/>
        <v>-26.302917365620974</v>
      </c>
      <c r="G1065" s="6">
        <f t="shared" si="146"/>
        <v>4.9777500000000002E-2</v>
      </c>
      <c r="H1065" s="6">
        <f t="shared" si="147"/>
        <v>0</v>
      </c>
      <c r="I1065" s="7">
        <f t="shared" si="148"/>
        <v>-876.7639121873658</v>
      </c>
      <c r="J1065" s="8">
        <f t="shared" si="149"/>
        <v>49777.5</v>
      </c>
      <c r="K1065" s="7">
        <f t="shared" si="150"/>
        <v>-50654.263912187365</v>
      </c>
      <c r="L1065" s="4">
        <f>IF(A1065&gt;'Yield Curve'!A1679,L1064,(1+VLOOKUP(A1065,'Yield Curve'!A1058:B1680,2,FALSE))^(1/12)-1)</f>
        <v>7.9741404289037643E-3</v>
      </c>
      <c r="M1065" s="5">
        <f t="shared" si="151"/>
        <v>-11.444855780385002</v>
      </c>
    </row>
    <row r="1066" spans="1:13" x14ac:dyDescent="0.25">
      <c r="A1066" s="4">
        <v>1058</v>
      </c>
      <c r="B1066" s="4">
        <f t="shared" si="144"/>
        <v>133</v>
      </c>
      <c r="C1066" s="4">
        <f t="shared" si="145"/>
        <v>1073</v>
      </c>
      <c r="D1066" s="4">
        <f>IF(B1066&gt;'Mortality Table'!$A$118,D1065,VLOOKUP(B1066,'Mortality Table'!$A$2:$B$118,2,FALSE))</f>
        <v>0.59733000000000003</v>
      </c>
      <c r="E1066" s="4">
        <f>IF(INT((C1066-1)/12)+1&gt;'Lapse Table'!$A$11,E1065,VLOOKUP(INT((C1066-1)/12)+1,'Lapse Table'!$A$2:$B$11,2,FALSE))/12</f>
        <v>0</v>
      </c>
      <c r="F1066" s="5">
        <f t="shared" si="152"/>
        <v>-26.352694865620975</v>
      </c>
      <c r="G1066" s="6">
        <f t="shared" si="146"/>
        <v>4.9777500000000002E-2</v>
      </c>
      <c r="H1066" s="6">
        <f t="shared" si="147"/>
        <v>0</v>
      </c>
      <c r="I1066" s="7">
        <f t="shared" si="148"/>
        <v>-878.42316218736585</v>
      </c>
      <c r="J1066" s="8">
        <f t="shared" si="149"/>
        <v>49777.5</v>
      </c>
      <c r="K1066" s="7">
        <f t="shared" si="150"/>
        <v>-50655.923162187362</v>
      </c>
      <c r="L1066" s="4">
        <f>IF(A1066&gt;'Yield Curve'!A1680,L1065,(1+VLOOKUP(A1066,'Yield Curve'!A1059:B1681,2,FALSE))^(1/12)-1)</f>
        <v>7.9741404289037643E-3</v>
      </c>
      <c r="M1066" s="5">
        <f t="shared" si="151"/>
        <v>-11.354686805247033</v>
      </c>
    </row>
    <row r="1067" spans="1:13" x14ac:dyDescent="0.25">
      <c r="A1067" s="4">
        <v>1059</v>
      </c>
      <c r="B1067" s="4">
        <f t="shared" si="144"/>
        <v>133</v>
      </c>
      <c r="C1067" s="4">
        <f t="shared" si="145"/>
        <v>1074</v>
      </c>
      <c r="D1067" s="4">
        <f>IF(B1067&gt;'Mortality Table'!$A$118,D1066,VLOOKUP(B1067,'Mortality Table'!$A$2:$B$118,2,FALSE))</f>
        <v>0.59733000000000003</v>
      </c>
      <c r="E1067" s="4">
        <f>IF(INT((C1067-1)/12)+1&gt;'Lapse Table'!$A$11,E1066,VLOOKUP(INT((C1067-1)/12)+1,'Lapse Table'!$A$2:$B$11,2,FALSE))/12</f>
        <v>0</v>
      </c>
      <c r="F1067" s="5">
        <f t="shared" si="152"/>
        <v>-26.402472365620977</v>
      </c>
      <c r="G1067" s="6">
        <f t="shared" si="146"/>
        <v>4.9777500000000002E-2</v>
      </c>
      <c r="H1067" s="6">
        <f t="shared" si="147"/>
        <v>0</v>
      </c>
      <c r="I1067" s="7">
        <f t="shared" si="148"/>
        <v>-880.08241218736578</v>
      </c>
      <c r="J1067" s="8">
        <f t="shared" si="149"/>
        <v>49777.5</v>
      </c>
      <c r="K1067" s="7">
        <f t="shared" si="150"/>
        <v>-50657.582412187367</v>
      </c>
      <c r="L1067" s="4">
        <f>IF(A1067&gt;'Yield Curve'!A1681,L1066,(1+VLOOKUP(A1067,'Yield Curve'!A1060:B1682,2,FALSE))^(1/12)-1)</f>
        <v>7.9741404289037643E-3</v>
      </c>
      <c r="M1067" s="5">
        <f t="shared" si="151"/>
        <v>-11.265228219641651</v>
      </c>
    </row>
    <row r="1068" spans="1:13" x14ac:dyDescent="0.25">
      <c r="A1068" s="4">
        <v>1060</v>
      </c>
      <c r="B1068" s="4">
        <f t="shared" si="144"/>
        <v>133</v>
      </c>
      <c r="C1068" s="4">
        <f t="shared" si="145"/>
        <v>1075</v>
      </c>
      <c r="D1068" s="4">
        <f>IF(B1068&gt;'Mortality Table'!$A$118,D1067,VLOOKUP(B1068,'Mortality Table'!$A$2:$B$118,2,FALSE))</f>
        <v>0.59733000000000003</v>
      </c>
      <c r="E1068" s="4">
        <f>IF(INT((C1068-1)/12)+1&gt;'Lapse Table'!$A$11,E1067,VLOOKUP(INT((C1068-1)/12)+1,'Lapse Table'!$A$2:$B$11,2,FALSE))/12</f>
        <v>0</v>
      </c>
      <c r="F1068" s="5">
        <f t="shared" si="152"/>
        <v>-26.452249865620978</v>
      </c>
      <c r="G1068" s="6">
        <f t="shared" si="146"/>
        <v>4.9777500000000002E-2</v>
      </c>
      <c r="H1068" s="6">
        <f t="shared" si="147"/>
        <v>0</v>
      </c>
      <c r="I1068" s="7">
        <f t="shared" si="148"/>
        <v>-881.74166218736593</v>
      </c>
      <c r="J1068" s="8">
        <f t="shared" si="149"/>
        <v>49777.5</v>
      </c>
      <c r="K1068" s="7">
        <f t="shared" si="150"/>
        <v>-50659.241662187364</v>
      </c>
      <c r="L1068" s="4">
        <f>IF(A1068&gt;'Yield Curve'!A1682,L1067,(1+VLOOKUP(A1068,'Yield Curve'!A1061:B1683,2,FALSE))^(1/12)-1)</f>
        <v>7.9741404289037643E-3</v>
      </c>
      <c r="M1068" s="5">
        <f t="shared" si="151"/>
        <v>-11.176474426914016</v>
      </c>
    </row>
    <row r="1069" spans="1:13" x14ac:dyDescent="0.25">
      <c r="A1069" s="4">
        <v>1061</v>
      </c>
      <c r="B1069" s="4">
        <f t="shared" si="144"/>
        <v>133</v>
      </c>
      <c r="C1069" s="4">
        <f t="shared" si="145"/>
        <v>1076</v>
      </c>
      <c r="D1069" s="4">
        <f>IF(B1069&gt;'Mortality Table'!$A$118,D1068,VLOOKUP(B1069,'Mortality Table'!$A$2:$B$118,2,FALSE))</f>
        <v>0.59733000000000003</v>
      </c>
      <c r="E1069" s="4">
        <f>IF(INT((C1069-1)/12)+1&gt;'Lapse Table'!$A$11,E1068,VLOOKUP(INT((C1069-1)/12)+1,'Lapse Table'!$A$2:$B$11,2,FALSE))/12</f>
        <v>0</v>
      </c>
      <c r="F1069" s="5">
        <f t="shared" si="152"/>
        <v>-26.502027365620979</v>
      </c>
      <c r="G1069" s="6">
        <f t="shared" si="146"/>
        <v>4.9777500000000002E-2</v>
      </c>
      <c r="H1069" s="6">
        <f t="shared" si="147"/>
        <v>0</v>
      </c>
      <c r="I1069" s="7">
        <f t="shared" si="148"/>
        <v>-883.40091218736598</v>
      </c>
      <c r="J1069" s="8">
        <f t="shared" si="149"/>
        <v>49777.5</v>
      </c>
      <c r="K1069" s="7">
        <f t="shared" si="150"/>
        <v>-50660.900912187368</v>
      </c>
      <c r="L1069" s="4">
        <f>IF(A1069&gt;'Yield Curve'!A1683,L1068,(1+VLOOKUP(A1069,'Yield Curve'!A1062:B1684,2,FALSE))^(1/12)-1)</f>
        <v>7.9741404289037643E-3</v>
      </c>
      <c r="M1069" s="5">
        <f t="shared" si="151"/>
        <v>-11.088419874500607</v>
      </c>
    </row>
    <row r="1070" spans="1:13" x14ac:dyDescent="0.25">
      <c r="A1070" s="4">
        <v>1062</v>
      </c>
      <c r="B1070" s="4">
        <f t="shared" si="144"/>
        <v>133</v>
      </c>
      <c r="C1070" s="4">
        <f t="shared" si="145"/>
        <v>1077</v>
      </c>
      <c r="D1070" s="4">
        <f>IF(B1070&gt;'Mortality Table'!$A$118,D1069,VLOOKUP(B1070,'Mortality Table'!$A$2:$B$118,2,FALSE))</f>
        <v>0.59733000000000003</v>
      </c>
      <c r="E1070" s="4">
        <f>IF(INT((C1070-1)/12)+1&gt;'Lapse Table'!$A$11,E1069,VLOOKUP(INT((C1070-1)/12)+1,'Lapse Table'!$A$2:$B$11,2,FALSE))/12</f>
        <v>0</v>
      </c>
      <c r="F1070" s="5">
        <f t="shared" si="152"/>
        <v>-26.55180486562098</v>
      </c>
      <c r="G1070" s="6">
        <f t="shared" si="146"/>
        <v>4.9777500000000002E-2</v>
      </c>
      <c r="H1070" s="6">
        <f t="shared" si="147"/>
        <v>0</v>
      </c>
      <c r="I1070" s="7">
        <f t="shared" si="148"/>
        <v>-885.06016218736602</v>
      </c>
      <c r="J1070" s="8">
        <f t="shared" si="149"/>
        <v>49777.5</v>
      </c>
      <c r="K1070" s="7">
        <f t="shared" si="150"/>
        <v>-50662.560162187365</v>
      </c>
      <c r="L1070" s="4">
        <f>IF(A1070&gt;'Yield Curve'!A1684,L1069,(1+VLOOKUP(A1070,'Yield Curve'!A1063:B1685,2,FALSE))^(1/12)-1)</f>
        <v>7.9741404289037643E-3</v>
      </c>
      <c r="M1070" s="5">
        <f t="shared" si="151"/>
        <v>-11.00105905358185</v>
      </c>
    </row>
    <row r="1071" spans="1:13" x14ac:dyDescent="0.25">
      <c r="A1071" s="4">
        <v>1063</v>
      </c>
      <c r="B1071" s="4">
        <f t="shared" si="144"/>
        <v>133</v>
      </c>
      <c r="C1071" s="4">
        <f t="shared" si="145"/>
        <v>1078</v>
      </c>
      <c r="D1071" s="4">
        <f>IF(B1071&gt;'Mortality Table'!$A$118,D1070,VLOOKUP(B1071,'Mortality Table'!$A$2:$B$118,2,FALSE))</f>
        <v>0.59733000000000003</v>
      </c>
      <c r="E1071" s="4">
        <f>IF(INT((C1071-1)/12)+1&gt;'Lapse Table'!$A$11,E1070,VLOOKUP(INT((C1071-1)/12)+1,'Lapse Table'!$A$2:$B$11,2,FALSE))/12</f>
        <v>0</v>
      </c>
      <c r="F1071" s="5">
        <f t="shared" si="152"/>
        <v>-26.601582365620981</v>
      </c>
      <c r="G1071" s="6">
        <f t="shared" si="146"/>
        <v>4.9777500000000002E-2</v>
      </c>
      <c r="H1071" s="6">
        <f t="shared" si="147"/>
        <v>0</v>
      </c>
      <c r="I1071" s="7">
        <f t="shared" si="148"/>
        <v>-886.71941218736595</v>
      </c>
      <c r="J1071" s="8">
        <f t="shared" si="149"/>
        <v>49777.5</v>
      </c>
      <c r="K1071" s="7">
        <f t="shared" si="150"/>
        <v>-50664.219412187369</v>
      </c>
      <c r="L1071" s="4">
        <f>IF(A1071&gt;'Yield Curve'!A1685,L1070,(1+VLOOKUP(A1071,'Yield Curve'!A1064:B1686,2,FALSE))^(1/12)-1)</f>
        <v>7.9741404289037643E-3</v>
      </c>
      <c r="M1071" s="5">
        <f t="shared" si="151"/>
        <v>-10.914386498737514</v>
      </c>
    </row>
    <row r="1072" spans="1:13" x14ac:dyDescent="0.25">
      <c r="A1072" s="4">
        <v>1064</v>
      </c>
      <c r="B1072" s="4">
        <f t="shared" si="144"/>
        <v>133</v>
      </c>
      <c r="C1072" s="4">
        <f t="shared" si="145"/>
        <v>1079</v>
      </c>
      <c r="D1072" s="4">
        <f>IF(B1072&gt;'Mortality Table'!$A$118,D1071,VLOOKUP(B1072,'Mortality Table'!$A$2:$B$118,2,FALSE))</f>
        <v>0.59733000000000003</v>
      </c>
      <c r="E1072" s="4">
        <f>IF(INT((C1072-1)/12)+1&gt;'Lapse Table'!$A$11,E1071,VLOOKUP(INT((C1072-1)/12)+1,'Lapse Table'!$A$2:$B$11,2,FALSE))/12</f>
        <v>0</v>
      </c>
      <c r="F1072" s="5">
        <f t="shared" si="152"/>
        <v>-26.651359865620982</v>
      </c>
      <c r="G1072" s="6">
        <f t="shared" si="146"/>
        <v>4.9777500000000002E-2</v>
      </c>
      <c r="H1072" s="6">
        <f t="shared" si="147"/>
        <v>0</v>
      </c>
      <c r="I1072" s="7">
        <f t="shared" si="148"/>
        <v>-888.3786621873661</v>
      </c>
      <c r="J1072" s="8">
        <f t="shared" si="149"/>
        <v>49777.5</v>
      </c>
      <c r="K1072" s="7">
        <f t="shared" si="150"/>
        <v>-50665.878662187366</v>
      </c>
      <c r="L1072" s="4">
        <f>IF(A1072&gt;'Yield Curve'!A1686,L1071,(1+VLOOKUP(A1072,'Yield Curve'!A1065:B1687,2,FALSE))^(1/12)-1)</f>
        <v>7.9741404289037643E-3</v>
      </c>
      <c r="M1072" s="5">
        <f t="shared" si="151"/>
        <v>-10.828396787604802</v>
      </c>
    </row>
    <row r="1073" spans="1:13" x14ac:dyDescent="0.25">
      <c r="A1073" s="4">
        <v>1065</v>
      </c>
      <c r="B1073" s="4">
        <f t="shared" si="144"/>
        <v>133</v>
      </c>
      <c r="C1073" s="4">
        <f t="shared" si="145"/>
        <v>1080</v>
      </c>
      <c r="D1073" s="4">
        <f>IF(B1073&gt;'Mortality Table'!$A$118,D1072,VLOOKUP(B1073,'Mortality Table'!$A$2:$B$118,2,FALSE))</f>
        <v>0.59733000000000003</v>
      </c>
      <c r="E1073" s="4">
        <f>IF(INT((C1073-1)/12)+1&gt;'Lapse Table'!$A$11,E1072,VLOOKUP(INT((C1073-1)/12)+1,'Lapse Table'!$A$2:$B$11,2,FALSE))/12</f>
        <v>0</v>
      </c>
      <c r="F1073" s="5">
        <f t="shared" si="152"/>
        <v>-26.701137365620983</v>
      </c>
      <c r="G1073" s="6">
        <f t="shared" si="146"/>
        <v>4.9777500000000002E-2</v>
      </c>
      <c r="H1073" s="6">
        <f t="shared" si="147"/>
        <v>0</v>
      </c>
      <c r="I1073" s="7">
        <f t="shared" si="148"/>
        <v>-890.03791218736615</v>
      </c>
      <c r="J1073" s="8">
        <f t="shared" si="149"/>
        <v>49777.5</v>
      </c>
      <c r="K1073" s="7">
        <f t="shared" si="150"/>
        <v>-50667.537912187363</v>
      </c>
      <c r="L1073" s="4">
        <f>IF(A1073&gt;'Yield Curve'!A1687,L1072,(1+VLOOKUP(A1073,'Yield Curve'!A1066:B1688,2,FALSE))^(1/12)-1)</f>
        <v>7.9741404289037643E-3</v>
      </c>
      <c r="M1073" s="5">
        <f t="shared" si="151"/>
        <v>-10.743084540539156</v>
      </c>
    </row>
    <row r="1074" spans="1:13" x14ac:dyDescent="0.25">
      <c r="A1074" s="4">
        <v>1066</v>
      </c>
      <c r="B1074" s="4">
        <f t="shared" si="144"/>
        <v>133</v>
      </c>
      <c r="C1074" s="4">
        <f t="shared" si="145"/>
        <v>1081</v>
      </c>
      <c r="D1074" s="4">
        <f>IF(B1074&gt;'Mortality Table'!$A$118,D1073,VLOOKUP(B1074,'Mortality Table'!$A$2:$B$118,2,FALSE))</f>
        <v>0.59733000000000003</v>
      </c>
      <c r="E1074" s="4">
        <f>IF(INT((C1074-1)/12)+1&gt;'Lapse Table'!$A$11,E1073,VLOOKUP(INT((C1074-1)/12)+1,'Lapse Table'!$A$2:$B$11,2,FALSE))/12</f>
        <v>0</v>
      </c>
      <c r="F1074" s="5">
        <f t="shared" si="152"/>
        <v>-26.750914865620985</v>
      </c>
      <c r="G1074" s="6">
        <f t="shared" si="146"/>
        <v>4.9777500000000002E-2</v>
      </c>
      <c r="H1074" s="6">
        <f t="shared" si="147"/>
        <v>0</v>
      </c>
      <c r="I1074" s="7">
        <f t="shared" si="148"/>
        <v>-891.69716218736619</v>
      </c>
      <c r="J1074" s="8">
        <f t="shared" si="149"/>
        <v>49777.5</v>
      </c>
      <c r="K1074" s="7">
        <f t="shared" si="150"/>
        <v>-50669.197162187367</v>
      </c>
      <c r="L1074" s="4">
        <f>IF(A1074&gt;'Yield Curve'!A1688,L1073,(1+VLOOKUP(A1074,'Yield Curve'!A1067:B1689,2,FALSE))^(1/12)-1)</f>
        <v>7.9741404289037643E-3</v>
      </c>
      <c r="M1074" s="5">
        <f t="shared" si="151"/>
        <v>-10.658444420277718</v>
      </c>
    </row>
    <row r="1075" spans="1:13" x14ac:dyDescent="0.25">
      <c r="A1075" s="4">
        <v>1067</v>
      </c>
      <c r="B1075" s="4">
        <f t="shared" si="144"/>
        <v>133</v>
      </c>
      <c r="C1075" s="4">
        <f t="shared" si="145"/>
        <v>1082</v>
      </c>
      <c r="D1075" s="4">
        <f>IF(B1075&gt;'Mortality Table'!$A$118,D1074,VLOOKUP(B1075,'Mortality Table'!$A$2:$B$118,2,FALSE))</f>
        <v>0.59733000000000003</v>
      </c>
      <c r="E1075" s="4">
        <f>IF(INT((C1075-1)/12)+1&gt;'Lapse Table'!$A$11,E1074,VLOOKUP(INT((C1075-1)/12)+1,'Lapse Table'!$A$2:$B$11,2,FALSE))/12</f>
        <v>0</v>
      </c>
      <c r="F1075" s="5">
        <f t="shared" si="152"/>
        <v>-26.800692365620986</v>
      </c>
      <c r="G1075" s="6">
        <f t="shared" si="146"/>
        <v>4.9777500000000002E-2</v>
      </c>
      <c r="H1075" s="6">
        <f t="shared" si="147"/>
        <v>0</v>
      </c>
      <c r="I1075" s="7">
        <f t="shared" si="148"/>
        <v>-893.35641218736612</v>
      </c>
      <c r="J1075" s="8">
        <f t="shared" si="149"/>
        <v>49777.5</v>
      </c>
      <c r="K1075" s="7">
        <f t="shared" si="150"/>
        <v>-50670.856412187364</v>
      </c>
      <c r="L1075" s="4">
        <f>IF(A1075&gt;'Yield Curve'!A1689,L1074,(1+VLOOKUP(A1075,'Yield Curve'!A1068:B1690,2,FALSE))^(1/12)-1)</f>
        <v>7.9741404289037643E-3</v>
      </c>
      <c r="M1075" s="5">
        <f t="shared" si="151"/>
        <v>-10.57447113160543</v>
      </c>
    </row>
    <row r="1076" spans="1:13" x14ac:dyDescent="0.25">
      <c r="A1076" s="4">
        <v>1068</v>
      </c>
      <c r="B1076" s="4">
        <f t="shared" si="144"/>
        <v>134</v>
      </c>
      <c r="C1076" s="4">
        <f t="shared" si="145"/>
        <v>1083</v>
      </c>
      <c r="D1076" s="4">
        <f>IF(B1076&gt;'Mortality Table'!$A$118,D1075,VLOOKUP(B1076,'Mortality Table'!$A$2:$B$118,2,FALSE))</f>
        <v>0.59733000000000003</v>
      </c>
      <c r="E1076" s="4">
        <f>IF(INT((C1076-1)/12)+1&gt;'Lapse Table'!$A$11,E1075,VLOOKUP(INT((C1076-1)/12)+1,'Lapse Table'!$A$2:$B$11,2,FALSE))/12</f>
        <v>0</v>
      </c>
      <c r="F1076" s="5">
        <f t="shared" si="152"/>
        <v>-26.850469865620987</v>
      </c>
      <c r="G1076" s="6">
        <f t="shared" si="146"/>
        <v>4.9777500000000002E-2</v>
      </c>
      <c r="H1076" s="6">
        <f t="shared" si="147"/>
        <v>0</v>
      </c>
      <c r="I1076" s="7">
        <f t="shared" si="148"/>
        <v>-895.01566218736616</v>
      </c>
      <c r="J1076" s="8">
        <f t="shared" si="149"/>
        <v>49777.5</v>
      </c>
      <c r="K1076" s="7">
        <f t="shared" si="150"/>
        <v>-50672.515662187368</v>
      </c>
      <c r="L1076" s="4">
        <f>IF(A1076&gt;'Yield Curve'!A1690,L1075,(1+VLOOKUP(A1076,'Yield Curve'!A1069:B1691,2,FALSE))^(1/12)-1)</f>
        <v>7.9741404289037643E-3</v>
      </c>
      <c r="M1076" s="5">
        <f t="shared" si="151"/>
        <v>-10.4911594210238</v>
      </c>
    </row>
    <row r="1077" spans="1:13" x14ac:dyDescent="0.25">
      <c r="A1077" s="4">
        <v>1069</v>
      </c>
      <c r="B1077" s="4">
        <f t="shared" si="144"/>
        <v>134</v>
      </c>
      <c r="C1077" s="4">
        <f t="shared" si="145"/>
        <v>1084</v>
      </c>
      <c r="D1077" s="4">
        <f>IF(B1077&gt;'Mortality Table'!$A$118,D1076,VLOOKUP(B1077,'Mortality Table'!$A$2:$B$118,2,FALSE))</f>
        <v>0.59733000000000003</v>
      </c>
      <c r="E1077" s="4">
        <f>IF(INT((C1077-1)/12)+1&gt;'Lapse Table'!$A$11,E1076,VLOOKUP(INT((C1077-1)/12)+1,'Lapse Table'!$A$2:$B$11,2,FALSE))/12</f>
        <v>0</v>
      </c>
      <c r="F1077" s="5">
        <f t="shared" si="152"/>
        <v>-26.900247365620988</v>
      </c>
      <c r="G1077" s="6">
        <f t="shared" si="146"/>
        <v>4.9777500000000002E-2</v>
      </c>
      <c r="H1077" s="6">
        <f t="shared" si="147"/>
        <v>0</v>
      </c>
      <c r="I1077" s="7">
        <f t="shared" si="148"/>
        <v>-896.67491218736632</v>
      </c>
      <c r="J1077" s="8">
        <f t="shared" si="149"/>
        <v>49777.5</v>
      </c>
      <c r="K1077" s="7">
        <f t="shared" si="150"/>
        <v>-50674.174912187365</v>
      </c>
      <c r="L1077" s="4">
        <f>IF(A1077&gt;'Yield Curve'!A1691,L1076,(1+VLOOKUP(A1077,'Yield Curve'!A1070:B1692,2,FALSE))^(1/12)-1)</f>
        <v>7.9741404289037643E-3</v>
      </c>
      <c r="M1077" s="5">
        <f t="shared" si="151"/>
        <v>-10.408504076422258</v>
      </c>
    </row>
    <row r="1078" spans="1:13" x14ac:dyDescent="0.25">
      <c r="A1078" s="4">
        <v>1070</v>
      </c>
      <c r="B1078" s="4">
        <f t="shared" si="144"/>
        <v>134</v>
      </c>
      <c r="C1078" s="4">
        <f t="shared" si="145"/>
        <v>1085</v>
      </c>
      <c r="D1078" s="4">
        <f>IF(B1078&gt;'Mortality Table'!$A$118,D1077,VLOOKUP(B1078,'Mortality Table'!$A$2:$B$118,2,FALSE))</f>
        <v>0.59733000000000003</v>
      </c>
      <c r="E1078" s="4">
        <f>IF(INT((C1078-1)/12)+1&gt;'Lapse Table'!$A$11,E1077,VLOOKUP(INT((C1078-1)/12)+1,'Lapse Table'!$A$2:$B$11,2,FALSE))/12</f>
        <v>0</v>
      </c>
      <c r="F1078" s="5">
        <f t="shared" si="152"/>
        <v>-26.950024865620989</v>
      </c>
      <c r="G1078" s="6">
        <f t="shared" si="146"/>
        <v>4.9777500000000002E-2</v>
      </c>
      <c r="H1078" s="6">
        <f t="shared" si="147"/>
        <v>0</v>
      </c>
      <c r="I1078" s="7">
        <f t="shared" si="148"/>
        <v>-898.33416218736636</v>
      </c>
      <c r="J1078" s="8">
        <f t="shared" si="149"/>
        <v>49777.5</v>
      </c>
      <c r="K1078" s="7">
        <f t="shared" si="150"/>
        <v>-50675.83416218737</v>
      </c>
      <c r="L1078" s="4">
        <f>IF(A1078&gt;'Yield Curve'!A1692,L1077,(1+VLOOKUP(A1078,'Yield Curve'!A1071:B1693,2,FALSE))^(1/12)-1)</f>
        <v>7.9741404289037643E-3</v>
      </c>
      <c r="M1078" s="5">
        <f t="shared" si="151"/>
        <v>-10.326499926752081</v>
      </c>
    </row>
    <row r="1079" spans="1:13" x14ac:dyDescent="0.25">
      <c r="A1079" s="4">
        <v>1071</v>
      </c>
      <c r="B1079" s="4">
        <f t="shared" si="144"/>
        <v>134</v>
      </c>
      <c r="C1079" s="4">
        <f t="shared" si="145"/>
        <v>1086</v>
      </c>
      <c r="D1079" s="4">
        <f>IF(B1079&gt;'Mortality Table'!$A$118,D1078,VLOOKUP(B1079,'Mortality Table'!$A$2:$B$118,2,FALSE))</f>
        <v>0.59733000000000003</v>
      </c>
      <c r="E1079" s="4">
        <f>IF(INT((C1079-1)/12)+1&gt;'Lapse Table'!$A$11,E1078,VLOOKUP(INT((C1079-1)/12)+1,'Lapse Table'!$A$2:$B$11,2,FALSE))/12</f>
        <v>0</v>
      </c>
      <c r="F1079" s="5">
        <f t="shared" si="152"/>
        <v>-26.99980236562099</v>
      </c>
      <c r="G1079" s="6">
        <f t="shared" si="146"/>
        <v>4.9777500000000002E-2</v>
      </c>
      <c r="H1079" s="6">
        <f t="shared" si="147"/>
        <v>0</v>
      </c>
      <c r="I1079" s="7">
        <f t="shared" si="148"/>
        <v>-899.99341218736629</v>
      </c>
      <c r="J1079" s="8">
        <f t="shared" si="149"/>
        <v>49777.5</v>
      </c>
      <c r="K1079" s="7">
        <f t="shared" si="150"/>
        <v>-50677.493412187367</v>
      </c>
      <c r="L1079" s="4">
        <f>IF(A1079&gt;'Yield Curve'!A1693,L1078,(1+VLOOKUP(A1079,'Yield Curve'!A1072:B1694,2,FALSE))^(1/12)-1)</f>
        <v>7.9741404289037643E-3</v>
      </c>
      <c r="M1079" s="5">
        <f t="shared" si="151"/>
        <v>-10.245141841702932</v>
      </c>
    </row>
    <row r="1080" spans="1:13" x14ac:dyDescent="0.25">
      <c r="A1080" s="4">
        <v>1072</v>
      </c>
      <c r="B1080" s="4">
        <f t="shared" si="144"/>
        <v>134</v>
      </c>
      <c r="C1080" s="4">
        <f t="shared" si="145"/>
        <v>1087</v>
      </c>
      <c r="D1080" s="4">
        <f>IF(B1080&gt;'Mortality Table'!$A$118,D1079,VLOOKUP(B1080,'Mortality Table'!$A$2:$B$118,2,FALSE))</f>
        <v>0.59733000000000003</v>
      </c>
      <c r="E1080" s="4">
        <f>IF(INT((C1080-1)/12)+1&gt;'Lapse Table'!$A$11,E1079,VLOOKUP(INT((C1080-1)/12)+1,'Lapse Table'!$A$2:$B$11,2,FALSE))/12</f>
        <v>0</v>
      </c>
      <c r="F1080" s="5">
        <f t="shared" si="152"/>
        <v>-27.049579865620991</v>
      </c>
      <c r="G1080" s="6">
        <f t="shared" si="146"/>
        <v>4.9777500000000002E-2</v>
      </c>
      <c r="H1080" s="6">
        <f t="shared" si="147"/>
        <v>0</v>
      </c>
      <c r="I1080" s="7">
        <f t="shared" si="148"/>
        <v>-901.65266218736633</v>
      </c>
      <c r="J1080" s="8">
        <f t="shared" si="149"/>
        <v>49777.5</v>
      </c>
      <c r="K1080" s="7">
        <f t="shared" si="150"/>
        <v>-50679.152662187364</v>
      </c>
      <c r="L1080" s="4">
        <f>IF(A1080&gt;'Yield Curve'!A1694,L1079,(1+VLOOKUP(A1080,'Yield Curve'!A1073:B1695,2,FALSE))^(1/12)-1)</f>
        <v>7.9741404289037643E-3</v>
      </c>
      <c r="M1080" s="5">
        <f t="shared" si="151"/>
        <v>-10.164424731381894</v>
      </c>
    </row>
    <row r="1081" spans="1:13" x14ac:dyDescent="0.25">
      <c r="A1081" s="4">
        <v>1073</v>
      </c>
      <c r="B1081" s="4">
        <f t="shared" si="144"/>
        <v>134</v>
      </c>
      <c r="C1081" s="4">
        <f t="shared" si="145"/>
        <v>1088</v>
      </c>
      <c r="D1081" s="4">
        <f>IF(B1081&gt;'Mortality Table'!$A$118,D1080,VLOOKUP(B1081,'Mortality Table'!$A$2:$B$118,2,FALSE))</f>
        <v>0.59733000000000003</v>
      </c>
      <c r="E1081" s="4">
        <f>IF(INT((C1081-1)/12)+1&gt;'Lapse Table'!$A$11,E1080,VLOOKUP(INT((C1081-1)/12)+1,'Lapse Table'!$A$2:$B$11,2,FALSE))/12</f>
        <v>0</v>
      </c>
      <c r="F1081" s="5">
        <f t="shared" si="152"/>
        <v>-27.099357365620993</v>
      </c>
      <c r="G1081" s="6">
        <f t="shared" si="146"/>
        <v>4.9777500000000002E-2</v>
      </c>
      <c r="H1081" s="6">
        <f t="shared" si="147"/>
        <v>0</v>
      </c>
      <c r="I1081" s="7">
        <f t="shared" si="148"/>
        <v>-903.31191218736649</v>
      </c>
      <c r="J1081" s="8">
        <f t="shared" si="149"/>
        <v>49777.5</v>
      </c>
      <c r="K1081" s="7">
        <f t="shared" si="150"/>
        <v>-50680.811912187368</v>
      </c>
      <c r="L1081" s="4">
        <f>IF(A1081&gt;'Yield Curve'!A1695,L1080,(1+VLOOKUP(A1081,'Yield Curve'!A1074:B1696,2,FALSE))^(1/12)-1)</f>
        <v>7.9741404289037643E-3</v>
      </c>
      <c r="M1081" s="5">
        <f t="shared" si="151"/>
        <v>-10.084343545995099</v>
      </c>
    </row>
    <row r="1082" spans="1:13" x14ac:dyDescent="0.25">
      <c r="A1082" s="4">
        <v>1074</v>
      </c>
      <c r="B1082" s="4">
        <f t="shared" si="144"/>
        <v>134</v>
      </c>
      <c r="C1082" s="4">
        <f t="shared" si="145"/>
        <v>1089</v>
      </c>
      <c r="D1082" s="4">
        <f>IF(B1082&gt;'Mortality Table'!$A$118,D1081,VLOOKUP(B1082,'Mortality Table'!$A$2:$B$118,2,FALSE))</f>
        <v>0.59733000000000003</v>
      </c>
      <c r="E1082" s="4">
        <f>IF(INT((C1082-1)/12)+1&gt;'Lapse Table'!$A$11,E1081,VLOOKUP(INT((C1082-1)/12)+1,'Lapse Table'!$A$2:$B$11,2,FALSE))/12</f>
        <v>0</v>
      </c>
      <c r="F1082" s="5">
        <f t="shared" si="152"/>
        <v>-27.149134865620994</v>
      </c>
      <c r="G1082" s="6">
        <f t="shared" si="146"/>
        <v>4.9777500000000002E-2</v>
      </c>
      <c r="H1082" s="6">
        <f t="shared" si="147"/>
        <v>0</v>
      </c>
      <c r="I1082" s="7">
        <f t="shared" si="148"/>
        <v>-904.97116218736653</v>
      </c>
      <c r="J1082" s="8">
        <f t="shared" si="149"/>
        <v>49777.5</v>
      </c>
      <c r="K1082" s="7">
        <f t="shared" si="150"/>
        <v>-50682.471162187365</v>
      </c>
      <c r="L1082" s="4">
        <f>IF(A1082&gt;'Yield Curve'!A1696,L1081,(1+VLOOKUP(A1082,'Yield Curve'!A1075:B1697,2,FALSE))^(1/12)-1)</f>
        <v>7.9741404289037643E-3</v>
      </c>
      <c r="M1082" s="5">
        <f t="shared" si="151"/>
        <v>-10.004893275531783</v>
      </c>
    </row>
    <row r="1083" spans="1:13" x14ac:dyDescent="0.25">
      <c r="A1083" s="4">
        <v>1075</v>
      </c>
      <c r="B1083" s="4">
        <f t="shared" si="144"/>
        <v>134</v>
      </c>
      <c r="C1083" s="4">
        <f t="shared" si="145"/>
        <v>1090</v>
      </c>
      <c r="D1083" s="4">
        <f>IF(B1083&gt;'Mortality Table'!$A$118,D1082,VLOOKUP(B1083,'Mortality Table'!$A$2:$B$118,2,FALSE))</f>
        <v>0.59733000000000003</v>
      </c>
      <c r="E1083" s="4">
        <f>IF(INT((C1083-1)/12)+1&gt;'Lapse Table'!$A$11,E1082,VLOOKUP(INT((C1083-1)/12)+1,'Lapse Table'!$A$2:$B$11,2,FALSE))/12</f>
        <v>0</v>
      </c>
      <c r="F1083" s="5">
        <f t="shared" si="152"/>
        <v>-27.198912365620995</v>
      </c>
      <c r="G1083" s="6">
        <f t="shared" si="146"/>
        <v>4.9777500000000002E-2</v>
      </c>
      <c r="H1083" s="6">
        <f t="shared" si="147"/>
        <v>0</v>
      </c>
      <c r="I1083" s="7">
        <f t="shared" si="148"/>
        <v>-906.63041218736646</v>
      </c>
      <c r="J1083" s="8">
        <f t="shared" si="149"/>
        <v>49777.5</v>
      </c>
      <c r="K1083" s="7">
        <f t="shared" si="150"/>
        <v>-50684.130412187369</v>
      </c>
      <c r="L1083" s="4">
        <f>IF(A1083&gt;'Yield Curve'!A1697,L1082,(1+VLOOKUP(A1083,'Yield Curve'!A1076:B1698,2,FALSE))^(1/12)-1)</f>
        <v>7.9741404289037643E-3</v>
      </c>
      <c r="M1083" s="5">
        <f t="shared" si="151"/>
        <v>-9.9260689494509062</v>
      </c>
    </row>
    <row r="1084" spans="1:13" x14ac:dyDescent="0.25">
      <c r="A1084" s="4">
        <v>1076</v>
      </c>
      <c r="B1084" s="4">
        <f t="shared" si="144"/>
        <v>134</v>
      </c>
      <c r="C1084" s="4">
        <f t="shared" si="145"/>
        <v>1091</v>
      </c>
      <c r="D1084" s="4">
        <f>IF(B1084&gt;'Mortality Table'!$A$118,D1083,VLOOKUP(B1084,'Mortality Table'!$A$2:$B$118,2,FALSE))</f>
        <v>0.59733000000000003</v>
      </c>
      <c r="E1084" s="4">
        <f>IF(INT((C1084-1)/12)+1&gt;'Lapse Table'!$A$11,E1083,VLOOKUP(INT((C1084-1)/12)+1,'Lapse Table'!$A$2:$B$11,2,FALSE))/12</f>
        <v>0</v>
      </c>
      <c r="F1084" s="5">
        <f t="shared" si="152"/>
        <v>-27.248689865620996</v>
      </c>
      <c r="G1084" s="6">
        <f t="shared" si="146"/>
        <v>4.9777500000000002E-2</v>
      </c>
      <c r="H1084" s="6">
        <f t="shared" si="147"/>
        <v>0</v>
      </c>
      <c r="I1084" s="7">
        <f t="shared" si="148"/>
        <v>-908.2896621873665</v>
      </c>
      <c r="J1084" s="8">
        <f t="shared" si="149"/>
        <v>49777.5</v>
      </c>
      <c r="K1084" s="7">
        <f t="shared" si="150"/>
        <v>-50685.789662187366</v>
      </c>
      <c r="L1084" s="4">
        <f>IF(A1084&gt;'Yield Curve'!A1698,L1083,(1+VLOOKUP(A1084,'Yield Curve'!A1077:B1699,2,FALSE))^(1/12)-1)</f>
        <v>7.9741404289037643E-3</v>
      </c>
      <c r="M1084" s="5">
        <f t="shared" si="151"/>
        <v>-9.8478656363701891</v>
      </c>
    </row>
    <row r="1085" spans="1:13" x14ac:dyDescent="0.25">
      <c r="A1085" s="4">
        <v>1077</v>
      </c>
      <c r="B1085" s="4">
        <f t="shared" si="144"/>
        <v>134</v>
      </c>
      <c r="C1085" s="4">
        <f t="shared" si="145"/>
        <v>1092</v>
      </c>
      <c r="D1085" s="4">
        <f>IF(B1085&gt;'Mortality Table'!$A$118,D1084,VLOOKUP(B1085,'Mortality Table'!$A$2:$B$118,2,FALSE))</f>
        <v>0.59733000000000003</v>
      </c>
      <c r="E1085" s="4">
        <f>IF(INT((C1085-1)/12)+1&gt;'Lapse Table'!$A$11,E1084,VLOOKUP(INT((C1085-1)/12)+1,'Lapse Table'!$A$2:$B$11,2,FALSE))/12</f>
        <v>0</v>
      </c>
      <c r="F1085" s="5">
        <f t="shared" si="152"/>
        <v>-27.298467365620997</v>
      </c>
      <c r="G1085" s="6">
        <f t="shared" si="146"/>
        <v>4.9777500000000002E-2</v>
      </c>
      <c r="H1085" s="6">
        <f t="shared" si="147"/>
        <v>0</v>
      </c>
      <c r="I1085" s="7">
        <f t="shared" si="148"/>
        <v>-909.94891218736655</v>
      </c>
      <c r="J1085" s="8">
        <f t="shared" si="149"/>
        <v>49777.5</v>
      </c>
      <c r="K1085" s="7">
        <f t="shared" si="150"/>
        <v>-50687.448912187363</v>
      </c>
      <c r="L1085" s="4">
        <f>IF(A1085&gt;'Yield Curve'!A1699,L1084,(1+VLOOKUP(A1085,'Yield Curve'!A1078:B1700,2,FALSE))^(1/12)-1)</f>
        <v>7.9741404289037643E-3</v>
      </c>
      <c r="M1085" s="5">
        <f t="shared" si="151"/>
        <v>-9.7702784437576256</v>
      </c>
    </row>
    <row r="1086" spans="1:13" x14ac:dyDescent="0.25">
      <c r="A1086" s="4">
        <v>1078</v>
      </c>
      <c r="B1086" s="4">
        <f t="shared" si="144"/>
        <v>134</v>
      </c>
      <c r="C1086" s="4">
        <f t="shared" si="145"/>
        <v>1093</v>
      </c>
      <c r="D1086" s="4">
        <f>IF(B1086&gt;'Mortality Table'!$A$118,D1085,VLOOKUP(B1086,'Mortality Table'!$A$2:$B$118,2,FALSE))</f>
        <v>0.59733000000000003</v>
      </c>
      <c r="E1086" s="4">
        <f>IF(INT((C1086-1)/12)+1&gt;'Lapse Table'!$A$11,E1085,VLOOKUP(INT((C1086-1)/12)+1,'Lapse Table'!$A$2:$B$11,2,FALSE))/12</f>
        <v>0</v>
      </c>
      <c r="F1086" s="5">
        <f t="shared" si="152"/>
        <v>-27.348244865620998</v>
      </c>
      <c r="G1086" s="6">
        <f t="shared" si="146"/>
        <v>4.9777500000000002E-2</v>
      </c>
      <c r="H1086" s="6">
        <f t="shared" si="147"/>
        <v>0</v>
      </c>
      <c r="I1086" s="7">
        <f t="shared" si="148"/>
        <v>-911.6081621873667</v>
      </c>
      <c r="J1086" s="8">
        <f t="shared" si="149"/>
        <v>49777.5</v>
      </c>
      <c r="K1086" s="7">
        <f t="shared" si="150"/>
        <v>-50689.108162187367</v>
      </c>
      <c r="L1086" s="4">
        <f>IF(A1086&gt;'Yield Curve'!A1700,L1085,(1+VLOOKUP(A1086,'Yield Curve'!A1079:B1701,2,FALSE))^(1/12)-1)</f>
        <v>7.9741404289037643E-3</v>
      </c>
      <c r="M1086" s="5">
        <f t="shared" si="151"/>
        <v>-9.6933025176254368</v>
      </c>
    </row>
    <row r="1087" spans="1:13" x14ac:dyDescent="0.25">
      <c r="A1087" s="4">
        <v>1079</v>
      </c>
      <c r="B1087" s="4">
        <f t="shared" si="144"/>
        <v>134</v>
      </c>
      <c r="C1087" s="4">
        <f t="shared" si="145"/>
        <v>1094</v>
      </c>
      <c r="D1087" s="4">
        <f>IF(B1087&gt;'Mortality Table'!$A$118,D1086,VLOOKUP(B1087,'Mortality Table'!$A$2:$B$118,2,FALSE))</f>
        <v>0.59733000000000003</v>
      </c>
      <c r="E1087" s="4">
        <f>IF(INT((C1087-1)/12)+1&gt;'Lapse Table'!$A$11,E1086,VLOOKUP(INT((C1087-1)/12)+1,'Lapse Table'!$A$2:$B$11,2,FALSE))/12</f>
        <v>0</v>
      </c>
      <c r="F1087" s="5">
        <f t="shared" si="152"/>
        <v>-27.398022365620999</v>
      </c>
      <c r="G1087" s="6">
        <f t="shared" si="146"/>
        <v>4.9777500000000002E-2</v>
      </c>
      <c r="H1087" s="6">
        <f t="shared" si="147"/>
        <v>0</v>
      </c>
      <c r="I1087" s="7">
        <f t="shared" si="148"/>
        <v>-913.26741218736663</v>
      </c>
      <c r="J1087" s="8">
        <f t="shared" si="149"/>
        <v>49777.5</v>
      </c>
      <c r="K1087" s="7">
        <f t="shared" si="150"/>
        <v>-50690.767412187364</v>
      </c>
      <c r="L1087" s="4">
        <f>IF(A1087&gt;'Yield Curve'!A1701,L1086,(1+VLOOKUP(A1087,'Yield Curve'!A1080:B1702,2,FALSE))^(1/12)-1)</f>
        <v>7.9741404289037643E-3</v>
      </c>
      <c r="M1087" s="5">
        <f t="shared" si="151"/>
        <v>-9.6169330422263783</v>
      </c>
    </row>
    <row r="1088" spans="1:13" x14ac:dyDescent="0.25">
      <c r="A1088" s="4">
        <v>1080</v>
      </c>
      <c r="B1088" s="4">
        <f t="shared" si="144"/>
        <v>135</v>
      </c>
      <c r="C1088" s="4">
        <f t="shared" si="145"/>
        <v>1095</v>
      </c>
      <c r="D1088" s="4">
        <f>IF(B1088&gt;'Mortality Table'!$A$118,D1087,VLOOKUP(B1088,'Mortality Table'!$A$2:$B$118,2,FALSE))</f>
        <v>0.59733000000000003</v>
      </c>
      <c r="E1088" s="4">
        <f>IF(INT((C1088-1)/12)+1&gt;'Lapse Table'!$A$11,E1087,VLOOKUP(INT((C1088-1)/12)+1,'Lapse Table'!$A$2:$B$11,2,FALSE))/12</f>
        <v>0</v>
      </c>
      <c r="F1088" s="5">
        <f t="shared" si="152"/>
        <v>-27.447799865621</v>
      </c>
      <c r="G1088" s="6">
        <f t="shared" si="146"/>
        <v>4.9777500000000002E-2</v>
      </c>
      <c r="H1088" s="6">
        <f t="shared" si="147"/>
        <v>0</v>
      </c>
      <c r="I1088" s="7">
        <f t="shared" si="148"/>
        <v>-914.92666218736667</v>
      </c>
      <c r="J1088" s="8">
        <f t="shared" si="149"/>
        <v>49777.5</v>
      </c>
      <c r="K1088" s="7">
        <f t="shared" si="150"/>
        <v>-50692.426662187368</v>
      </c>
      <c r="L1088" s="4">
        <f>IF(A1088&gt;'Yield Curve'!A1702,L1087,(1+VLOOKUP(A1088,'Yield Curve'!A1081:B1703,2,FALSE))^(1/12)-1)</f>
        <v>7.9741404289037643E-3</v>
      </c>
      <c r="M1088" s="5">
        <f t="shared" si="151"/>
        <v>-9.5411652397525177</v>
      </c>
    </row>
    <row r="1089" spans="1:13" x14ac:dyDescent="0.25">
      <c r="A1089" s="4">
        <v>1081</v>
      </c>
      <c r="B1089" s="4">
        <f t="shared" si="144"/>
        <v>135</v>
      </c>
      <c r="C1089" s="4">
        <f t="shared" si="145"/>
        <v>1096</v>
      </c>
      <c r="D1089" s="4">
        <f>IF(B1089&gt;'Mortality Table'!$A$118,D1088,VLOOKUP(B1089,'Mortality Table'!$A$2:$B$118,2,FALSE))</f>
        <v>0.59733000000000003</v>
      </c>
      <c r="E1089" s="4">
        <f>IF(INT((C1089-1)/12)+1&gt;'Lapse Table'!$A$11,E1088,VLOOKUP(INT((C1089-1)/12)+1,'Lapse Table'!$A$2:$B$11,2,FALSE))/12</f>
        <v>0</v>
      </c>
      <c r="F1089" s="5">
        <f t="shared" si="152"/>
        <v>-27.497577365621002</v>
      </c>
      <c r="G1089" s="6">
        <f t="shared" si="146"/>
        <v>4.9777500000000002E-2</v>
      </c>
      <c r="H1089" s="6">
        <f t="shared" si="147"/>
        <v>0</v>
      </c>
      <c r="I1089" s="7">
        <f t="shared" si="148"/>
        <v>-916.58591218736672</v>
      </c>
      <c r="J1089" s="8">
        <f t="shared" si="149"/>
        <v>49777.5</v>
      </c>
      <c r="K1089" s="7">
        <f t="shared" si="150"/>
        <v>-50694.085912187365</v>
      </c>
      <c r="L1089" s="4">
        <f>IF(A1089&gt;'Yield Curve'!A1703,L1088,(1+VLOOKUP(A1089,'Yield Curve'!A1082:B1704,2,FALSE))^(1/12)-1)</f>
        <v>7.9741404289037643E-3</v>
      </c>
      <c r="M1089" s="5">
        <f t="shared" si="151"/>
        <v>-9.4659943700363325</v>
      </c>
    </row>
    <row r="1090" spans="1:13" x14ac:dyDescent="0.25">
      <c r="A1090" s="4">
        <v>1082</v>
      </c>
      <c r="B1090" s="4">
        <f t="shared" si="144"/>
        <v>135</v>
      </c>
      <c r="C1090" s="4">
        <f t="shared" si="145"/>
        <v>1097</v>
      </c>
      <c r="D1090" s="4">
        <f>IF(B1090&gt;'Mortality Table'!$A$118,D1089,VLOOKUP(B1090,'Mortality Table'!$A$2:$B$118,2,FALSE))</f>
        <v>0.59733000000000003</v>
      </c>
      <c r="E1090" s="4">
        <f>IF(INT((C1090-1)/12)+1&gt;'Lapse Table'!$A$11,E1089,VLOOKUP(INT((C1090-1)/12)+1,'Lapse Table'!$A$2:$B$11,2,FALSE))/12</f>
        <v>0</v>
      </c>
      <c r="F1090" s="5">
        <f t="shared" si="152"/>
        <v>-27.547354865621003</v>
      </c>
      <c r="G1090" s="6">
        <f t="shared" si="146"/>
        <v>4.9777500000000002E-2</v>
      </c>
      <c r="H1090" s="6">
        <f t="shared" si="147"/>
        <v>0</v>
      </c>
      <c r="I1090" s="7">
        <f t="shared" si="148"/>
        <v>-918.24516218736665</v>
      </c>
      <c r="J1090" s="8">
        <f t="shared" si="149"/>
        <v>49777.5</v>
      </c>
      <c r="K1090" s="7">
        <f t="shared" si="150"/>
        <v>-50695.74516218737</v>
      </c>
      <c r="L1090" s="4">
        <f>IF(A1090&gt;'Yield Curve'!A1704,L1089,(1+VLOOKUP(A1090,'Yield Curve'!A1083:B1705,2,FALSE))^(1/12)-1)</f>
        <v>7.9741404289037643E-3</v>
      </c>
      <c r="M1090" s="5">
        <f t="shared" si="151"/>
        <v>-9.3914157302541685</v>
      </c>
    </row>
    <row r="1091" spans="1:13" x14ac:dyDescent="0.25">
      <c r="A1091" s="4">
        <v>1083</v>
      </c>
      <c r="B1091" s="4">
        <f t="shared" si="144"/>
        <v>135</v>
      </c>
      <c r="C1091" s="4">
        <f t="shared" si="145"/>
        <v>1098</v>
      </c>
      <c r="D1091" s="4">
        <f>IF(B1091&gt;'Mortality Table'!$A$118,D1090,VLOOKUP(B1091,'Mortality Table'!$A$2:$B$118,2,FALSE))</f>
        <v>0.59733000000000003</v>
      </c>
      <c r="E1091" s="4">
        <f>IF(INT((C1091-1)/12)+1&gt;'Lapse Table'!$A$11,E1090,VLOOKUP(INT((C1091-1)/12)+1,'Lapse Table'!$A$2:$B$11,2,FALSE))/12</f>
        <v>0</v>
      </c>
      <c r="F1091" s="5">
        <f t="shared" si="152"/>
        <v>-27.597132365621004</v>
      </c>
      <c r="G1091" s="6">
        <f t="shared" si="146"/>
        <v>4.9777500000000002E-2</v>
      </c>
      <c r="H1091" s="6">
        <f t="shared" si="147"/>
        <v>0</v>
      </c>
      <c r="I1091" s="7">
        <f t="shared" si="148"/>
        <v>-919.9044121873668</v>
      </c>
      <c r="J1091" s="8">
        <f t="shared" si="149"/>
        <v>49777.5</v>
      </c>
      <c r="K1091" s="7">
        <f t="shared" si="150"/>
        <v>-50697.404412187367</v>
      </c>
      <c r="L1091" s="4">
        <f>IF(A1091&gt;'Yield Curve'!A1705,L1090,(1+VLOOKUP(A1091,'Yield Curve'!A1084:B1706,2,FALSE))^(1/12)-1)</f>
        <v>7.9741404289037643E-3</v>
      </c>
      <c r="M1091" s="5">
        <f t="shared" si="151"/>
        <v>-9.3174246546320632</v>
      </c>
    </row>
    <row r="1092" spans="1:13" x14ac:dyDescent="0.25">
      <c r="A1092" s="4">
        <v>1084</v>
      </c>
      <c r="B1092" s="4">
        <f t="shared" si="144"/>
        <v>135</v>
      </c>
      <c r="C1092" s="4">
        <f t="shared" si="145"/>
        <v>1099</v>
      </c>
      <c r="D1092" s="4">
        <f>IF(B1092&gt;'Mortality Table'!$A$118,D1091,VLOOKUP(B1092,'Mortality Table'!$A$2:$B$118,2,FALSE))</f>
        <v>0.59733000000000003</v>
      </c>
      <c r="E1092" s="4">
        <f>IF(INT((C1092-1)/12)+1&gt;'Lapse Table'!$A$11,E1091,VLOOKUP(INT((C1092-1)/12)+1,'Lapse Table'!$A$2:$B$11,2,FALSE))/12</f>
        <v>0</v>
      </c>
      <c r="F1092" s="5">
        <f t="shared" si="152"/>
        <v>-27.646909865621005</v>
      </c>
      <c r="G1092" s="6">
        <f t="shared" si="146"/>
        <v>4.9777500000000002E-2</v>
      </c>
      <c r="H1092" s="6">
        <f t="shared" si="147"/>
        <v>0</v>
      </c>
      <c r="I1092" s="7">
        <f t="shared" si="148"/>
        <v>-921.56366218736684</v>
      </c>
      <c r="J1092" s="8">
        <f t="shared" si="149"/>
        <v>49777.5</v>
      </c>
      <c r="K1092" s="7">
        <f t="shared" si="150"/>
        <v>-50699.063662187364</v>
      </c>
      <c r="L1092" s="4">
        <f>IF(A1092&gt;'Yield Curve'!A1706,L1091,(1+VLOOKUP(A1092,'Yield Curve'!A1085:B1707,2,FALSE))^(1/12)-1)</f>
        <v>7.9741404289037643E-3</v>
      </c>
      <c r="M1092" s="5">
        <f t="shared" si="151"/>
        <v>-9.2440165141538486</v>
      </c>
    </row>
    <row r="1093" spans="1:13" x14ac:dyDescent="0.25">
      <c r="A1093" s="4">
        <v>1085</v>
      </c>
      <c r="B1093" s="4">
        <f t="shared" si="144"/>
        <v>135</v>
      </c>
      <c r="C1093" s="4">
        <f t="shared" si="145"/>
        <v>1100</v>
      </c>
      <c r="D1093" s="4">
        <f>IF(B1093&gt;'Mortality Table'!$A$118,D1092,VLOOKUP(B1093,'Mortality Table'!$A$2:$B$118,2,FALSE))</f>
        <v>0.59733000000000003</v>
      </c>
      <c r="E1093" s="4">
        <f>IF(INT((C1093-1)/12)+1&gt;'Lapse Table'!$A$11,E1092,VLOOKUP(INT((C1093-1)/12)+1,'Lapse Table'!$A$2:$B$11,2,FALSE))/12</f>
        <v>0</v>
      </c>
      <c r="F1093" s="5">
        <f t="shared" si="152"/>
        <v>-27.696687365621006</v>
      </c>
      <c r="G1093" s="6">
        <f t="shared" si="146"/>
        <v>4.9777500000000002E-2</v>
      </c>
      <c r="H1093" s="6">
        <f t="shared" si="147"/>
        <v>0</v>
      </c>
      <c r="I1093" s="7">
        <f t="shared" si="148"/>
        <v>-923.22291218736689</v>
      </c>
      <c r="J1093" s="8">
        <f t="shared" si="149"/>
        <v>49777.5</v>
      </c>
      <c r="K1093" s="7">
        <f t="shared" si="150"/>
        <v>-50700.722912187368</v>
      </c>
      <c r="L1093" s="4">
        <f>IF(A1093&gt;'Yield Curve'!A1707,L1092,(1+VLOOKUP(A1093,'Yield Curve'!A1086:B1708,2,FALSE))^(1/12)-1)</f>
        <v>7.9741404289037643E-3</v>
      </c>
      <c r="M1093" s="5">
        <f t="shared" si="151"/>
        <v>-9.1711867162715812</v>
      </c>
    </row>
    <row r="1094" spans="1:13" x14ac:dyDescent="0.25">
      <c r="A1094" s="4">
        <v>1086</v>
      </c>
      <c r="B1094" s="4">
        <f t="shared" si="144"/>
        <v>135</v>
      </c>
      <c r="C1094" s="4">
        <f t="shared" si="145"/>
        <v>1101</v>
      </c>
      <c r="D1094" s="4">
        <f>IF(B1094&gt;'Mortality Table'!$A$118,D1093,VLOOKUP(B1094,'Mortality Table'!$A$2:$B$118,2,FALSE))</f>
        <v>0.59733000000000003</v>
      </c>
      <c r="E1094" s="4">
        <f>IF(INT((C1094-1)/12)+1&gt;'Lapse Table'!$A$11,E1093,VLOOKUP(INT((C1094-1)/12)+1,'Lapse Table'!$A$2:$B$11,2,FALSE))/12</f>
        <v>0</v>
      </c>
      <c r="F1094" s="5">
        <f t="shared" si="152"/>
        <v>-27.746464865621007</v>
      </c>
      <c r="G1094" s="6">
        <f t="shared" si="146"/>
        <v>4.9777500000000002E-2</v>
      </c>
      <c r="H1094" s="6">
        <f t="shared" si="147"/>
        <v>0</v>
      </c>
      <c r="I1094" s="7">
        <f t="shared" si="148"/>
        <v>-924.88216218736682</v>
      </c>
      <c r="J1094" s="8">
        <f t="shared" si="149"/>
        <v>49777.5</v>
      </c>
      <c r="K1094" s="7">
        <f t="shared" si="150"/>
        <v>-50702.382162187365</v>
      </c>
      <c r="L1094" s="4">
        <f>IF(A1094&gt;'Yield Curve'!A1708,L1093,(1+VLOOKUP(A1094,'Yield Curve'!A1087:B1709,2,FALSE))^(1/12)-1)</f>
        <v>7.9741404289037643E-3</v>
      </c>
      <c r="M1094" s="5">
        <f t="shared" si="151"/>
        <v>-9.0989307046182457</v>
      </c>
    </row>
    <row r="1095" spans="1:13" x14ac:dyDescent="0.25">
      <c r="A1095" s="4">
        <v>1087</v>
      </c>
      <c r="B1095" s="4">
        <f t="shared" si="144"/>
        <v>135</v>
      </c>
      <c r="C1095" s="4">
        <f t="shared" si="145"/>
        <v>1102</v>
      </c>
      <c r="D1095" s="4">
        <f>IF(B1095&gt;'Mortality Table'!$A$118,D1094,VLOOKUP(B1095,'Mortality Table'!$A$2:$B$118,2,FALSE))</f>
        <v>0.59733000000000003</v>
      </c>
      <c r="E1095" s="4">
        <f>IF(INT((C1095-1)/12)+1&gt;'Lapse Table'!$A$11,E1094,VLOOKUP(INT((C1095-1)/12)+1,'Lapse Table'!$A$2:$B$11,2,FALSE))/12</f>
        <v>0</v>
      </c>
      <c r="F1095" s="5">
        <f t="shared" si="152"/>
        <v>-27.796242365621008</v>
      </c>
      <c r="G1095" s="6">
        <f t="shared" si="146"/>
        <v>4.9777500000000002E-2</v>
      </c>
      <c r="H1095" s="6">
        <f t="shared" si="147"/>
        <v>0</v>
      </c>
      <c r="I1095" s="7">
        <f t="shared" si="148"/>
        <v>-926.54141218736697</v>
      </c>
      <c r="J1095" s="8">
        <f t="shared" si="149"/>
        <v>49777.5</v>
      </c>
      <c r="K1095" s="7">
        <f t="shared" si="150"/>
        <v>-50704.041412187369</v>
      </c>
      <c r="L1095" s="4">
        <f>IF(A1095&gt;'Yield Curve'!A1709,L1094,(1+VLOOKUP(A1095,'Yield Curve'!A1088:B1710,2,FALSE))^(1/12)-1)</f>
        <v>7.9741404289037643E-3</v>
      </c>
      <c r="M1095" s="5">
        <f t="shared" si="151"/>
        <v>-9.0272439587227158</v>
      </c>
    </row>
    <row r="1096" spans="1:13" x14ac:dyDescent="0.25">
      <c r="A1096" s="4">
        <v>1088</v>
      </c>
      <c r="B1096" s="4">
        <f t="shared" si="144"/>
        <v>135</v>
      </c>
      <c r="C1096" s="4">
        <f t="shared" si="145"/>
        <v>1103</v>
      </c>
      <c r="D1096" s="4">
        <f>IF(B1096&gt;'Mortality Table'!$A$118,D1095,VLOOKUP(B1096,'Mortality Table'!$A$2:$B$118,2,FALSE))</f>
        <v>0.59733000000000003</v>
      </c>
      <c r="E1096" s="4">
        <f>IF(INT((C1096-1)/12)+1&gt;'Lapse Table'!$A$11,E1095,VLOOKUP(INT((C1096-1)/12)+1,'Lapse Table'!$A$2:$B$11,2,FALSE))/12</f>
        <v>0</v>
      </c>
      <c r="F1096" s="5">
        <f t="shared" si="152"/>
        <v>-27.84601986562101</v>
      </c>
      <c r="G1096" s="6">
        <f t="shared" si="146"/>
        <v>4.9777500000000002E-2</v>
      </c>
      <c r="H1096" s="6">
        <f t="shared" si="147"/>
        <v>0</v>
      </c>
      <c r="I1096" s="7">
        <f t="shared" si="148"/>
        <v>-928.20066218736702</v>
      </c>
      <c r="J1096" s="8">
        <f t="shared" si="149"/>
        <v>49777.5</v>
      </c>
      <c r="K1096" s="7">
        <f t="shared" si="150"/>
        <v>-50705.700662187366</v>
      </c>
      <c r="L1096" s="4">
        <f>IF(A1096&gt;'Yield Curve'!A1710,L1095,(1+VLOOKUP(A1096,'Yield Curve'!A1089:B1711,2,FALSE))^(1/12)-1)</f>
        <v>7.9741404289037643E-3</v>
      </c>
      <c r="M1096" s="5">
        <f t="shared" si="151"/>
        <v>-8.9561219937269509</v>
      </c>
    </row>
    <row r="1097" spans="1:13" x14ac:dyDescent="0.25">
      <c r="A1097" s="4">
        <v>1089</v>
      </c>
      <c r="B1097" s="4">
        <f t="shared" si="144"/>
        <v>135</v>
      </c>
      <c r="C1097" s="4">
        <f t="shared" si="145"/>
        <v>1104</v>
      </c>
      <c r="D1097" s="4">
        <f>IF(B1097&gt;'Mortality Table'!$A$118,D1096,VLOOKUP(B1097,'Mortality Table'!$A$2:$B$118,2,FALSE))</f>
        <v>0.59733000000000003</v>
      </c>
      <c r="E1097" s="4">
        <f>IF(INT((C1097-1)/12)+1&gt;'Lapse Table'!$A$11,E1096,VLOOKUP(INT((C1097-1)/12)+1,'Lapse Table'!$A$2:$B$11,2,FALSE))/12</f>
        <v>0</v>
      </c>
      <c r="F1097" s="5">
        <f t="shared" si="152"/>
        <v>-27.895797365621011</v>
      </c>
      <c r="G1097" s="6">
        <f t="shared" si="146"/>
        <v>4.9777500000000002E-2</v>
      </c>
      <c r="H1097" s="6">
        <f t="shared" si="147"/>
        <v>0</v>
      </c>
      <c r="I1097" s="7">
        <f t="shared" si="148"/>
        <v>-929.85991218736706</v>
      </c>
      <c r="J1097" s="8">
        <f t="shared" si="149"/>
        <v>49777.5</v>
      </c>
      <c r="K1097" s="7">
        <f t="shared" si="150"/>
        <v>-50707.35991218737</v>
      </c>
      <c r="L1097" s="4">
        <f>IF(A1097&gt;'Yield Curve'!A1711,L1096,(1+VLOOKUP(A1097,'Yield Curve'!A1090:B1712,2,FALSE))^(1/12)-1)</f>
        <v>7.9741404289037643E-3</v>
      </c>
      <c r="M1097" s="5">
        <f t="shared" si="151"/>
        <v>-8.885560360105476</v>
      </c>
    </row>
    <row r="1098" spans="1:13" x14ac:dyDescent="0.25">
      <c r="A1098" s="4">
        <v>1090</v>
      </c>
      <c r="B1098" s="4">
        <f t="shared" ref="B1098:B1161" si="153">INT($B$3+A1098/12)</f>
        <v>135</v>
      </c>
      <c r="C1098" s="4">
        <f t="shared" ref="C1098:C1161" si="154">$B$4+A1098</f>
        <v>1105</v>
      </c>
      <c r="D1098" s="4">
        <f>IF(B1098&gt;'Mortality Table'!$A$118,D1097,VLOOKUP(B1098,'Mortality Table'!$A$2:$B$118,2,FALSE))</f>
        <v>0.59733000000000003</v>
      </c>
      <c r="E1098" s="4">
        <f>IF(INT((C1098-1)/12)+1&gt;'Lapse Table'!$A$11,E1097,VLOOKUP(INT((C1098-1)/12)+1,'Lapse Table'!$A$2:$B$11,2,FALSE))/12</f>
        <v>0</v>
      </c>
      <c r="F1098" s="5">
        <f t="shared" si="152"/>
        <v>-27.945574865621012</v>
      </c>
      <c r="G1098" s="6">
        <f t="shared" ref="G1098:G1161" si="155">D1098/12*(1-0.5*E1098)</f>
        <v>4.9777500000000002E-2</v>
      </c>
      <c r="H1098" s="6">
        <f t="shared" ref="H1098:H1161" si="156">E1098*(1-0.5*D1098)</f>
        <v>0</v>
      </c>
      <c r="I1098" s="7">
        <f t="shared" ref="I1098:I1161" si="157">F1098*$B$5/12</f>
        <v>-931.51916218736699</v>
      </c>
      <c r="J1098" s="8">
        <f t="shared" ref="J1098:J1161" si="158">$B$6*G1098</f>
        <v>49777.5</v>
      </c>
      <c r="K1098" s="7">
        <f t="shared" ref="K1098:K1161" si="159">I1098-J1098</f>
        <v>-50709.019162187367</v>
      </c>
      <c r="L1098" s="4">
        <f>IF(A1098&gt;'Yield Curve'!A1712,L1097,(1+VLOOKUP(A1098,'Yield Curve'!A1091:B1713,2,FALSE))^(1/12)-1)</f>
        <v>7.9741404289037643E-3</v>
      </c>
      <c r="M1098" s="5">
        <f t="shared" ref="M1098:M1161" si="160">K1098*(1+L1098)^-A1098</f>
        <v>-8.815554643386978</v>
      </c>
    </row>
    <row r="1099" spans="1:13" x14ac:dyDescent="0.25">
      <c r="A1099" s="4">
        <v>1091</v>
      </c>
      <c r="B1099" s="4">
        <f t="shared" si="153"/>
        <v>135</v>
      </c>
      <c r="C1099" s="4">
        <f t="shared" si="154"/>
        <v>1106</v>
      </c>
      <c r="D1099" s="4">
        <f>IF(B1099&gt;'Mortality Table'!$A$118,D1098,VLOOKUP(B1099,'Mortality Table'!$A$2:$B$118,2,FALSE))</f>
        <v>0.59733000000000003</v>
      </c>
      <c r="E1099" s="4">
        <f>IF(INT((C1099-1)/12)+1&gt;'Lapse Table'!$A$11,E1098,VLOOKUP(INT((C1099-1)/12)+1,'Lapse Table'!$A$2:$B$11,2,FALSE))/12</f>
        <v>0</v>
      </c>
      <c r="F1099" s="5">
        <f t="shared" ref="F1099:F1162" si="161">F1098-G1099-H1099</f>
        <v>-27.995352365621013</v>
      </c>
      <c r="G1099" s="6">
        <f t="shared" si="155"/>
        <v>4.9777500000000002E-2</v>
      </c>
      <c r="H1099" s="6">
        <f t="shared" si="156"/>
        <v>0</v>
      </c>
      <c r="I1099" s="7">
        <f t="shared" si="157"/>
        <v>-933.17841218736703</v>
      </c>
      <c r="J1099" s="8">
        <f t="shared" si="158"/>
        <v>49777.5</v>
      </c>
      <c r="K1099" s="7">
        <f t="shared" si="159"/>
        <v>-50710.678412187364</v>
      </c>
      <c r="L1099" s="4">
        <f>IF(A1099&gt;'Yield Curve'!A1713,L1098,(1+VLOOKUP(A1099,'Yield Curve'!A1092:B1714,2,FALSE))^(1/12)-1)</f>
        <v>7.9741404289037643E-3</v>
      </c>
      <c r="M1099" s="5">
        <f t="shared" si="160"/>
        <v>-8.7461004638781858</v>
      </c>
    </row>
    <row r="1100" spans="1:13" x14ac:dyDescent="0.25">
      <c r="A1100" s="4">
        <v>1092</v>
      </c>
      <c r="B1100" s="4">
        <f t="shared" si="153"/>
        <v>136</v>
      </c>
      <c r="C1100" s="4">
        <f t="shared" si="154"/>
        <v>1107</v>
      </c>
      <c r="D1100" s="4">
        <f>IF(B1100&gt;'Mortality Table'!$A$118,D1099,VLOOKUP(B1100,'Mortality Table'!$A$2:$B$118,2,FALSE))</f>
        <v>0.59733000000000003</v>
      </c>
      <c r="E1100" s="4">
        <f>IF(INT((C1100-1)/12)+1&gt;'Lapse Table'!$A$11,E1099,VLOOKUP(INT((C1100-1)/12)+1,'Lapse Table'!$A$2:$B$11,2,FALSE))/12</f>
        <v>0</v>
      </c>
      <c r="F1100" s="5">
        <f t="shared" si="161"/>
        <v>-28.045129865621014</v>
      </c>
      <c r="G1100" s="6">
        <f t="shared" si="155"/>
        <v>4.9777500000000002E-2</v>
      </c>
      <c r="H1100" s="6">
        <f t="shared" si="156"/>
        <v>0</v>
      </c>
      <c r="I1100" s="7">
        <f t="shared" si="157"/>
        <v>-934.83766218736719</v>
      </c>
      <c r="J1100" s="8">
        <f t="shared" si="158"/>
        <v>49777.5</v>
      </c>
      <c r="K1100" s="7">
        <f t="shared" si="159"/>
        <v>-50712.337662187369</v>
      </c>
      <c r="L1100" s="4">
        <f>IF(A1100&gt;'Yield Curve'!A1714,L1099,(1+VLOOKUP(A1100,'Yield Curve'!A1093:B1715,2,FALSE))^(1/12)-1)</f>
        <v>7.9741404289037643E-3</v>
      </c>
      <c r="M1100" s="5">
        <f t="shared" si="160"/>
        <v>-8.6771934763898688</v>
      </c>
    </row>
    <row r="1101" spans="1:13" x14ac:dyDescent="0.25">
      <c r="A1101" s="4">
        <v>1093</v>
      </c>
      <c r="B1101" s="4">
        <f t="shared" si="153"/>
        <v>136</v>
      </c>
      <c r="C1101" s="4">
        <f t="shared" si="154"/>
        <v>1108</v>
      </c>
      <c r="D1101" s="4">
        <f>IF(B1101&gt;'Mortality Table'!$A$118,D1100,VLOOKUP(B1101,'Mortality Table'!$A$2:$B$118,2,FALSE))</f>
        <v>0.59733000000000003</v>
      </c>
      <c r="E1101" s="4">
        <f>IF(INT((C1101-1)/12)+1&gt;'Lapse Table'!$A$11,E1100,VLOOKUP(INT((C1101-1)/12)+1,'Lapse Table'!$A$2:$B$11,2,FALSE))/12</f>
        <v>0</v>
      </c>
      <c r="F1101" s="5">
        <f t="shared" si="161"/>
        <v>-28.094907365621015</v>
      </c>
      <c r="G1101" s="6">
        <f t="shared" si="155"/>
        <v>4.9777500000000002E-2</v>
      </c>
      <c r="H1101" s="6">
        <f t="shared" si="156"/>
        <v>0</v>
      </c>
      <c r="I1101" s="7">
        <f t="shared" si="157"/>
        <v>-936.49691218736723</v>
      </c>
      <c r="J1101" s="8">
        <f t="shared" si="158"/>
        <v>49777.5</v>
      </c>
      <c r="K1101" s="7">
        <f t="shared" si="159"/>
        <v>-50713.996912187366</v>
      </c>
      <c r="L1101" s="4">
        <f>IF(A1101&gt;'Yield Curve'!A1715,L1100,(1+VLOOKUP(A1101,'Yield Curve'!A1094:B1716,2,FALSE))^(1/12)-1)</f>
        <v>7.9741404289037643E-3</v>
      </c>
      <c r="M1101" s="5">
        <f t="shared" si="160"/>
        <v>-8.6088293699650169</v>
      </c>
    </row>
    <row r="1102" spans="1:13" x14ac:dyDescent="0.25">
      <c r="A1102" s="4">
        <v>1094</v>
      </c>
      <c r="B1102" s="4">
        <f t="shared" si="153"/>
        <v>136</v>
      </c>
      <c r="C1102" s="4">
        <f t="shared" si="154"/>
        <v>1109</v>
      </c>
      <c r="D1102" s="4">
        <f>IF(B1102&gt;'Mortality Table'!$A$118,D1101,VLOOKUP(B1102,'Mortality Table'!$A$2:$B$118,2,FALSE))</f>
        <v>0.59733000000000003</v>
      </c>
      <c r="E1102" s="4">
        <f>IF(INT((C1102-1)/12)+1&gt;'Lapse Table'!$A$11,E1101,VLOOKUP(INT((C1102-1)/12)+1,'Lapse Table'!$A$2:$B$11,2,FALSE))/12</f>
        <v>0</v>
      </c>
      <c r="F1102" s="5">
        <f t="shared" si="161"/>
        <v>-28.144684865621016</v>
      </c>
      <c r="G1102" s="6">
        <f t="shared" si="155"/>
        <v>4.9777500000000002E-2</v>
      </c>
      <c r="H1102" s="6">
        <f t="shared" si="156"/>
        <v>0</v>
      </c>
      <c r="I1102" s="7">
        <f t="shared" si="157"/>
        <v>-938.15616218736716</v>
      </c>
      <c r="J1102" s="8">
        <f t="shared" si="158"/>
        <v>49777.5</v>
      </c>
      <c r="K1102" s="7">
        <f t="shared" si="159"/>
        <v>-50715.65616218737</v>
      </c>
      <c r="L1102" s="4">
        <f>IF(A1102&gt;'Yield Curve'!A1716,L1101,(1+VLOOKUP(A1102,'Yield Curve'!A1095:B1717,2,FALSE))^(1/12)-1)</f>
        <v>7.9741404289037643E-3</v>
      </c>
      <c r="M1102" s="5">
        <f t="shared" si="160"/>
        <v>-8.5410038676091684</v>
      </c>
    </row>
    <row r="1103" spans="1:13" x14ac:dyDescent="0.25">
      <c r="A1103" s="4">
        <v>1095</v>
      </c>
      <c r="B1103" s="4">
        <f t="shared" si="153"/>
        <v>136</v>
      </c>
      <c r="C1103" s="4">
        <f t="shared" si="154"/>
        <v>1110</v>
      </c>
      <c r="D1103" s="4">
        <f>IF(B1103&gt;'Mortality Table'!$A$118,D1102,VLOOKUP(B1103,'Mortality Table'!$A$2:$B$118,2,FALSE))</f>
        <v>0.59733000000000003</v>
      </c>
      <c r="E1103" s="4">
        <f>IF(INT((C1103-1)/12)+1&gt;'Lapse Table'!$A$11,E1102,VLOOKUP(INT((C1103-1)/12)+1,'Lapse Table'!$A$2:$B$11,2,FALSE))/12</f>
        <v>0</v>
      </c>
      <c r="F1103" s="5">
        <f t="shared" si="161"/>
        <v>-28.194462365621018</v>
      </c>
      <c r="G1103" s="6">
        <f t="shared" si="155"/>
        <v>4.9777500000000002E-2</v>
      </c>
      <c r="H1103" s="6">
        <f t="shared" si="156"/>
        <v>0</v>
      </c>
      <c r="I1103" s="7">
        <f t="shared" si="157"/>
        <v>-939.8154121873672</v>
      </c>
      <c r="J1103" s="8">
        <f t="shared" si="158"/>
        <v>49777.5</v>
      </c>
      <c r="K1103" s="7">
        <f t="shared" si="159"/>
        <v>-50717.315412187367</v>
      </c>
      <c r="L1103" s="4">
        <f>IF(A1103&gt;'Yield Curve'!A1717,L1102,(1+VLOOKUP(A1103,'Yield Curve'!A1096:B1718,2,FALSE))^(1/12)-1)</f>
        <v>7.9741404289037643E-3</v>
      </c>
      <c r="M1103" s="5">
        <f t="shared" si="160"/>
        <v>-8.4737127260228178</v>
      </c>
    </row>
    <row r="1104" spans="1:13" x14ac:dyDescent="0.25">
      <c r="A1104" s="4">
        <v>1096</v>
      </c>
      <c r="B1104" s="4">
        <f t="shared" si="153"/>
        <v>136</v>
      </c>
      <c r="C1104" s="4">
        <f t="shared" si="154"/>
        <v>1111</v>
      </c>
      <c r="D1104" s="4">
        <f>IF(B1104&gt;'Mortality Table'!$A$118,D1103,VLOOKUP(B1104,'Mortality Table'!$A$2:$B$118,2,FALSE))</f>
        <v>0.59733000000000003</v>
      </c>
      <c r="E1104" s="4">
        <f>IF(INT((C1104-1)/12)+1&gt;'Lapse Table'!$A$11,E1103,VLOOKUP(INT((C1104-1)/12)+1,'Lapse Table'!$A$2:$B$11,2,FALSE))/12</f>
        <v>0</v>
      </c>
      <c r="F1104" s="5">
        <f t="shared" si="161"/>
        <v>-28.244239865621019</v>
      </c>
      <c r="G1104" s="6">
        <f t="shared" si="155"/>
        <v>4.9777500000000002E-2</v>
      </c>
      <c r="H1104" s="6">
        <f t="shared" si="156"/>
        <v>0</v>
      </c>
      <c r="I1104" s="7">
        <f t="shared" si="157"/>
        <v>-941.47466218736736</v>
      </c>
      <c r="J1104" s="8">
        <f t="shared" si="158"/>
        <v>49777.5</v>
      </c>
      <c r="K1104" s="7">
        <f t="shared" si="159"/>
        <v>-50718.974662187364</v>
      </c>
      <c r="L1104" s="4">
        <f>IF(A1104&gt;'Yield Curve'!A1718,L1103,(1+VLOOKUP(A1104,'Yield Curve'!A1097:B1719,2,FALSE))^(1/12)-1)</f>
        <v>7.9741404289037643E-3</v>
      </c>
      <c r="M1104" s="5">
        <f t="shared" si="160"/>
        <v>-8.4069517353360066</v>
      </c>
    </row>
    <row r="1105" spans="1:13" x14ac:dyDescent="0.25">
      <c r="A1105" s="4">
        <v>1097</v>
      </c>
      <c r="B1105" s="4">
        <f t="shared" si="153"/>
        <v>136</v>
      </c>
      <c r="C1105" s="4">
        <f t="shared" si="154"/>
        <v>1112</v>
      </c>
      <c r="D1105" s="4">
        <f>IF(B1105&gt;'Mortality Table'!$A$118,D1104,VLOOKUP(B1105,'Mortality Table'!$A$2:$B$118,2,FALSE))</f>
        <v>0.59733000000000003</v>
      </c>
      <c r="E1105" s="4">
        <f>IF(INT((C1105-1)/12)+1&gt;'Lapse Table'!$A$11,E1104,VLOOKUP(INT((C1105-1)/12)+1,'Lapse Table'!$A$2:$B$11,2,FALSE))/12</f>
        <v>0</v>
      </c>
      <c r="F1105" s="5">
        <f t="shared" si="161"/>
        <v>-28.29401736562102</v>
      </c>
      <c r="G1105" s="6">
        <f t="shared" si="155"/>
        <v>4.9777500000000002E-2</v>
      </c>
      <c r="H1105" s="6">
        <f t="shared" si="156"/>
        <v>0</v>
      </c>
      <c r="I1105" s="7">
        <f t="shared" si="157"/>
        <v>-943.1339121873674</v>
      </c>
      <c r="J1105" s="8">
        <f t="shared" si="158"/>
        <v>49777.5</v>
      </c>
      <c r="K1105" s="7">
        <f t="shared" si="159"/>
        <v>-50720.633912187368</v>
      </c>
      <c r="L1105" s="4">
        <f>IF(A1105&gt;'Yield Curve'!A1719,L1104,(1+VLOOKUP(A1105,'Yield Curve'!A1098:B1720,2,FALSE))^(1/12)-1)</f>
        <v>7.9741404289037643E-3</v>
      </c>
      <c r="M1105" s="5">
        <f t="shared" si="160"/>
        <v>-8.3407167188449396</v>
      </c>
    </row>
    <row r="1106" spans="1:13" x14ac:dyDescent="0.25">
      <c r="A1106" s="4">
        <v>1098</v>
      </c>
      <c r="B1106" s="4">
        <f t="shared" si="153"/>
        <v>136</v>
      </c>
      <c r="C1106" s="4">
        <f t="shared" si="154"/>
        <v>1113</v>
      </c>
      <c r="D1106" s="4">
        <f>IF(B1106&gt;'Mortality Table'!$A$118,D1105,VLOOKUP(B1106,'Mortality Table'!$A$2:$B$118,2,FALSE))</f>
        <v>0.59733000000000003</v>
      </c>
      <c r="E1106" s="4">
        <f>IF(INT((C1106-1)/12)+1&gt;'Lapse Table'!$A$11,E1105,VLOOKUP(INT((C1106-1)/12)+1,'Lapse Table'!$A$2:$B$11,2,FALSE))/12</f>
        <v>0</v>
      </c>
      <c r="F1106" s="5">
        <f t="shared" si="161"/>
        <v>-28.343794865621021</v>
      </c>
      <c r="G1106" s="6">
        <f t="shared" si="155"/>
        <v>4.9777500000000002E-2</v>
      </c>
      <c r="H1106" s="6">
        <f t="shared" si="156"/>
        <v>0</v>
      </c>
      <c r="I1106" s="7">
        <f t="shared" si="157"/>
        <v>-944.79316218736733</v>
      </c>
      <c r="J1106" s="8">
        <f t="shared" si="158"/>
        <v>49777.5</v>
      </c>
      <c r="K1106" s="7">
        <f t="shared" si="159"/>
        <v>-50722.293162187365</v>
      </c>
      <c r="L1106" s="4">
        <f>IF(A1106&gt;'Yield Curve'!A1720,L1105,(1+VLOOKUP(A1106,'Yield Curve'!A1099:B1721,2,FALSE))^(1/12)-1)</f>
        <v>7.9741404289037643E-3</v>
      </c>
      <c r="M1106" s="5">
        <f t="shared" si="160"/>
        <v>-8.2750035327507057</v>
      </c>
    </row>
    <row r="1107" spans="1:13" x14ac:dyDescent="0.25">
      <c r="A1107" s="4">
        <v>1099</v>
      </c>
      <c r="B1107" s="4">
        <f t="shared" si="153"/>
        <v>136</v>
      </c>
      <c r="C1107" s="4">
        <f t="shared" si="154"/>
        <v>1114</v>
      </c>
      <c r="D1107" s="4">
        <f>IF(B1107&gt;'Mortality Table'!$A$118,D1106,VLOOKUP(B1107,'Mortality Table'!$A$2:$B$118,2,FALSE))</f>
        <v>0.59733000000000003</v>
      </c>
      <c r="E1107" s="4">
        <f>IF(INT((C1107-1)/12)+1&gt;'Lapse Table'!$A$11,E1106,VLOOKUP(INT((C1107-1)/12)+1,'Lapse Table'!$A$2:$B$11,2,FALSE))/12</f>
        <v>0</v>
      </c>
      <c r="F1107" s="5">
        <f t="shared" si="161"/>
        <v>-28.393572365621022</v>
      </c>
      <c r="G1107" s="6">
        <f t="shared" si="155"/>
        <v>4.9777500000000002E-2</v>
      </c>
      <c r="H1107" s="6">
        <f t="shared" si="156"/>
        <v>0</v>
      </c>
      <c r="I1107" s="7">
        <f t="shared" si="157"/>
        <v>-946.45241218736737</v>
      </c>
      <c r="J1107" s="8">
        <f t="shared" si="158"/>
        <v>49777.5</v>
      </c>
      <c r="K1107" s="7">
        <f t="shared" si="159"/>
        <v>-50723.952412187369</v>
      </c>
      <c r="L1107" s="4">
        <f>IF(A1107&gt;'Yield Curve'!A1721,L1106,(1+VLOOKUP(A1107,'Yield Curve'!A1100:B1722,2,FALSE))^(1/12)-1)</f>
        <v>7.9741404289037643E-3</v>
      </c>
      <c r="M1107" s="5">
        <f t="shared" si="160"/>
        <v>-8.2098080659000505</v>
      </c>
    </row>
    <row r="1108" spans="1:13" x14ac:dyDescent="0.25">
      <c r="A1108" s="4">
        <v>1100</v>
      </c>
      <c r="B1108" s="4">
        <f t="shared" si="153"/>
        <v>136</v>
      </c>
      <c r="C1108" s="4">
        <f t="shared" si="154"/>
        <v>1115</v>
      </c>
      <c r="D1108" s="4">
        <f>IF(B1108&gt;'Mortality Table'!$A$118,D1107,VLOOKUP(B1108,'Mortality Table'!$A$2:$B$118,2,FALSE))</f>
        <v>0.59733000000000003</v>
      </c>
      <c r="E1108" s="4">
        <f>IF(INT((C1108-1)/12)+1&gt;'Lapse Table'!$A$11,E1107,VLOOKUP(INT((C1108-1)/12)+1,'Lapse Table'!$A$2:$B$11,2,FALSE))/12</f>
        <v>0</v>
      </c>
      <c r="F1108" s="5">
        <f t="shared" si="161"/>
        <v>-28.443349865621023</v>
      </c>
      <c r="G1108" s="6">
        <f t="shared" si="155"/>
        <v>4.9777500000000002E-2</v>
      </c>
      <c r="H1108" s="6">
        <f t="shared" si="156"/>
        <v>0</v>
      </c>
      <c r="I1108" s="7">
        <f t="shared" si="157"/>
        <v>-948.11166218736741</v>
      </c>
      <c r="J1108" s="8">
        <f t="shared" si="158"/>
        <v>49777.5</v>
      </c>
      <c r="K1108" s="7">
        <f t="shared" si="159"/>
        <v>-50725.611662187366</v>
      </c>
      <c r="L1108" s="4">
        <f>IF(A1108&gt;'Yield Curve'!A1722,L1107,(1+VLOOKUP(A1108,'Yield Curve'!A1101:B1723,2,FALSE))^(1/12)-1)</f>
        <v>7.9741404289037643E-3</v>
      </c>
      <c r="M1108" s="5">
        <f t="shared" si="160"/>
        <v>-8.1451262395281869</v>
      </c>
    </row>
    <row r="1109" spans="1:13" x14ac:dyDescent="0.25">
      <c r="A1109" s="4">
        <v>1101</v>
      </c>
      <c r="B1109" s="4">
        <f t="shared" si="153"/>
        <v>136</v>
      </c>
      <c r="C1109" s="4">
        <f t="shared" si="154"/>
        <v>1116</v>
      </c>
      <c r="D1109" s="4">
        <f>IF(B1109&gt;'Mortality Table'!$A$118,D1108,VLOOKUP(B1109,'Mortality Table'!$A$2:$B$118,2,FALSE))</f>
        <v>0.59733000000000003</v>
      </c>
      <c r="E1109" s="4">
        <f>IF(INT((C1109-1)/12)+1&gt;'Lapse Table'!$A$11,E1108,VLOOKUP(INT((C1109-1)/12)+1,'Lapse Table'!$A$2:$B$11,2,FALSE))/12</f>
        <v>0</v>
      </c>
      <c r="F1109" s="5">
        <f t="shared" si="161"/>
        <v>-28.493127365621024</v>
      </c>
      <c r="G1109" s="6">
        <f t="shared" si="155"/>
        <v>4.9777500000000002E-2</v>
      </c>
      <c r="H1109" s="6">
        <f t="shared" si="156"/>
        <v>0</v>
      </c>
      <c r="I1109" s="7">
        <f t="shared" si="157"/>
        <v>-949.77091218736757</v>
      </c>
      <c r="J1109" s="8">
        <f t="shared" si="158"/>
        <v>49777.5</v>
      </c>
      <c r="K1109" s="7">
        <f t="shared" si="159"/>
        <v>-50727.27091218737</v>
      </c>
      <c r="L1109" s="4">
        <f>IF(A1109&gt;'Yield Curve'!A1723,L1108,(1+VLOOKUP(A1109,'Yield Curve'!A1102:B1724,2,FALSE))^(1/12)-1)</f>
        <v>7.9741404289037643E-3</v>
      </c>
      <c r="M1109" s="5">
        <f t="shared" si="160"/>
        <v>-8.0809540070036512</v>
      </c>
    </row>
    <row r="1110" spans="1:13" x14ac:dyDescent="0.25">
      <c r="A1110" s="4">
        <v>1102</v>
      </c>
      <c r="B1110" s="4">
        <f t="shared" si="153"/>
        <v>136</v>
      </c>
      <c r="C1110" s="4">
        <f t="shared" si="154"/>
        <v>1117</v>
      </c>
      <c r="D1110" s="4">
        <f>IF(B1110&gt;'Mortality Table'!$A$118,D1109,VLOOKUP(B1110,'Mortality Table'!$A$2:$B$118,2,FALSE))</f>
        <v>0.59733000000000003</v>
      </c>
      <c r="E1110" s="4">
        <f>IF(INT((C1110-1)/12)+1&gt;'Lapse Table'!$A$11,E1109,VLOOKUP(INT((C1110-1)/12)+1,'Lapse Table'!$A$2:$B$11,2,FALSE))/12</f>
        <v>0</v>
      </c>
      <c r="F1110" s="5">
        <f t="shared" si="161"/>
        <v>-28.542904865621026</v>
      </c>
      <c r="G1110" s="6">
        <f t="shared" si="155"/>
        <v>4.9777500000000002E-2</v>
      </c>
      <c r="H1110" s="6">
        <f t="shared" si="156"/>
        <v>0</v>
      </c>
      <c r="I1110" s="7">
        <f t="shared" si="157"/>
        <v>-951.4301621873675</v>
      </c>
      <c r="J1110" s="8">
        <f t="shared" si="158"/>
        <v>49777.5</v>
      </c>
      <c r="K1110" s="7">
        <f t="shared" si="159"/>
        <v>-50728.930162187367</v>
      </c>
      <c r="L1110" s="4">
        <f>IF(A1110&gt;'Yield Curve'!A1724,L1109,(1+VLOOKUP(A1110,'Yield Curve'!A1103:B1725,2,FALSE))^(1/12)-1)</f>
        <v>7.9741404289037643E-3</v>
      </c>
      <c r="M1110" s="5">
        <f t="shared" si="160"/>
        <v>-8.0172873535751368</v>
      </c>
    </row>
    <row r="1111" spans="1:13" x14ac:dyDescent="0.25">
      <c r="A1111" s="4">
        <v>1103</v>
      </c>
      <c r="B1111" s="4">
        <f t="shared" si="153"/>
        <v>136</v>
      </c>
      <c r="C1111" s="4">
        <f t="shared" si="154"/>
        <v>1118</v>
      </c>
      <c r="D1111" s="4">
        <f>IF(B1111&gt;'Mortality Table'!$A$118,D1110,VLOOKUP(B1111,'Mortality Table'!$A$2:$B$118,2,FALSE))</f>
        <v>0.59733000000000003</v>
      </c>
      <c r="E1111" s="4">
        <f>IF(INT((C1111-1)/12)+1&gt;'Lapse Table'!$A$11,E1110,VLOOKUP(INT((C1111-1)/12)+1,'Lapse Table'!$A$2:$B$11,2,FALSE))/12</f>
        <v>0</v>
      </c>
      <c r="F1111" s="5">
        <f t="shared" si="161"/>
        <v>-28.592682365621027</v>
      </c>
      <c r="G1111" s="6">
        <f t="shared" si="155"/>
        <v>4.9777500000000002E-2</v>
      </c>
      <c r="H1111" s="6">
        <f t="shared" si="156"/>
        <v>0</v>
      </c>
      <c r="I1111" s="7">
        <f t="shared" si="157"/>
        <v>-953.08941218736754</v>
      </c>
      <c r="J1111" s="8">
        <f t="shared" si="158"/>
        <v>49777.5</v>
      </c>
      <c r="K1111" s="7">
        <f t="shared" si="159"/>
        <v>-50730.589412187364</v>
      </c>
      <c r="L1111" s="4">
        <f>IF(A1111&gt;'Yield Curve'!A1725,L1110,(1+VLOOKUP(A1111,'Yield Curve'!A1104:B1726,2,FALSE))^(1/12)-1)</f>
        <v>7.9741404289037643E-3</v>
      </c>
      <c r="M1111" s="5">
        <f t="shared" si="160"/>
        <v>-7.9541222961203557</v>
      </c>
    </row>
    <row r="1112" spans="1:13" x14ac:dyDescent="0.25">
      <c r="A1112" s="4">
        <v>1104</v>
      </c>
      <c r="B1112" s="4">
        <f t="shared" si="153"/>
        <v>137</v>
      </c>
      <c r="C1112" s="4">
        <f t="shared" si="154"/>
        <v>1119</v>
      </c>
      <c r="D1112" s="4">
        <f>IF(B1112&gt;'Mortality Table'!$A$118,D1111,VLOOKUP(B1112,'Mortality Table'!$A$2:$B$118,2,FALSE))</f>
        <v>0.59733000000000003</v>
      </c>
      <c r="E1112" s="4">
        <f>IF(INT((C1112-1)/12)+1&gt;'Lapse Table'!$A$11,E1111,VLOOKUP(INT((C1112-1)/12)+1,'Lapse Table'!$A$2:$B$11,2,FALSE))/12</f>
        <v>0</v>
      </c>
      <c r="F1112" s="5">
        <f t="shared" si="161"/>
        <v>-28.642459865621028</v>
      </c>
      <c r="G1112" s="6">
        <f t="shared" si="155"/>
        <v>4.9777500000000002E-2</v>
      </c>
      <c r="H1112" s="6">
        <f t="shared" si="156"/>
        <v>0</v>
      </c>
      <c r="I1112" s="7">
        <f t="shared" si="157"/>
        <v>-954.74866218736759</v>
      </c>
      <c r="J1112" s="8">
        <f t="shared" si="158"/>
        <v>49777.5</v>
      </c>
      <c r="K1112" s="7">
        <f t="shared" si="159"/>
        <v>-50732.248662187369</v>
      </c>
      <c r="L1112" s="4">
        <f>IF(A1112&gt;'Yield Curve'!A1726,L1111,(1+VLOOKUP(A1112,'Yield Curve'!A1105:B1727,2,FALSE))^(1/12)-1)</f>
        <v>7.9741404289037643E-3</v>
      </c>
      <c r="M1112" s="5">
        <f t="shared" si="160"/>
        <v>-7.8914548828968529</v>
      </c>
    </row>
    <row r="1113" spans="1:13" x14ac:dyDescent="0.25">
      <c r="A1113" s="4">
        <v>1105</v>
      </c>
      <c r="B1113" s="4">
        <f t="shared" si="153"/>
        <v>137</v>
      </c>
      <c r="C1113" s="4">
        <f t="shared" si="154"/>
        <v>1120</v>
      </c>
      <c r="D1113" s="4">
        <f>IF(B1113&gt;'Mortality Table'!$A$118,D1112,VLOOKUP(B1113,'Mortality Table'!$A$2:$B$118,2,FALSE))</f>
        <v>0.59733000000000003</v>
      </c>
      <c r="E1113" s="4">
        <f>IF(INT((C1113-1)/12)+1&gt;'Lapse Table'!$A$11,E1112,VLOOKUP(INT((C1113-1)/12)+1,'Lapse Table'!$A$2:$B$11,2,FALSE))/12</f>
        <v>0</v>
      </c>
      <c r="F1113" s="5">
        <f t="shared" si="161"/>
        <v>-28.692237365621029</v>
      </c>
      <c r="G1113" s="6">
        <f t="shared" si="155"/>
        <v>4.9777500000000002E-2</v>
      </c>
      <c r="H1113" s="6">
        <f t="shared" si="156"/>
        <v>0</v>
      </c>
      <c r="I1113" s="7">
        <f t="shared" si="157"/>
        <v>-956.40791218736774</v>
      </c>
      <c r="J1113" s="8">
        <f t="shared" si="158"/>
        <v>49777.5</v>
      </c>
      <c r="K1113" s="7">
        <f t="shared" si="159"/>
        <v>-50733.907912187366</v>
      </c>
      <c r="L1113" s="4">
        <f>IF(A1113&gt;'Yield Curve'!A1727,L1112,(1+VLOOKUP(A1113,'Yield Curve'!A1106:B1728,2,FALSE))^(1/12)-1)</f>
        <v>7.9741404289037643E-3</v>
      </c>
      <c r="M1113" s="5">
        <f t="shared" si="160"/>
        <v>-7.8292811932948014</v>
      </c>
    </row>
    <row r="1114" spans="1:13" x14ac:dyDescent="0.25">
      <c r="A1114" s="4">
        <v>1106</v>
      </c>
      <c r="B1114" s="4">
        <f t="shared" si="153"/>
        <v>137</v>
      </c>
      <c r="C1114" s="4">
        <f t="shared" si="154"/>
        <v>1121</v>
      </c>
      <c r="D1114" s="4">
        <f>IF(B1114&gt;'Mortality Table'!$A$118,D1113,VLOOKUP(B1114,'Mortality Table'!$A$2:$B$118,2,FALSE))</f>
        <v>0.59733000000000003</v>
      </c>
      <c r="E1114" s="4">
        <f>IF(INT((C1114-1)/12)+1&gt;'Lapse Table'!$A$11,E1113,VLOOKUP(INT((C1114-1)/12)+1,'Lapse Table'!$A$2:$B$11,2,FALSE))/12</f>
        <v>0</v>
      </c>
      <c r="F1114" s="5">
        <f t="shared" si="161"/>
        <v>-28.74201486562103</v>
      </c>
      <c r="G1114" s="6">
        <f t="shared" si="155"/>
        <v>4.9777500000000002E-2</v>
      </c>
      <c r="H1114" s="6">
        <f t="shared" si="156"/>
        <v>0</v>
      </c>
      <c r="I1114" s="7">
        <f t="shared" si="157"/>
        <v>-958.06716218736767</v>
      </c>
      <c r="J1114" s="8">
        <f t="shared" si="158"/>
        <v>49777.5</v>
      </c>
      <c r="K1114" s="7">
        <f t="shared" si="159"/>
        <v>-50735.56716218737</v>
      </c>
      <c r="L1114" s="4">
        <f>IF(A1114&gt;'Yield Curve'!A1728,L1113,(1+VLOOKUP(A1114,'Yield Curve'!A1107:B1729,2,FALSE))^(1/12)-1)</f>
        <v>7.9741404289037643E-3</v>
      </c>
      <c r="M1114" s="5">
        <f t="shared" si="160"/>
        <v>-7.7675973375917327</v>
      </c>
    </row>
    <row r="1115" spans="1:13" x14ac:dyDescent="0.25">
      <c r="A1115" s="4">
        <v>1107</v>
      </c>
      <c r="B1115" s="4">
        <f t="shared" si="153"/>
        <v>137</v>
      </c>
      <c r="C1115" s="4">
        <f t="shared" si="154"/>
        <v>1122</v>
      </c>
      <c r="D1115" s="4">
        <f>IF(B1115&gt;'Mortality Table'!$A$118,D1114,VLOOKUP(B1115,'Mortality Table'!$A$2:$B$118,2,FALSE))</f>
        <v>0.59733000000000003</v>
      </c>
      <c r="E1115" s="4">
        <f>IF(INT((C1115-1)/12)+1&gt;'Lapse Table'!$A$11,E1114,VLOOKUP(INT((C1115-1)/12)+1,'Lapse Table'!$A$2:$B$11,2,FALSE))/12</f>
        <v>0</v>
      </c>
      <c r="F1115" s="5">
        <f t="shared" si="161"/>
        <v>-28.791792365621031</v>
      </c>
      <c r="G1115" s="6">
        <f t="shared" si="155"/>
        <v>4.9777500000000002E-2</v>
      </c>
      <c r="H1115" s="6">
        <f t="shared" si="156"/>
        <v>0</v>
      </c>
      <c r="I1115" s="7">
        <f t="shared" si="157"/>
        <v>-959.72641218736771</v>
      </c>
      <c r="J1115" s="8">
        <f t="shared" si="158"/>
        <v>49777.5</v>
      </c>
      <c r="K1115" s="7">
        <f t="shared" si="159"/>
        <v>-50737.226412187367</v>
      </c>
      <c r="L1115" s="4">
        <f>IF(A1115&gt;'Yield Curve'!A1729,L1114,(1+VLOOKUP(A1115,'Yield Curve'!A1108:B1730,2,FALSE))^(1/12)-1)</f>
        <v>7.9741404289037643E-3</v>
      </c>
      <c r="M1115" s="5">
        <f t="shared" si="160"/>
        <v>-7.7063994567092013</v>
      </c>
    </row>
    <row r="1116" spans="1:13" x14ac:dyDescent="0.25">
      <c r="A1116" s="4">
        <v>1108</v>
      </c>
      <c r="B1116" s="4">
        <f t="shared" si="153"/>
        <v>137</v>
      </c>
      <c r="C1116" s="4">
        <f t="shared" si="154"/>
        <v>1123</v>
      </c>
      <c r="D1116" s="4">
        <f>IF(B1116&gt;'Mortality Table'!$A$118,D1115,VLOOKUP(B1116,'Mortality Table'!$A$2:$B$118,2,FALSE))</f>
        <v>0.59733000000000003</v>
      </c>
      <c r="E1116" s="4">
        <f>IF(INT((C1116-1)/12)+1&gt;'Lapse Table'!$A$11,E1115,VLOOKUP(INT((C1116-1)/12)+1,'Lapse Table'!$A$2:$B$11,2,FALSE))/12</f>
        <v>0</v>
      </c>
      <c r="F1116" s="5">
        <f t="shared" si="161"/>
        <v>-28.841569865621032</v>
      </c>
      <c r="G1116" s="6">
        <f t="shared" si="155"/>
        <v>4.9777500000000002E-2</v>
      </c>
      <c r="H1116" s="6">
        <f t="shared" si="156"/>
        <v>0</v>
      </c>
      <c r="I1116" s="7">
        <f t="shared" si="157"/>
        <v>-961.38566218736776</v>
      </c>
      <c r="J1116" s="8">
        <f t="shared" si="158"/>
        <v>49777.5</v>
      </c>
      <c r="K1116" s="7">
        <f t="shared" si="159"/>
        <v>-50738.885662187371</v>
      </c>
      <c r="L1116" s="4">
        <f>IF(A1116&gt;'Yield Curve'!A1730,L1115,(1+VLOOKUP(A1116,'Yield Curve'!A1109:B1731,2,FALSE))^(1/12)-1)</f>
        <v>7.9741404289037643E-3</v>
      </c>
      <c r="M1116" s="5">
        <f t="shared" si="160"/>
        <v>-7.6456837219713769</v>
      </c>
    </row>
    <row r="1117" spans="1:13" x14ac:dyDescent="0.25">
      <c r="A1117" s="4">
        <v>1109</v>
      </c>
      <c r="B1117" s="4">
        <f t="shared" si="153"/>
        <v>137</v>
      </c>
      <c r="C1117" s="4">
        <f t="shared" si="154"/>
        <v>1124</v>
      </c>
      <c r="D1117" s="4">
        <f>IF(B1117&gt;'Mortality Table'!$A$118,D1116,VLOOKUP(B1117,'Mortality Table'!$A$2:$B$118,2,FALSE))</f>
        <v>0.59733000000000003</v>
      </c>
      <c r="E1117" s="4">
        <f>IF(INT((C1117-1)/12)+1&gt;'Lapse Table'!$A$11,E1116,VLOOKUP(INT((C1117-1)/12)+1,'Lapse Table'!$A$2:$B$11,2,FALSE))/12</f>
        <v>0</v>
      </c>
      <c r="F1117" s="5">
        <f t="shared" si="161"/>
        <v>-28.891347365621034</v>
      </c>
      <c r="G1117" s="6">
        <f t="shared" si="155"/>
        <v>4.9777500000000002E-2</v>
      </c>
      <c r="H1117" s="6">
        <f t="shared" si="156"/>
        <v>0</v>
      </c>
      <c r="I1117" s="7">
        <f t="shared" si="157"/>
        <v>-963.04491218736769</v>
      </c>
      <c r="J1117" s="8">
        <f t="shared" si="158"/>
        <v>49777.5</v>
      </c>
      <c r="K1117" s="7">
        <f t="shared" si="159"/>
        <v>-50740.544912187368</v>
      </c>
      <c r="L1117" s="4">
        <f>IF(A1117&gt;'Yield Curve'!A1731,L1116,(1+VLOOKUP(A1117,'Yield Curve'!A1110:B1732,2,FALSE))^(1/12)-1)</f>
        <v>7.9741404289037643E-3</v>
      </c>
      <c r="M1117" s="5">
        <f t="shared" si="160"/>
        <v>-7.5854463348655257</v>
      </c>
    </row>
    <row r="1118" spans="1:13" x14ac:dyDescent="0.25">
      <c r="A1118" s="4">
        <v>1110</v>
      </c>
      <c r="B1118" s="4">
        <f t="shared" si="153"/>
        <v>137</v>
      </c>
      <c r="C1118" s="4">
        <f t="shared" si="154"/>
        <v>1125</v>
      </c>
      <c r="D1118" s="4">
        <f>IF(B1118&gt;'Mortality Table'!$A$118,D1117,VLOOKUP(B1118,'Mortality Table'!$A$2:$B$118,2,FALSE))</f>
        <v>0.59733000000000003</v>
      </c>
      <c r="E1118" s="4">
        <f>IF(INT((C1118-1)/12)+1&gt;'Lapse Table'!$A$11,E1117,VLOOKUP(INT((C1118-1)/12)+1,'Lapse Table'!$A$2:$B$11,2,FALSE))/12</f>
        <v>0</v>
      </c>
      <c r="F1118" s="5">
        <f t="shared" si="161"/>
        <v>-28.941124865621035</v>
      </c>
      <c r="G1118" s="6">
        <f t="shared" si="155"/>
        <v>4.9777500000000002E-2</v>
      </c>
      <c r="H1118" s="6">
        <f t="shared" si="156"/>
        <v>0</v>
      </c>
      <c r="I1118" s="7">
        <f t="shared" si="157"/>
        <v>-964.70416218736784</v>
      </c>
      <c r="J1118" s="8">
        <f t="shared" si="158"/>
        <v>49777.5</v>
      </c>
      <c r="K1118" s="7">
        <f t="shared" si="159"/>
        <v>-50742.204162187365</v>
      </c>
      <c r="L1118" s="4">
        <f>IF(A1118&gt;'Yield Curve'!A1732,L1117,(1+VLOOKUP(A1118,'Yield Curve'!A1111:B1733,2,FALSE))^(1/12)-1)</f>
        <v>7.9741404289037643E-3</v>
      </c>
      <c r="M1118" s="5">
        <f t="shared" si="160"/>
        <v>-7.5256835268043876</v>
      </c>
    </row>
    <row r="1119" spans="1:13" x14ac:dyDescent="0.25">
      <c r="A1119" s="4">
        <v>1111</v>
      </c>
      <c r="B1119" s="4">
        <f t="shared" si="153"/>
        <v>137</v>
      </c>
      <c r="C1119" s="4">
        <f t="shared" si="154"/>
        <v>1126</v>
      </c>
      <c r="D1119" s="4">
        <f>IF(B1119&gt;'Mortality Table'!$A$118,D1118,VLOOKUP(B1119,'Mortality Table'!$A$2:$B$118,2,FALSE))</f>
        <v>0.59733000000000003</v>
      </c>
      <c r="E1119" s="4">
        <f>IF(INT((C1119-1)/12)+1&gt;'Lapse Table'!$A$11,E1118,VLOOKUP(INT((C1119-1)/12)+1,'Lapse Table'!$A$2:$B$11,2,FALSE))/12</f>
        <v>0</v>
      </c>
      <c r="F1119" s="5">
        <f t="shared" si="161"/>
        <v>-28.990902365621036</v>
      </c>
      <c r="G1119" s="6">
        <f t="shared" si="155"/>
        <v>4.9777500000000002E-2</v>
      </c>
      <c r="H1119" s="6">
        <f t="shared" si="156"/>
        <v>0</v>
      </c>
      <c r="I1119" s="7">
        <f t="shared" si="157"/>
        <v>-966.36341218736789</v>
      </c>
      <c r="J1119" s="8">
        <f t="shared" si="158"/>
        <v>49777.5</v>
      </c>
      <c r="K1119" s="7">
        <f t="shared" si="159"/>
        <v>-50743.863412187369</v>
      </c>
      <c r="L1119" s="4">
        <f>IF(A1119&gt;'Yield Curve'!A1733,L1118,(1+VLOOKUP(A1119,'Yield Curve'!A1112:B1734,2,FALSE))^(1/12)-1)</f>
        <v>7.9741404289037643E-3</v>
      </c>
      <c r="M1119" s="5">
        <f t="shared" si="160"/>
        <v>-7.466391558890412</v>
      </c>
    </row>
    <row r="1120" spans="1:13" x14ac:dyDescent="0.25">
      <c r="A1120" s="4">
        <v>1112</v>
      </c>
      <c r="B1120" s="4">
        <f t="shared" si="153"/>
        <v>137</v>
      </c>
      <c r="C1120" s="4">
        <f t="shared" si="154"/>
        <v>1127</v>
      </c>
      <c r="D1120" s="4">
        <f>IF(B1120&gt;'Mortality Table'!$A$118,D1119,VLOOKUP(B1120,'Mortality Table'!$A$2:$B$118,2,FALSE))</f>
        <v>0.59733000000000003</v>
      </c>
      <c r="E1120" s="4">
        <f>IF(INT((C1120-1)/12)+1&gt;'Lapse Table'!$A$11,E1119,VLOOKUP(INT((C1120-1)/12)+1,'Lapse Table'!$A$2:$B$11,2,FALSE))/12</f>
        <v>0</v>
      </c>
      <c r="F1120" s="5">
        <f t="shared" si="161"/>
        <v>-29.040679865621037</v>
      </c>
      <c r="G1120" s="6">
        <f t="shared" si="155"/>
        <v>4.9777500000000002E-2</v>
      </c>
      <c r="H1120" s="6">
        <f t="shared" si="156"/>
        <v>0</v>
      </c>
      <c r="I1120" s="7">
        <f t="shared" si="157"/>
        <v>-968.02266218736793</v>
      </c>
      <c r="J1120" s="8">
        <f t="shared" si="158"/>
        <v>49777.5</v>
      </c>
      <c r="K1120" s="7">
        <f t="shared" si="159"/>
        <v>-50745.522662187366</v>
      </c>
      <c r="L1120" s="4">
        <f>IF(A1120&gt;'Yield Curve'!A1734,L1119,(1+VLOOKUP(A1120,'Yield Curve'!A1113:B1735,2,FALSE))^(1/12)-1)</f>
        <v>7.9741404289037643E-3</v>
      </c>
      <c r="M1120" s="5">
        <f t="shared" si="160"/>
        <v>-7.4075667216818673</v>
      </c>
    </row>
    <row r="1121" spans="1:13" x14ac:dyDescent="0.25">
      <c r="A1121" s="4">
        <v>1113</v>
      </c>
      <c r="B1121" s="4">
        <f t="shared" si="153"/>
        <v>137</v>
      </c>
      <c r="C1121" s="4">
        <f t="shared" si="154"/>
        <v>1128</v>
      </c>
      <c r="D1121" s="4">
        <f>IF(B1121&gt;'Mortality Table'!$A$118,D1120,VLOOKUP(B1121,'Mortality Table'!$A$2:$B$118,2,FALSE))</f>
        <v>0.59733000000000003</v>
      </c>
      <c r="E1121" s="4">
        <f>IF(INT((C1121-1)/12)+1&gt;'Lapse Table'!$A$11,E1120,VLOOKUP(INT((C1121-1)/12)+1,'Lapse Table'!$A$2:$B$11,2,FALSE))/12</f>
        <v>0</v>
      </c>
      <c r="F1121" s="5">
        <f t="shared" si="161"/>
        <v>-29.090457365621038</v>
      </c>
      <c r="G1121" s="6">
        <f t="shared" si="155"/>
        <v>4.9777500000000002E-2</v>
      </c>
      <c r="H1121" s="6">
        <f t="shared" si="156"/>
        <v>0</v>
      </c>
      <c r="I1121" s="7">
        <f t="shared" si="157"/>
        <v>-969.68191218736786</v>
      </c>
      <c r="J1121" s="8">
        <f t="shared" si="158"/>
        <v>49777.5</v>
      </c>
      <c r="K1121" s="7">
        <f t="shared" si="159"/>
        <v>-50747.18191218737</v>
      </c>
      <c r="L1121" s="4">
        <f>IF(A1121&gt;'Yield Curve'!A1735,L1120,(1+VLOOKUP(A1121,'Yield Curve'!A1114:B1736,2,FALSE))^(1/12)-1)</f>
        <v>7.9741404289037643E-3</v>
      </c>
      <c r="M1121" s="5">
        <f t="shared" si="160"/>
        <v>-7.3492053349607893</v>
      </c>
    </row>
    <row r="1122" spans="1:13" x14ac:dyDescent="0.25">
      <c r="A1122" s="4">
        <v>1114</v>
      </c>
      <c r="B1122" s="4">
        <f t="shared" si="153"/>
        <v>137</v>
      </c>
      <c r="C1122" s="4">
        <f t="shared" si="154"/>
        <v>1129</v>
      </c>
      <c r="D1122" s="4">
        <f>IF(B1122&gt;'Mortality Table'!$A$118,D1121,VLOOKUP(B1122,'Mortality Table'!$A$2:$B$118,2,FALSE))</f>
        <v>0.59733000000000003</v>
      </c>
      <c r="E1122" s="4">
        <f>IF(INT((C1122-1)/12)+1&gt;'Lapse Table'!$A$11,E1121,VLOOKUP(INT((C1122-1)/12)+1,'Lapse Table'!$A$2:$B$11,2,FALSE))/12</f>
        <v>0</v>
      </c>
      <c r="F1122" s="5">
        <f t="shared" si="161"/>
        <v>-29.140234865621039</v>
      </c>
      <c r="G1122" s="6">
        <f t="shared" si="155"/>
        <v>4.9777500000000002E-2</v>
      </c>
      <c r="H1122" s="6">
        <f t="shared" si="156"/>
        <v>0</v>
      </c>
      <c r="I1122" s="7">
        <f t="shared" si="157"/>
        <v>-971.34116218736801</v>
      </c>
      <c r="J1122" s="8">
        <f t="shared" si="158"/>
        <v>49777.5</v>
      </c>
      <c r="K1122" s="7">
        <f t="shared" si="159"/>
        <v>-50748.841162187367</v>
      </c>
      <c r="L1122" s="4">
        <f>IF(A1122&gt;'Yield Curve'!A1736,L1121,(1+VLOOKUP(A1122,'Yield Curve'!A1115:B1737,2,FALSE))^(1/12)-1)</f>
        <v>7.9741404289037643E-3</v>
      </c>
      <c r="M1122" s="5">
        <f t="shared" si="160"/>
        <v>-7.2913037475027433</v>
      </c>
    </row>
    <row r="1123" spans="1:13" x14ac:dyDescent="0.25">
      <c r="A1123" s="4">
        <v>1115</v>
      </c>
      <c r="B1123" s="4">
        <f t="shared" si="153"/>
        <v>137</v>
      </c>
      <c r="C1123" s="4">
        <f t="shared" si="154"/>
        <v>1130</v>
      </c>
      <c r="D1123" s="4">
        <f>IF(B1123&gt;'Mortality Table'!$A$118,D1122,VLOOKUP(B1123,'Mortality Table'!$A$2:$B$118,2,FALSE))</f>
        <v>0.59733000000000003</v>
      </c>
      <c r="E1123" s="4">
        <f>IF(INT((C1123-1)/12)+1&gt;'Lapse Table'!$A$11,E1122,VLOOKUP(INT((C1123-1)/12)+1,'Lapse Table'!$A$2:$B$11,2,FALSE))/12</f>
        <v>0</v>
      </c>
      <c r="F1123" s="5">
        <f t="shared" si="161"/>
        <v>-29.19001236562104</v>
      </c>
      <c r="G1123" s="6">
        <f t="shared" si="155"/>
        <v>4.9777500000000002E-2</v>
      </c>
      <c r="H1123" s="6">
        <f t="shared" si="156"/>
        <v>0</v>
      </c>
      <c r="I1123" s="7">
        <f t="shared" si="157"/>
        <v>-973.00041218736806</v>
      </c>
      <c r="J1123" s="8">
        <f t="shared" si="158"/>
        <v>49777.5</v>
      </c>
      <c r="K1123" s="7">
        <f t="shared" si="159"/>
        <v>-50750.500412187364</v>
      </c>
      <c r="L1123" s="4">
        <f>IF(A1123&gt;'Yield Curve'!A1737,L1122,(1+VLOOKUP(A1123,'Yield Curve'!A1116:B1738,2,FALSE))^(1/12)-1)</f>
        <v>7.9741404289037643E-3</v>
      </c>
      <c r="M1123" s="5">
        <f t="shared" si="160"/>
        <v>-7.2338583368484253</v>
      </c>
    </row>
    <row r="1124" spans="1:13" x14ac:dyDescent="0.25">
      <c r="A1124" s="4">
        <v>1116</v>
      </c>
      <c r="B1124" s="4">
        <f t="shared" si="153"/>
        <v>138</v>
      </c>
      <c r="C1124" s="4">
        <f t="shared" si="154"/>
        <v>1131</v>
      </c>
      <c r="D1124" s="4">
        <f>IF(B1124&gt;'Mortality Table'!$A$118,D1123,VLOOKUP(B1124,'Mortality Table'!$A$2:$B$118,2,FALSE))</f>
        <v>0.59733000000000003</v>
      </c>
      <c r="E1124" s="4">
        <f>IF(INT((C1124-1)/12)+1&gt;'Lapse Table'!$A$11,E1123,VLOOKUP(INT((C1124-1)/12)+1,'Lapse Table'!$A$2:$B$11,2,FALSE))/12</f>
        <v>0</v>
      </c>
      <c r="F1124" s="5">
        <f t="shared" si="161"/>
        <v>-29.239789865621042</v>
      </c>
      <c r="G1124" s="6">
        <f t="shared" si="155"/>
        <v>4.9777500000000002E-2</v>
      </c>
      <c r="H1124" s="6">
        <f t="shared" si="156"/>
        <v>0</v>
      </c>
      <c r="I1124" s="7">
        <f t="shared" si="157"/>
        <v>-974.6596621873681</v>
      </c>
      <c r="J1124" s="8">
        <f t="shared" si="158"/>
        <v>49777.5</v>
      </c>
      <c r="K1124" s="7">
        <f t="shared" si="159"/>
        <v>-50752.159662187369</v>
      </c>
      <c r="L1124" s="4">
        <f>IF(A1124&gt;'Yield Curve'!A1738,L1123,(1+VLOOKUP(A1124,'Yield Curve'!A1117:B1739,2,FALSE))^(1/12)-1)</f>
        <v>7.9741404289037643E-3</v>
      </c>
      <c r="M1124" s="5">
        <f t="shared" si="160"/>
        <v>-7.1768655090770306</v>
      </c>
    </row>
    <row r="1125" spans="1:13" x14ac:dyDescent="0.25">
      <c r="A1125" s="4">
        <v>1117</v>
      </c>
      <c r="B1125" s="4">
        <f t="shared" si="153"/>
        <v>138</v>
      </c>
      <c r="C1125" s="4">
        <f t="shared" si="154"/>
        <v>1132</v>
      </c>
      <c r="D1125" s="4">
        <f>IF(B1125&gt;'Mortality Table'!$A$118,D1124,VLOOKUP(B1125,'Mortality Table'!$A$2:$B$118,2,FALSE))</f>
        <v>0.59733000000000003</v>
      </c>
      <c r="E1125" s="4">
        <f>IF(INT((C1125-1)/12)+1&gt;'Lapse Table'!$A$11,E1124,VLOOKUP(INT((C1125-1)/12)+1,'Lapse Table'!$A$2:$B$11,2,FALSE))/12</f>
        <v>0</v>
      </c>
      <c r="F1125" s="5">
        <f t="shared" si="161"/>
        <v>-29.289567365621043</v>
      </c>
      <c r="G1125" s="6">
        <f t="shared" si="155"/>
        <v>4.9777500000000002E-2</v>
      </c>
      <c r="H1125" s="6">
        <f t="shared" si="156"/>
        <v>0</v>
      </c>
      <c r="I1125" s="7">
        <f t="shared" si="157"/>
        <v>-976.31891218736803</v>
      </c>
      <c r="J1125" s="8">
        <f t="shared" si="158"/>
        <v>49777.5</v>
      </c>
      <c r="K1125" s="7">
        <f t="shared" si="159"/>
        <v>-50753.818912187366</v>
      </c>
      <c r="L1125" s="4">
        <f>IF(A1125&gt;'Yield Curve'!A1739,L1124,(1+VLOOKUP(A1125,'Yield Curve'!A1118:B1740,2,FALSE))^(1/12)-1)</f>
        <v>7.9741404289037643E-3</v>
      </c>
      <c r="M1125" s="5">
        <f t="shared" si="160"/>
        <v>-7.1203216985814421</v>
      </c>
    </row>
    <row r="1126" spans="1:13" x14ac:dyDescent="0.25">
      <c r="A1126" s="4">
        <v>1118</v>
      </c>
      <c r="B1126" s="4">
        <f t="shared" si="153"/>
        <v>138</v>
      </c>
      <c r="C1126" s="4">
        <f t="shared" si="154"/>
        <v>1133</v>
      </c>
      <c r="D1126" s="4">
        <f>IF(B1126&gt;'Mortality Table'!$A$118,D1125,VLOOKUP(B1126,'Mortality Table'!$A$2:$B$118,2,FALSE))</f>
        <v>0.59733000000000003</v>
      </c>
      <c r="E1126" s="4">
        <f>IF(INT((C1126-1)/12)+1&gt;'Lapse Table'!$A$11,E1125,VLOOKUP(INT((C1126-1)/12)+1,'Lapse Table'!$A$2:$B$11,2,FALSE))/12</f>
        <v>0</v>
      </c>
      <c r="F1126" s="5">
        <f t="shared" si="161"/>
        <v>-29.339344865621044</v>
      </c>
      <c r="G1126" s="6">
        <f t="shared" si="155"/>
        <v>4.9777500000000002E-2</v>
      </c>
      <c r="H1126" s="6">
        <f t="shared" si="156"/>
        <v>0</v>
      </c>
      <c r="I1126" s="7">
        <f t="shared" si="157"/>
        <v>-977.97816218736807</v>
      </c>
      <c r="J1126" s="8">
        <f t="shared" si="158"/>
        <v>49777.5</v>
      </c>
      <c r="K1126" s="7">
        <f t="shared" si="159"/>
        <v>-50755.47816218737</v>
      </c>
      <c r="L1126" s="4">
        <f>IF(A1126&gt;'Yield Curve'!A1740,L1125,(1+VLOOKUP(A1126,'Yield Curve'!A1119:B1741,2,FALSE))^(1/12)-1)</f>
        <v>7.9741404289037643E-3</v>
      </c>
      <c r="M1126" s="5">
        <f t="shared" si="160"/>
        <v>-7.0642233678451625</v>
      </c>
    </row>
    <row r="1127" spans="1:13" x14ac:dyDescent="0.25">
      <c r="A1127" s="4">
        <v>1119</v>
      </c>
      <c r="B1127" s="4">
        <f t="shared" si="153"/>
        <v>138</v>
      </c>
      <c r="C1127" s="4">
        <f t="shared" si="154"/>
        <v>1134</v>
      </c>
      <c r="D1127" s="4">
        <f>IF(B1127&gt;'Mortality Table'!$A$118,D1126,VLOOKUP(B1127,'Mortality Table'!$A$2:$B$118,2,FALSE))</f>
        <v>0.59733000000000003</v>
      </c>
      <c r="E1127" s="4">
        <f>IF(INT((C1127-1)/12)+1&gt;'Lapse Table'!$A$11,E1126,VLOOKUP(INT((C1127-1)/12)+1,'Lapse Table'!$A$2:$B$11,2,FALSE))/12</f>
        <v>0</v>
      </c>
      <c r="F1127" s="5">
        <f t="shared" si="161"/>
        <v>-29.389122365621045</v>
      </c>
      <c r="G1127" s="6">
        <f t="shared" si="155"/>
        <v>4.9777500000000002E-2</v>
      </c>
      <c r="H1127" s="6">
        <f t="shared" si="156"/>
        <v>0</v>
      </c>
      <c r="I1127" s="7">
        <f t="shared" si="157"/>
        <v>-979.63741218736823</v>
      </c>
      <c r="J1127" s="8">
        <f t="shared" si="158"/>
        <v>49777.5</v>
      </c>
      <c r="K1127" s="7">
        <f t="shared" si="159"/>
        <v>-50757.137412187367</v>
      </c>
      <c r="L1127" s="4">
        <f>IF(A1127&gt;'Yield Curve'!A1741,L1126,(1+VLOOKUP(A1127,'Yield Curve'!A1120:B1742,2,FALSE))^(1/12)-1)</f>
        <v>7.9741404289037643E-3</v>
      </c>
      <c r="M1127" s="5">
        <f t="shared" si="160"/>
        <v>-7.0085670072210151</v>
      </c>
    </row>
    <row r="1128" spans="1:13" x14ac:dyDescent="0.25">
      <c r="A1128" s="4">
        <v>1120</v>
      </c>
      <c r="B1128" s="4">
        <f t="shared" si="153"/>
        <v>138</v>
      </c>
      <c r="C1128" s="4">
        <f t="shared" si="154"/>
        <v>1135</v>
      </c>
      <c r="D1128" s="4">
        <f>IF(B1128&gt;'Mortality Table'!$A$118,D1127,VLOOKUP(B1128,'Mortality Table'!$A$2:$B$118,2,FALSE))</f>
        <v>0.59733000000000003</v>
      </c>
      <c r="E1128" s="4">
        <f>IF(INT((C1128-1)/12)+1&gt;'Lapse Table'!$A$11,E1127,VLOOKUP(INT((C1128-1)/12)+1,'Lapse Table'!$A$2:$B$11,2,FALSE))/12</f>
        <v>0</v>
      </c>
      <c r="F1128" s="5">
        <f t="shared" si="161"/>
        <v>-29.438899865621046</v>
      </c>
      <c r="G1128" s="6">
        <f t="shared" si="155"/>
        <v>4.9777500000000002E-2</v>
      </c>
      <c r="H1128" s="6">
        <f t="shared" si="156"/>
        <v>0</v>
      </c>
      <c r="I1128" s="7">
        <f t="shared" si="157"/>
        <v>-981.29666218736827</v>
      </c>
      <c r="J1128" s="8">
        <f t="shared" si="158"/>
        <v>49777.5</v>
      </c>
      <c r="K1128" s="7">
        <f t="shared" si="159"/>
        <v>-50758.796662187371</v>
      </c>
      <c r="L1128" s="4">
        <f>IF(A1128&gt;'Yield Curve'!A1742,L1127,(1+VLOOKUP(A1128,'Yield Curve'!A1121:B1743,2,FALSE))^(1/12)-1)</f>
        <v>7.9741404289037643E-3</v>
      </c>
      <c r="M1128" s="5">
        <f t="shared" si="160"/>
        <v>-6.9533491347115897</v>
      </c>
    </row>
    <row r="1129" spans="1:13" x14ac:dyDescent="0.25">
      <c r="A1129" s="4">
        <v>1121</v>
      </c>
      <c r="B1129" s="4">
        <f t="shared" si="153"/>
        <v>138</v>
      </c>
      <c r="C1129" s="4">
        <f t="shared" si="154"/>
        <v>1136</v>
      </c>
      <c r="D1129" s="4">
        <f>IF(B1129&gt;'Mortality Table'!$A$118,D1128,VLOOKUP(B1129,'Mortality Table'!$A$2:$B$118,2,FALSE))</f>
        <v>0.59733000000000003</v>
      </c>
      <c r="E1129" s="4">
        <f>IF(INT((C1129-1)/12)+1&gt;'Lapse Table'!$A$11,E1128,VLOOKUP(INT((C1129-1)/12)+1,'Lapse Table'!$A$2:$B$11,2,FALSE))/12</f>
        <v>0</v>
      </c>
      <c r="F1129" s="5">
        <f t="shared" si="161"/>
        <v>-29.488677365621047</v>
      </c>
      <c r="G1129" s="6">
        <f t="shared" si="155"/>
        <v>4.9777500000000002E-2</v>
      </c>
      <c r="H1129" s="6">
        <f t="shared" si="156"/>
        <v>0</v>
      </c>
      <c r="I1129" s="7">
        <f t="shared" si="157"/>
        <v>-982.9559121873682</v>
      </c>
      <c r="J1129" s="8">
        <f t="shared" si="158"/>
        <v>49777.5</v>
      </c>
      <c r="K1129" s="7">
        <f t="shared" si="159"/>
        <v>-50760.455912187368</v>
      </c>
      <c r="L1129" s="4">
        <f>IF(A1129&gt;'Yield Curve'!A1743,L1128,(1+VLOOKUP(A1129,'Yield Curve'!A1122:B1744,2,FALSE))^(1/12)-1)</f>
        <v>7.9741404289037643E-3</v>
      </c>
      <c r="M1129" s="5">
        <f t="shared" si="160"/>
        <v>-6.8985662957514196</v>
      </c>
    </row>
    <row r="1130" spans="1:13" x14ac:dyDescent="0.25">
      <c r="A1130" s="4">
        <v>1122</v>
      </c>
      <c r="B1130" s="4">
        <f t="shared" si="153"/>
        <v>138</v>
      </c>
      <c r="C1130" s="4">
        <f t="shared" si="154"/>
        <v>1137</v>
      </c>
      <c r="D1130" s="4">
        <f>IF(B1130&gt;'Mortality Table'!$A$118,D1129,VLOOKUP(B1130,'Mortality Table'!$A$2:$B$118,2,FALSE))</f>
        <v>0.59733000000000003</v>
      </c>
      <c r="E1130" s="4">
        <f>IF(INT((C1130-1)/12)+1&gt;'Lapse Table'!$A$11,E1129,VLOOKUP(INT((C1130-1)/12)+1,'Lapse Table'!$A$2:$B$11,2,FALSE))/12</f>
        <v>0</v>
      </c>
      <c r="F1130" s="5">
        <f t="shared" si="161"/>
        <v>-29.538454865621048</v>
      </c>
      <c r="G1130" s="6">
        <f t="shared" si="155"/>
        <v>4.9777500000000002E-2</v>
      </c>
      <c r="H1130" s="6">
        <f t="shared" si="156"/>
        <v>0</v>
      </c>
      <c r="I1130" s="7">
        <f t="shared" si="157"/>
        <v>-984.61516218736824</v>
      </c>
      <c r="J1130" s="8">
        <f t="shared" si="158"/>
        <v>49777.5</v>
      </c>
      <c r="K1130" s="7">
        <f t="shared" si="159"/>
        <v>-50762.115162187365</v>
      </c>
      <c r="L1130" s="4">
        <f>IF(A1130&gt;'Yield Curve'!A1744,L1129,(1+VLOOKUP(A1130,'Yield Curve'!A1123:B1745,2,FALSE))^(1/12)-1)</f>
        <v>7.9741404289037643E-3</v>
      </c>
      <c r="M1130" s="5">
        <f t="shared" si="160"/>
        <v>-6.8442150629908634</v>
      </c>
    </row>
    <row r="1131" spans="1:13" x14ac:dyDescent="0.25">
      <c r="A1131" s="4">
        <v>1123</v>
      </c>
      <c r="B1131" s="4">
        <f t="shared" si="153"/>
        <v>138</v>
      </c>
      <c r="C1131" s="4">
        <f t="shared" si="154"/>
        <v>1138</v>
      </c>
      <c r="D1131" s="4">
        <f>IF(B1131&gt;'Mortality Table'!$A$118,D1130,VLOOKUP(B1131,'Mortality Table'!$A$2:$B$118,2,FALSE))</f>
        <v>0.59733000000000003</v>
      </c>
      <c r="E1131" s="4">
        <f>IF(INT((C1131-1)/12)+1&gt;'Lapse Table'!$A$11,E1130,VLOOKUP(INT((C1131-1)/12)+1,'Lapse Table'!$A$2:$B$11,2,FALSE))/12</f>
        <v>0</v>
      </c>
      <c r="F1131" s="5">
        <f t="shared" si="161"/>
        <v>-29.58823236562105</v>
      </c>
      <c r="G1131" s="6">
        <f t="shared" si="155"/>
        <v>4.9777500000000002E-2</v>
      </c>
      <c r="H1131" s="6">
        <f t="shared" si="156"/>
        <v>0</v>
      </c>
      <c r="I1131" s="7">
        <f t="shared" si="157"/>
        <v>-986.27441218736828</v>
      </c>
      <c r="J1131" s="8">
        <f t="shared" si="158"/>
        <v>49777.5</v>
      </c>
      <c r="K1131" s="7">
        <f t="shared" si="159"/>
        <v>-50763.774412187369</v>
      </c>
      <c r="L1131" s="4">
        <f>IF(A1131&gt;'Yield Curve'!A1745,L1130,(1+VLOOKUP(A1131,'Yield Curve'!A1124:B1746,2,FALSE))^(1/12)-1)</f>
        <v>7.9741404289037643E-3</v>
      </c>
      <c r="M1131" s="5">
        <f t="shared" si="160"/>
        <v>-6.7902920360816985</v>
      </c>
    </row>
    <row r="1132" spans="1:13" x14ac:dyDescent="0.25">
      <c r="A1132" s="4">
        <v>1124</v>
      </c>
      <c r="B1132" s="4">
        <f t="shared" si="153"/>
        <v>138</v>
      </c>
      <c r="C1132" s="4">
        <f t="shared" si="154"/>
        <v>1139</v>
      </c>
      <c r="D1132" s="4">
        <f>IF(B1132&gt;'Mortality Table'!$A$118,D1131,VLOOKUP(B1132,'Mortality Table'!$A$2:$B$118,2,FALSE))</f>
        <v>0.59733000000000003</v>
      </c>
      <c r="E1132" s="4">
        <f>IF(INT((C1132-1)/12)+1&gt;'Lapse Table'!$A$11,E1131,VLOOKUP(INT((C1132-1)/12)+1,'Lapse Table'!$A$2:$B$11,2,FALSE))/12</f>
        <v>0</v>
      </c>
      <c r="F1132" s="5">
        <f t="shared" si="161"/>
        <v>-29.638009865621051</v>
      </c>
      <c r="G1132" s="6">
        <f t="shared" si="155"/>
        <v>4.9777500000000002E-2</v>
      </c>
      <c r="H1132" s="6">
        <f t="shared" si="156"/>
        <v>0</v>
      </c>
      <c r="I1132" s="7">
        <f t="shared" si="157"/>
        <v>-987.93366218736844</v>
      </c>
      <c r="J1132" s="8">
        <f t="shared" si="158"/>
        <v>49777.5</v>
      </c>
      <c r="K1132" s="7">
        <f t="shared" si="159"/>
        <v>-50765.433662187366</v>
      </c>
      <c r="L1132" s="4">
        <f>IF(A1132&gt;'Yield Curve'!A1746,L1131,(1+VLOOKUP(A1132,'Yield Curve'!A1125:B1747,2,FALSE))^(1/12)-1)</f>
        <v>7.9741404289037643E-3</v>
      </c>
      <c r="M1132" s="5">
        <f t="shared" si="160"/>
        <v>-6.7367938414643964</v>
      </c>
    </row>
    <row r="1133" spans="1:13" x14ac:dyDescent="0.25">
      <c r="A1133" s="4">
        <v>1125</v>
      </c>
      <c r="B1133" s="4">
        <f t="shared" si="153"/>
        <v>138</v>
      </c>
      <c r="C1133" s="4">
        <f t="shared" si="154"/>
        <v>1140</v>
      </c>
      <c r="D1133" s="4">
        <f>IF(B1133&gt;'Mortality Table'!$A$118,D1132,VLOOKUP(B1133,'Mortality Table'!$A$2:$B$118,2,FALSE))</f>
        <v>0.59733000000000003</v>
      </c>
      <c r="E1133" s="4">
        <f>IF(INT((C1133-1)/12)+1&gt;'Lapse Table'!$A$11,E1132,VLOOKUP(INT((C1133-1)/12)+1,'Lapse Table'!$A$2:$B$11,2,FALSE))/12</f>
        <v>0</v>
      </c>
      <c r="F1133" s="5">
        <f t="shared" si="161"/>
        <v>-29.687787365621052</v>
      </c>
      <c r="G1133" s="6">
        <f t="shared" si="155"/>
        <v>4.9777500000000002E-2</v>
      </c>
      <c r="H1133" s="6">
        <f t="shared" si="156"/>
        <v>0</v>
      </c>
      <c r="I1133" s="7">
        <f t="shared" si="157"/>
        <v>-989.59291218736837</v>
      </c>
      <c r="J1133" s="8">
        <f t="shared" si="158"/>
        <v>49777.5</v>
      </c>
      <c r="K1133" s="7">
        <f t="shared" si="159"/>
        <v>-50767.092912187371</v>
      </c>
      <c r="L1133" s="4">
        <f>IF(A1133&gt;'Yield Curve'!A1747,L1132,(1+VLOOKUP(A1133,'Yield Curve'!A1126:B1748,2,FALSE))^(1/12)-1)</f>
        <v>7.9741404289037643E-3</v>
      </c>
      <c r="M1133" s="5">
        <f t="shared" si="160"/>
        <v>-6.6837171321570956</v>
      </c>
    </row>
    <row r="1134" spans="1:13" x14ac:dyDescent="0.25">
      <c r="A1134" s="4">
        <v>1126</v>
      </c>
      <c r="B1134" s="4">
        <f t="shared" si="153"/>
        <v>138</v>
      </c>
      <c r="C1134" s="4">
        <f t="shared" si="154"/>
        <v>1141</v>
      </c>
      <c r="D1134" s="4">
        <f>IF(B1134&gt;'Mortality Table'!$A$118,D1133,VLOOKUP(B1134,'Mortality Table'!$A$2:$B$118,2,FALSE))</f>
        <v>0.59733000000000003</v>
      </c>
      <c r="E1134" s="4">
        <f>IF(INT((C1134-1)/12)+1&gt;'Lapse Table'!$A$11,E1133,VLOOKUP(INT((C1134-1)/12)+1,'Lapse Table'!$A$2:$B$11,2,FALSE))/12</f>
        <v>0</v>
      </c>
      <c r="F1134" s="5">
        <f t="shared" si="161"/>
        <v>-29.737564865621053</v>
      </c>
      <c r="G1134" s="6">
        <f t="shared" si="155"/>
        <v>4.9777500000000002E-2</v>
      </c>
      <c r="H1134" s="6">
        <f t="shared" si="156"/>
        <v>0</v>
      </c>
      <c r="I1134" s="7">
        <f t="shared" si="157"/>
        <v>-991.25216218736841</v>
      </c>
      <c r="J1134" s="8">
        <f t="shared" si="158"/>
        <v>49777.5</v>
      </c>
      <c r="K1134" s="7">
        <f t="shared" si="159"/>
        <v>-50768.752162187368</v>
      </c>
      <c r="L1134" s="4">
        <f>IF(A1134&gt;'Yield Curve'!A1748,L1133,(1+VLOOKUP(A1134,'Yield Curve'!A1127:B1749,2,FALSE))^(1/12)-1)</f>
        <v>7.9741404289037643E-3</v>
      </c>
      <c r="M1134" s="5">
        <f t="shared" si="160"/>
        <v>-6.6310585875461996</v>
      </c>
    </row>
    <row r="1135" spans="1:13" x14ac:dyDescent="0.25">
      <c r="A1135" s="4">
        <v>1127</v>
      </c>
      <c r="B1135" s="4">
        <f t="shared" si="153"/>
        <v>138</v>
      </c>
      <c r="C1135" s="4">
        <f t="shared" si="154"/>
        <v>1142</v>
      </c>
      <c r="D1135" s="4">
        <f>IF(B1135&gt;'Mortality Table'!$A$118,D1134,VLOOKUP(B1135,'Mortality Table'!$A$2:$B$118,2,FALSE))</f>
        <v>0.59733000000000003</v>
      </c>
      <c r="E1135" s="4">
        <f>IF(INT((C1135-1)/12)+1&gt;'Lapse Table'!$A$11,E1134,VLOOKUP(INT((C1135-1)/12)+1,'Lapse Table'!$A$2:$B$11,2,FALSE))/12</f>
        <v>0</v>
      </c>
      <c r="F1135" s="5">
        <f t="shared" si="161"/>
        <v>-29.787342365621054</v>
      </c>
      <c r="G1135" s="6">
        <f t="shared" si="155"/>
        <v>4.9777500000000002E-2</v>
      </c>
      <c r="H1135" s="6">
        <f t="shared" si="156"/>
        <v>0</v>
      </c>
      <c r="I1135" s="7">
        <f t="shared" si="157"/>
        <v>-992.91141218736846</v>
      </c>
      <c r="J1135" s="8">
        <f t="shared" si="158"/>
        <v>49777.5</v>
      </c>
      <c r="K1135" s="7">
        <f t="shared" si="159"/>
        <v>-50770.411412187372</v>
      </c>
      <c r="L1135" s="4">
        <f>IF(A1135&gt;'Yield Curve'!A1749,L1134,(1+VLOOKUP(A1135,'Yield Curve'!A1128:B1750,2,FALSE))^(1/12)-1)</f>
        <v>7.9741404289037643E-3</v>
      </c>
      <c r="M1135" s="5">
        <f t="shared" si="160"/>
        <v>-6.5788149131786637</v>
      </c>
    </row>
    <row r="1136" spans="1:13" x14ac:dyDescent="0.25">
      <c r="A1136" s="4">
        <v>1128</v>
      </c>
      <c r="B1136" s="4">
        <f t="shared" si="153"/>
        <v>139</v>
      </c>
      <c r="C1136" s="4">
        <f t="shared" si="154"/>
        <v>1143</v>
      </c>
      <c r="D1136" s="4">
        <f>IF(B1136&gt;'Mortality Table'!$A$118,D1135,VLOOKUP(B1136,'Mortality Table'!$A$2:$B$118,2,FALSE))</f>
        <v>0.59733000000000003</v>
      </c>
      <c r="E1136" s="4">
        <f>IF(INT((C1136-1)/12)+1&gt;'Lapse Table'!$A$11,E1135,VLOOKUP(INT((C1136-1)/12)+1,'Lapse Table'!$A$2:$B$11,2,FALSE))/12</f>
        <v>0</v>
      </c>
      <c r="F1136" s="5">
        <f t="shared" si="161"/>
        <v>-29.837119865621055</v>
      </c>
      <c r="G1136" s="6">
        <f t="shared" si="155"/>
        <v>4.9777500000000002E-2</v>
      </c>
      <c r="H1136" s="6">
        <f t="shared" si="156"/>
        <v>0</v>
      </c>
      <c r="I1136" s="7">
        <f t="shared" si="157"/>
        <v>-994.57066218736861</v>
      </c>
      <c r="J1136" s="8">
        <f t="shared" si="158"/>
        <v>49777.5</v>
      </c>
      <c r="K1136" s="7">
        <f t="shared" si="159"/>
        <v>-50772.070662187369</v>
      </c>
      <c r="L1136" s="4">
        <f>IF(A1136&gt;'Yield Curve'!A1750,L1135,(1+VLOOKUP(A1136,'Yield Curve'!A1129:B1751,2,FALSE))^(1/12)-1)</f>
        <v>7.9741404289037643E-3</v>
      </c>
      <c r="M1136" s="5">
        <f t="shared" si="160"/>
        <v>-6.5269828405558812</v>
      </c>
    </row>
    <row r="1137" spans="1:13" x14ac:dyDescent="0.25">
      <c r="A1137" s="4">
        <v>1129</v>
      </c>
      <c r="B1137" s="4">
        <f t="shared" si="153"/>
        <v>139</v>
      </c>
      <c r="C1137" s="4">
        <f t="shared" si="154"/>
        <v>1144</v>
      </c>
      <c r="D1137" s="4">
        <f>IF(B1137&gt;'Mortality Table'!$A$118,D1136,VLOOKUP(B1137,'Mortality Table'!$A$2:$B$118,2,FALSE))</f>
        <v>0.59733000000000003</v>
      </c>
      <c r="E1137" s="4">
        <f>IF(INT((C1137-1)/12)+1&gt;'Lapse Table'!$A$11,E1136,VLOOKUP(INT((C1137-1)/12)+1,'Lapse Table'!$A$2:$B$11,2,FALSE))/12</f>
        <v>0</v>
      </c>
      <c r="F1137" s="5">
        <f t="shared" si="161"/>
        <v>-29.886897365621056</v>
      </c>
      <c r="G1137" s="6">
        <f t="shared" si="155"/>
        <v>4.9777500000000002E-2</v>
      </c>
      <c r="H1137" s="6">
        <f t="shared" si="156"/>
        <v>0</v>
      </c>
      <c r="I1137" s="7">
        <f t="shared" si="157"/>
        <v>-996.22991218736854</v>
      </c>
      <c r="J1137" s="8">
        <f t="shared" si="158"/>
        <v>49777.5</v>
      </c>
      <c r="K1137" s="7">
        <f t="shared" si="159"/>
        <v>-50773.729912187366</v>
      </c>
      <c r="L1137" s="4">
        <f>IF(A1137&gt;'Yield Curve'!A1751,L1136,(1+VLOOKUP(A1137,'Yield Curve'!A1130:B1752,2,FALSE))^(1/12)-1)</f>
        <v>7.9741404289037643E-3</v>
      </c>
      <c r="M1137" s="5">
        <f t="shared" si="160"/>
        <v>-6.4755591269292312</v>
      </c>
    </row>
    <row r="1138" spans="1:13" x14ac:dyDescent="0.25">
      <c r="A1138" s="4">
        <v>1130</v>
      </c>
      <c r="B1138" s="4">
        <f t="shared" si="153"/>
        <v>139</v>
      </c>
      <c r="C1138" s="4">
        <f t="shared" si="154"/>
        <v>1145</v>
      </c>
      <c r="D1138" s="4">
        <f>IF(B1138&gt;'Mortality Table'!$A$118,D1137,VLOOKUP(B1138,'Mortality Table'!$A$2:$B$118,2,FALSE))</f>
        <v>0.59733000000000003</v>
      </c>
      <c r="E1138" s="4">
        <f>IF(INT((C1138-1)/12)+1&gt;'Lapse Table'!$A$11,E1137,VLOOKUP(INT((C1138-1)/12)+1,'Lapse Table'!$A$2:$B$11,2,FALSE))/12</f>
        <v>0</v>
      </c>
      <c r="F1138" s="5">
        <f t="shared" si="161"/>
        <v>-29.936674865621058</v>
      </c>
      <c r="G1138" s="6">
        <f t="shared" si="155"/>
        <v>4.9777500000000002E-2</v>
      </c>
      <c r="H1138" s="6">
        <f t="shared" si="156"/>
        <v>0</v>
      </c>
      <c r="I1138" s="7">
        <f t="shared" si="157"/>
        <v>-997.88916218736858</v>
      </c>
      <c r="J1138" s="8">
        <f t="shared" si="158"/>
        <v>49777.5</v>
      </c>
      <c r="K1138" s="7">
        <f t="shared" si="159"/>
        <v>-50775.38916218737</v>
      </c>
      <c r="L1138" s="4">
        <f>IF(A1138&gt;'Yield Curve'!A1752,L1137,(1+VLOOKUP(A1138,'Yield Curve'!A1131:B1753,2,FALSE))^(1/12)-1)</f>
        <v>7.9741404289037643E-3</v>
      </c>
      <c r="M1138" s="5">
        <f t="shared" si="160"/>
        <v>-6.4245405550972077</v>
      </c>
    </row>
    <row r="1139" spans="1:13" x14ac:dyDescent="0.25">
      <c r="A1139" s="4">
        <v>1131</v>
      </c>
      <c r="B1139" s="4">
        <f t="shared" si="153"/>
        <v>139</v>
      </c>
      <c r="C1139" s="4">
        <f t="shared" si="154"/>
        <v>1146</v>
      </c>
      <c r="D1139" s="4">
        <f>IF(B1139&gt;'Mortality Table'!$A$118,D1138,VLOOKUP(B1139,'Mortality Table'!$A$2:$B$118,2,FALSE))</f>
        <v>0.59733000000000003</v>
      </c>
      <c r="E1139" s="4">
        <f>IF(INT((C1139-1)/12)+1&gt;'Lapse Table'!$A$11,E1138,VLOOKUP(INT((C1139-1)/12)+1,'Lapse Table'!$A$2:$B$11,2,FALSE))/12</f>
        <v>0</v>
      </c>
      <c r="F1139" s="5">
        <f t="shared" si="161"/>
        <v>-29.986452365621059</v>
      </c>
      <c r="G1139" s="6">
        <f t="shared" si="155"/>
        <v>4.9777500000000002E-2</v>
      </c>
      <c r="H1139" s="6">
        <f t="shared" si="156"/>
        <v>0</v>
      </c>
      <c r="I1139" s="7">
        <f t="shared" si="157"/>
        <v>-999.54841218736863</v>
      </c>
      <c r="J1139" s="8">
        <f t="shared" si="158"/>
        <v>49777.5</v>
      </c>
      <c r="K1139" s="7">
        <f t="shared" si="159"/>
        <v>-50777.048412187367</v>
      </c>
      <c r="L1139" s="4">
        <f>IF(A1139&gt;'Yield Curve'!A1753,L1138,(1+VLOOKUP(A1139,'Yield Curve'!A1132:B1754,2,FALSE))^(1/12)-1)</f>
        <v>7.9741404289037643E-3</v>
      </c>
      <c r="M1139" s="5">
        <f t="shared" si="160"/>
        <v>-6.3739239332041553</v>
      </c>
    </row>
    <row r="1140" spans="1:13" x14ac:dyDescent="0.25">
      <c r="A1140" s="4">
        <v>1132</v>
      </c>
      <c r="B1140" s="4">
        <f t="shared" si="153"/>
        <v>139</v>
      </c>
      <c r="C1140" s="4">
        <f t="shared" si="154"/>
        <v>1147</v>
      </c>
      <c r="D1140" s="4">
        <f>IF(B1140&gt;'Mortality Table'!$A$118,D1139,VLOOKUP(B1140,'Mortality Table'!$A$2:$B$118,2,FALSE))</f>
        <v>0.59733000000000003</v>
      </c>
      <c r="E1140" s="4">
        <f>IF(INT((C1140-1)/12)+1&gt;'Lapse Table'!$A$11,E1139,VLOOKUP(INT((C1140-1)/12)+1,'Lapse Table'!$A$2:$B$11,2,FALSE))/12</f>
        <v>0</v>
      </c>
      <c r="F1140" s="5">
        <f t="shared" si="161"/>
        <v>-30.03622986562106</v>
      </c>
      <c r="G1140" s="6">
        <f t="shared" si="155"/>
        <v>4.9777500000000002E-2</v>
      </c>
      <c r="H1140" s="6">
        <f t="shared" si="156"/>
        <v>0</v>
      </c>
      <c r="I1140" s="7">
        <f t="shared" si="157"/>
        <v>-1001.2076621873686</v>
      </c>
      <c r="J1140" s="8">
        <f t="shared" si="158"/>
        <v>49777.5</v>
      </c>
      <c r="K1140" s="7">
        <f t="shared" si="159"/>
        <v>-50778.707662187371</v>
      </c>
      <c r="L1140" s="4">
        <f>IF(A1140&gt;'Yield Curve'!A1754,L1139,(1+VLOOKUP(A1140,'Yield Curve'!A1133:B1755,2,FALSE))^(1/12)-1)</f>
        <v>7.9741404289037643E-3</v>
      </c>
      <c r="M1140" s="5">
        <f t="shared" si="160"/>
        <v>-6.3237060945405954</v>
      </c>
    </row>
    <row r="1141" spans="1:13" x14ac:dyDescent="0.25">
      <c r="A1141" s="4">
        <v>1133</v>
      </c>
      <c r="B1141" s="4">
        <f t="shared" si="153"/>
        <v>139</v>
      </c>
      <c r="C1141" s="4">
        <f t="shared" si="154"/>
        <v>1148</v>
      </c>
      <c r="D1141" s="4">
        <f>IF(B1141&gt;'Mortality Table'!$A$118,D1140,VLOOKUP(B1141,'Mortality Table'!$A$2:$B$118,2,FALSE))</f>
        <v>0.59733000000000003</v>
      </c>
      <c r="E1141" s="4">
        <f>IF(INT((C1141-1)/12)+1&gt;'Lapse Table'!$A$11,E1140,VLOOKUP(INT((C1141-1)/12)+1,'Lapse Table'!$A$2:$B$11,2,FALSE))/12</f>
        <v>0</v>
      </c>
      <c r="F1141" s="5">
        <f t="shared" si="161"/>
        <v>-30.086007365621061</v>
      </c>
      <c r="G1141" s="6">
        <f t="shared" si="155"/>
        <v>4.9777500000000002E-2</v>
      </c>
      <c r="H1141" s="6">
        <f t="shared" si="156"/>
        <v>0</v>
      </c>
      <c r="I1141" s="7">
        <f t="shared" si="157"/>
        <v>-1002.8669121873687</v>
      </c>
      <c r="J1141" s="8">
        <f t="shared" si="158"/>
        <v>49777.5</v>
      </c>
      <c r="K1141" s="7">
        <f t="shared" si="159"/>
        <v>-50780.366912187368</v>
      </c>
      <c r="L1141" s="4">
        <f>IF(A1141&gt;'Yield Curve'!A1755,L1140,(1+VLOOKUP(A1141,'Yield Curve'!A1134:B1756,2,FALSE))^(1/12)-1)</f>
        <v>7.9741404289037643E-3</v>
      </c>
      <c r="M1141" s="5">
        <f t="shared" si="160"/>
        <v>-6.2738838973451232</v>
      </c>
    </row>
    <row r="1142" spans="1:13" x14ac:dyDescent="0.25">
      <c r="A1142" s="4">
        <v>1134</v>
      </c>
      <c r="B1142" s="4">
        <f t="shared" si="153"/>
        <v>139</v>
      </c>
      <c r="C1142" s="4">
        <f t="shared" si="154"/>
        <v>1149</v>
      </c>
      <c r="D1142" s="4">
        <f>IF(B1142&gt;'Mortality Table'!$A$118,D1141,VLOOKUP(B1142,'Mortality Table'!$A$2:$B$118,2,FALSE))</f>
        <v>0.59733000000000003</v>
      </c>
      <c r="E1142" s="4">
        <f>IF(INT((C1142-1)/12)+1&gt;'Lapse Table'!$A$11,E1141,VLOOKUP(INT((C1142-1)/12)+1,'Lapse Table'!$A$2:$B$11,2,FALSE))/12</f>
        <v>0</v>
      </c>
      <c r="F1142" s="5">
        <f t="shared" si="161"/>
        <v>-30.135784865621062</v>
      </c>
      <c r="G1142" s="6">
        <f t="shared" si="155"/>
        <v>4.9777500000000002E-2</v>
      </c>
      <c r="H1142" s="6">
        <f t="shared" si="156"/>
        <v>0</v>
      </c>
      <c r="I1142" s="7">
        <f t="shared" si="157"/>
        <v>-1004.5261621873688</v>
      </c>
      <c r="J1142" s="8">
        <f t="shared" si="158"/>
        <v>49777.5</v>
      </c>
      <c r="K1142" s="7">
        <f t="shared" si="159"/>
        <v>-50782.026162187365</v>
      </c>
      <c r="L1142" s="4">
        <f>IF(A1142&gt;'Yield Curve'!A1756,L1141,(1+VLOOKUP(A1142,'Yield Curve'!A1135:B1757,2,FALSE))^(1/12)-1)</f>
        <v>7.9741404289037643E-3</v>
      </c>
      <c r="M1142" s="5">
        <f t="shared" si="160"/>
        <v>-6.2244542246078636</v>
      </c>
    </row>
    <row r="1143" spans="1:13" x14ac:dyDescent="0.25">
      <c r="A1143" s="4">
        <v>1135</v>
      </c>
      <c r="B1143" s="4">
        <f t="shared" si="153"/>
        <v>139</v>
      </c>
      <c r="C1143" s="4">
        <f t="shared" si="154"/>
        <v>1150</v>
      </c>
      <c r="D1143" s="4">
        <f>IF(B1143&gt;'Mortality Table'!$A$118,D1142,VLOOKUP(B1143,'Mortality Table'!$A$2:$B$118,2,FALSE))</f>
        <v>0.59733000000000003</v>
      </c>
      <c r="E1143" s="4">
        <f>IF(INT((C1143-1)/12)+1&gt;'Lapse Table'!$A$11,E1142,VLOOKUP(INT((C1143-1)/12)+1,'Lapse Table'!$A$2:$B$11,2,FALSE))/12</f>
        <v>0</v>
      </c>
      <c r="F1143" s="5">
        <f t="shared" si="161"/>
        <v>-30.185562365621063</v>
      </c>
      <c r="G1143" s="6">
        <f t="shared" si="155"/>
        <v>4.9777500000000002E-2</v>
      </c>
      <c r="H1143" s="6">
        <f t="shared" si="156"/>
        <v>0</v>
      </c>
      <c r="I1143" s="7">
        <f t="shared" si="157"/>
        <v>-1006.1854121873688</v>
      </c>
      <c r="J1143" s="8">
        <f t="shared" si="158"/>
        <v>49777.5</v>
      </c>
      <c r="K1143" s="7">
        <f t="shared" si="159"/>
        <v>-50783.685412187369</v>
      </c>
      <c r="L1143" s="4">
        <f>IF(A1143&gt;'Yield Curve'!A1757,L1142,(1+VLOOKUP(A1143,'Yield Curve'!A1136:B1758,2,FALSE))^(1/12)-1)</f>
        <v>7.9741404289037643E-3</v>
      </c>
      <c r="M1143" s="5">
        <f t="shared" si="160"/>
        <v>-6.1754139838754769</v>
      </c>
    </row>
    <row r="1144" spans="1:13" x14ac:dyDescent="0.25">
      <c r="A1144" s="4">
        <v>1136</v>
      </c>
      <c r="B1144" s="4">
        <f t="shared" si="153"/>
        <v>139</v>
      </c>
      <c r="C1144" s="4">
        <f t="shared" si="154"/>
        <v>1151</v>
      </c>
      <c r="D1144" s="4">
        <f>IF(B1144&gt;'Mortality Table'!$A$118,D1143,VLOOKUP(B1144,'Mortality Table'!$A$2:$B$118,2,FALSE))</f>
        <v>0.59733000000000003</v>
      </c>
      <c r="E1144" s="4">
        <f>IF(INT((C1144-1)/12)+1&gt;'Lapse Table'!$A$11,E1143,VLOOKUP(INT((C1144-1)/12)+1,'Lapse Table'!$A$2:$B$11,2,FALSE))/12</f>
        <v>0</v>
      </c>
      <c r="F1144" s="5">
        <f t="shared" si="161"/>
        <v>-30.235339865621064</v>
      </c>
      <c r="G1144" s="6">
        <f t="shared" si="155"/>
        <v>4.9777500000000002E-2</v>
      </c>
      <c r="H1144" s="6">
        <f t="shared" si="156"/>
        <v>0</v>
      </c>
      <c r="I1144" s="7">
        <f t="shared" si="157"/>
        <v>-1007.8446621873687</v>
      </c>
      <c r="J1144" s="8">
        <f t="shared" si="158"/>
        <v>49777.5</v>
      </c>
      <c r="K1144" s="7">
        <f t="shared" si="159"/>
        <v>-50785.344662187366</v>
      </c>
      <c r="L1144" s="4">
        <f>IF(A1144&gt;'Yield Curve'!A1758,L1143,(1+VLOOKUP(A1144,'Yield Curve'!A1137:B1759,2,FALSE))^(1/12)-1)</f>
        <v>7.9741404289037643E-3</v>
      </c>
      <c r="M1144" s="5">
        <f t="shared" si="160"/>
        <v>-6.1267601070576907</v>
      </c>
    </row>
    <row r="1145" spans="1:13" x14ac:dyDescent="0.25">
      <c r="A1145" s="4">
        <v>1137</v>
      </c>
      <c r="B1145" s="4">
        <f t="shared" si="153"/>
        <v>139</v>
      </c>
      <c r="C1145" s="4">
        <f t="shared" si="154"/>
        <v>1152</v>
      </c>
      <c r="D1145" s="4">
        <f>IF(B1145&gt;'Mortality Table'!$A$118,D1144,VLOOKUP(B1145,'Mortality Table'!$A$2:$B$118,2,FALSE))</f>
        <v>0.59733000000000003</v>
      </c>
      <c r="E1145" s="4">
        <f>IF(INT((C1145-1)/12)+1&gt;'Lapse Table'!$A$11,E1144,VLOOKUP(INT((C1145-1)/12)+1,'Lapse Table'!$A$2:$B$11,2,FALSE))/12</f>
        <v>0</v>
      </c>
      <c r="F1145" s="5">
        <f t="shared" si="161"/>
        <v>-30.285117365621065</v>
      </c>
      <c r="G1145" s="6">
        <f t="shared" si="155"/>
        <v>4.9777500000000002E-2</v>
      </c>
      <c r="H1145" s="6">
        <f t="shared" si="156"/>
        <v>0</v>
      </c>
      <c r="I1145" s="7">
        <f t="shared" si="157"/>
        <v>-1009.5039121873689</v>
      </c>
      <c r="J1145" s="8">
        <f t="shared" si="158"/>
        <v>49777.5</v>
      </c>
      <c r="K1145" s="7">
        <f t="shared" si="159"/>
        <v>-50787.003912187371</v>
      </c>
      <c r="L1145" s="4">
        <f>IF(A1145&gt;'Yield Curve'!A1759,L1144,(1+VLOOKUP(A1145,'Yield Curve'!A1138:B1760,2,FALSE))^(1/12)-1)</f>
        <v>7.9741404289037643E-3</v>
      </c>
      <c r="M1145" s="5">
        <f t="shared" si="160"/>
        <v>-6.0784895502353891</v>
      </c>
    </row>
    <row r="1146" spans="1:13" x14ac:dyDescent="0.25">
      <c r="A1146" s="4">
        <v>1138</v>
      </c>
      <c r="B1146" s="4">
        <f t="shared" si="153"/>
        <v>139</v>
      </c>
      <c r="C1146" s="4">
        <f t="shared" si="154"/>
        <v>1153</v>
      </c>
      <c r="D1146" s="4">
        <f>IF(B1146&gt;'Mortality Table'!$A$118,D1145,VLOOKUP(B1146,'Mortality Table'!$A$2:$B$118,2,FALSE))</f>
        <v>0.59733000000000003</v>
      </c>
      <c r="E1146" s="4">
        <f>IF(INT((C1146-1)/12)+1&gt;'Lapse Table'!$A$11,E1145,VLOOKUP(INT((C1146-1)/12)+1,'Lapse Table'!$A$2:$B$11,2,FALSE))/12</f>
        <v>0</v>
      </c>
      <c r="F1146" s="5">
        <f t="shared" si="161"/>
        <v>-30.334894865621067</v>
      </c>
      <c r="G1146" s="6">
        <f t="shared" si="155"/>
        <v>4.9777500000000002E-2</v>
      </c>
      <c r="H1146" s="6">
        <f t="shared" si="156"/>
        <v>0</v>
      </c>
      <c r="I1146" s="7">
        <f t="shared" si="157"/>
        <v>-1011.1631621873689</v>
      </c>
      <c r="J1146" s="8">
        <f t="shared" si="158"/>
        <v>49777.5</v>
      </c>
      <c r="K1146" s="7">
        <f t="shared" si="159"/>
        <v>-50788.663162187368</v>
      </c>
      <c r="L1146" s="4">
        <f>IF(A1146&gt;'Yield Curve'!A1760,L1145,(1+VLOOKUP(A1146,'Yield Curve'!A1139:B1761,2,FALSE))^(1/12)-1)</f>
        <v>7.9741404289037643E-3</v>
      </c>
      <c r="M1146" s="5">
        <f t="shared" si="160"/>
        <v>-6.0305992934701607</v>
      </c>
    </row>
    <row r="1147" spans="1:13" x14ac:dyDescent="0.25">
      <c r="A1147" s="4">
        <v>1139</v>
      </c>
      <c r="B1147" s="4">
        <f t="shared" si="153"/>
        <v>139</v>
      </c>
      <c r="C1147" s="4">
        <f t="shared" si="154"/>
        <v>1154</v>
      </c>
      <c r="D1147" s="4">
        <f>IF(B1147&gt;'Mortality Table'!$A$118,D1146,VLOOKUP(B1147,'Mortality Table'!$A$2:$B$118,2,FALSE))</f>
        <v>0.59733000000000003</v>
      </c>
      <c r="E1147" s="4">
        <f>IF(INT((C1147-1)/12)+1&gt;'Lapse Table'!$A$11,E1146,VLOOKUP(INT((C1147-1)/12)+1,'Lapse Table'!$A$2:$B$11,2,FALSE))/12</f>
        <v>0</v>
      </c>
      <c r="F1147" s="5">
        <f t="shared" si="161"/>
        <v>-30.384672365621068</v>
      </c>
      <c r="G1147" s="6">
        <f t="shared" si="155"/>
        <v>4.9777500000000002E-2</v>
      </c>
      <c r="H1147" s="6">
        <f t="shared" si="156"/>
        <v>0</v>
      </c>
      <c r="I1147" s="7">
        <f t="shared" si="157"/>
        <v>-1012.822412187369</v>
      </c>
      <c r="J1147" s="8">
        <f t="shared" si="158"/>
        <v>49777.5</v>
      </c>
      <c r="K1147" s="7">
        <f t="shared" si="159"/>
        <v>-50790.322412187372</v>
      </c>
      <c r="L1147" s="4">
        <f>IF(A1147&gt;'Yield Curve'!A1761,L1146,(1+VLOOKUP(A1147,'Yield Curve'!A1140:B1762,2,FALSE))^(1/12)-1)</f>
        <v>7.9741404289037643E-3</v>
      </c>
      <c r="M1147" s="5">
        <f t="shared" si="160"/>
        <v>-5.9830863406153973</v>
      </c>
    </row>
    <row r="1148" spans="1:13" x14ac:dyDescent="0.25">
      <c r="A1148" s="4">
        <v>1140</v>
      </c>
      <c r="B1148" s="4">
        <f t="shared" si="153"/>
        <v>140</v>
      </c>
      <c r="C1148" s="4">
        <f t="shared" si="154"/>
        <v>1155</v>
      </c>
      <c r="D1148" s="4">
        <f>IF(B1148&gt;'Mortality Table'!$A$118,D1147,VLOOKUP(B1148,'Mortality Table'!$A$2:$B$118,2,FALSE))</f>
        <v>0.59733000000000003</v>
      </c>
      <c r="E1148" s="4">
        <f>IF(INT((C1148-1)/12)+1&gt;'Lapse Table'!$A$11,E1147,VLOOKUP(INT((C1148-1)/12)+1,'Lapse Table'!$A$2:$B$11,2,FALSE))/12</f>
        <v>0</v>
      </c>
      <c r="F1148" s="5">
        <f t="shared" si="161"/>
        <v>-30.434449865621069</v>
      </c>
      <c r="G1148" s="6">
        <f t="shared" si="155"/>
        <v>4.9777500000000002E-2</v>
      </c>
      <c r="H1148" s="6">
        <f t="shared" si="156"/>
        <v>0</v>
      </c>
      <c r="I1148" s="7">
        <f t="shared" si="157"/>
        <v>-1014.4816621873689</v>
      </c>
      <c r="J1148" s="8">
        <f t="shared" si="158"/>
        <v>49777.5</v>
      </c>
      <c r="K1148" s="7">
        <f t="shared" si="159"/>
        <v>-50791.981662187369</v>
      </c>
      <c r="L1148" s="4">
        <f>IF(A1148&gt;'Yield Curve'!A1762,L1147,(1+VLOOKUP(A1148,'Yield Curve'!A1141:B1763,2,FALSE))^(1/12)-1)</f>
        <v>7.9741404289037643E-3</v>
      </c>
      <c r="M1148" s="5">
        <f t="shared" si="160"/>
        <v>-5.9359477191288486</v>
      </c>
    </row>
    <row r="1149" spans="1:13" x14ac:dyDescent="0.25">
      <c r="A1149" s="4">
        <v>1141</v>
      </c>
      <c r="B1149" s="4">
        <f t="shared" si="153"/>
        <v>140</v>
      </c>
      <c r="C1149" s="4">
        <f t="shared" si="154"/>
        <v>1156</v>
      </c>
      <c r="D1149" s="4">
        <f>IF(B1149&gt;'Mortality Table'!$A$118,D1148,VLOOKUP(B1149,'Mortality Table'!$A$2:$B$118,2,FALSE))</f>
        <v>0.59733000000000003</v>
      </c>
      <c r="E1149" s="4">
        <f>IF(INT((C1149-1)/12)+1&gt;'Lapse Table'!$A$11,E1148,VLOOKUP(INT((C1149-1)/12)+1,'Lapse Table'!$A$2:$B$11,2,FALSE))/12</f>
        <v>0</v>
      </c>
      <c r="F1149" s="5">
        <f t="shared" si="161"/>
        <v>-30.48422736562107</v>
      </c>
      <c r="G1149" s="6">
        <f t="shared" si="155"/>
        <v>4.9777500000000002E-2</v>
      </c>
      <c r="H1149" s="6">
        <f t="shared" si="156"/>
        <v>0</v>
      </c>
      <c r="I1149" s="7">
        <f t="shared" si="157"/>
        <v>-1016.1409121873689</v>
      </c>
      <c r="J1149" s="8">
        <f t="shared" si="158"/>
        <v>49777.5</v>
      </c>
      <c r="K1149" s="7">
        <f t="shared" si="159"/>
        <v>-50793.640912187366</v>
      </c>
      <c r="L1149" s="4">
        <f>IF(A1149&gt;'Yield Curve'!A1763,L1148,(1+VLOOKUP(A1149,'Yield Curve'!A1142:B1764,2,FALSE))^(1/12)-1)</f>
        <v>7.9741404289037643E-3</v>
      </c>
      <c r="M1149" s="5">
        <f t="shared" si="160"/>
        <v>-5.8891804798866669</v>
      </c>
    </row>
    <row r="1150" spans="1:13" x14ac:dyDescent="0.25">
      <c r="A1150" s="4">
        <v>1142</v>
      </c>
      <c r="B1150" s="4">
        <f t="shared" si="153"/>
        <v>140</v>
      </c>
      <c r="C1150" s="4">
        <f t="shared" si="154"/>
        <v>1157</v>
      </c>
      <c r="D1150" s="4">
        <f>IF(B1150&gt;'Mortality Table'!$A$118,D1149,VLOOKUP(B1150,'Mortality Table'!$A$2:$B$118,2,FALSE))</f>
        <v>0.59733000000000003</v>
      </c>
      <c r="E1150" s="4">
        <f>IF(INT((C1150-1)/12)+1&gt;'Lapse Table'!$A$11,E1149,VLOOKUP(INT((C1150-1)/12)+1,'Lapse Table'!$A$2:$B$11,2,FALSE))/12</f>
        <v>0</v>
      </c>
      <c r="F1150" s="5">
        <f t="shared" si="161"/>
        <v>-30.534004865621071</v>
      </c>
      <c r="G1150" s="6">
        <f t="shared" si="155"/>
        <v>4.9777500000000002E-2</v>
      </c>
      <c r="H1150" s="6">
        <f t="shared" si="156"/>
        <v>0</v>
      </c>
      <c r="I1150" s="7">
        <f t="shared" si="157"/>
        <v>-1017.8001621873691</v>
      </c>
      <c r="J1150" s="8">
        <f t="shared" si="158"/>
        <v>49777.5</v>
      </c>
      <c r="K1150" s="7">
        <f t="shared" si="159"/>
        <v>-50795.30016218737</v>
      </c>
      <c r="L1150" s="4">
        <f>IF(A1150&gt;'Yield Curve'!A1764,L1149,(1+VLOOKUP(A1150,'Yield Curve'!A1143:B1765,2,FALSE))^(1/12)-1)</f>
        <v>7.9741404289037643E-3</v>
      </c>
      <c r="M1150" s="5">
        <f t="shared" si="160"/>
        <v>-5.8427816969989239</v>
      </c>
    </row>
    <row r="1151" spans="1:13" x14ac:dyDescent="0.25">
      <c r="A1151" s="4">
        <v>1143</v>
      </c>
      <c r="B1151" s="4">
        <f t="shared" si="153"/>
        <v>140</v>
      </c>
      <c r="C1151" s="4">
        <f t="shared" si="154"/>
        <v>1158</v>
      </c>
      <c r="D1151" s="4">
        <f>IF(B1151&gt;'Mortality Table'!$A$118,D1150,VLOOKUP(B1151,'Mortality Table'!$A$2:$B$118,2,FALSE))</f>
        <v>0.59733000000000003</v>
      </c>
      <c r="E1151" s="4">
        <f>IF(INT((C1151-1)/12)+1&gt;'Lapse Table'!$A$11,E1150,VLOOKUP(INT((C1151-1)/12)+1,'Lapse Table'!$A$2:$B$11,2,FALSE))/12</f>
        <v>0</v>
      </c>
      <c r="F1151" s="5">
        <f t="shared" si="161"/>
        <v>-30.583782365621072</v>
      </c>
      <c r="G1151" s="6">
        <f t="shared" si="155"/>
        <v>4.9777500000000002E-2</v>
      </c>
      <c r="H1151" s="6">
        <f t="shared" si="156"/>
        <v>0</v>
      </c>
      <c r="I1151" s="7">
        <f t="shared" si="157"/>
        <v>-1019.4594121873691</v>
      </c>
      <c r="J1151" s="8">
        <f t="shared" si="158"/>
        <v>49777.5</v>
      </c>
      <c r="K1151" s="7">
        <f t="shared" si="159"/>
        <v>-50796.959412187367</v>
      </c>
      <c r="L1151" s="4">
        <f>IF(A1151&gt;'Yield Curve'!A1765,L1150,(1+VLOOKUP(A1151,'Yield Curve'!A1144:B1766,2,FALSE))^(1/12)-1)</f>
        <v>7.9741404289037643E-3</v>
      </c>
      <c r="M1151" s="5">
        <f t="shared" si="160"/>
        <v>-5.7967484676265535</v>
      </c>
    </row>
    <row r="1152" spans="1:13" x14ac:dyDescent="0.25">
      <c r="A1152" s="4">
        <v>1144</v>
      </c>
      <c r="B1152" s="4">
        <f t="shared" si="153"/>
        <v>140</v>
      </c>
      <c r="C1152" s="4">
        <f t="shared" si="154"/>
        <v>1159</v>
      </c>
      <c r="D1152" s="4">
        <f>IF(B1152&gt;'Mortality Table'!$A$118,D1151,VLOOKUP(B1152,'Mortality Table'!$A$2:$B$118,2,FALSE))</f>
        <v>0.59733000000000003</v>
      </c>
      <c r="E1152" s="4">
        <f>IF(INT((C1152-1)/12)+1&gt;'Lapse Table'!$A$11,E1151,VLOOKUP(INT((C1152-1)/12)+1,'Lapse Table'!$A$2:$B$11,2,FALSE))/12</f>
        <v>0</v>
      </c>
      <c r="F1152" s="5">
        <f t="shared" si="161"/>
        <v>-30.633559865621073</v>
      </c>
      <c r="G1152" s="6">
        <f t="shared" si="155"/>
        <v>4.9777500000000002E-2</v>
      </c>
      <c r="H1152" s="6">
        <f t="shared" si="156"/>
        <v>0</v>
      </c>
      <c r="I1152" s="7">
        <f t="shared" si="157"/>
        <v>-1021.1186621873691</v>
      </c>
      <c r="J1152" s="8">
        <f t="shared" si="158"/>
        <v>49777.5</v>
      </c>
      <c r="K1152" s="7">
        <f t="shared" si="159"/>
        <v>-50798.618662187371</v>
      </c>
      <c r="L1152" s="4">
        <f>IF(A1152&gt;'Yield Curve'!A1766,L1151,(1+VLOOKUP(A1152,'Yield Curve'!A1145:B1767,2,FALSE))^(1/12)-1)</f>
        <v>7.9741404289037643E-3</v>
      </c>
      <c r="M1152" s="5">
        <f t="shared" si="160"/>
        <v>-5.7510779117997677</v>
      </c>
    </row>
    <row r="1153" spans="1:13" x14ac:dyDescent="0.25">
      <c r="A1153" s="4">
        <v>1145</v>
      </c>
      <c r="B1153" s="4">
        <f t="shared" si="153"/>
        <v>140</v>
      </c>
      <c r="C1153" s="4">
        <f t="shared" si="154"/>
        <v>1160</v>
      </c>
      <c r="D1153" s="4">
        <f>IF(B1153&gt;'Mortality Table'!$A$118,D1152,VLOOKUP(B1153,'Mortality Table'!$A$2:$B$118,2,FALSE))</f>
        <v>0.59733000000000003</v>
      </c>
      <c r="E1153" s="4">
        <f>IF(INT((C1153-1)/12)+1&gt;'Lapse Table'!$A$11,E1152,VLOOKUP(INT((C1153-1)/12)+1,'Lapse Table'!$A$2:$B$11,2,FALSE))/12</f>
        <v>0</v>
      </c>
      <c r="F1153" s="5">
        <f t="shared" si="161"/>
        <v>-30.683337365621075</v>
      </c>
      <c r="G1153" s="6">
        <f t="shared" si="155"/>
        <v>4.9777500000000002E-2</v>
      </c>
      <c r="H1153" s="6">
        <f t="shared" si="156"/>
        <v>0</v>
      </c>
      <c r="I1153" s="7">
        <f t="shared" si="157"/>
        <v>-1022.7779121873691</v>
      </c>
      <c r="J1153" s="8">
        <f t="shared" si="158"/>
        <v>49777.5</v>
      </c>
      <c r="K1153" s="7">
        <f t="shared" si="159"/>
        <v>-50800.277912187368</v>
      </c>
      <c r="L1153" s="4">
        <f>IF(A1153&gt;'Yield Curve'!A1767,L1152,(1+VLOOKUP(A1153,'Yield Curve'!A1146:B1768,2,FALSE))^(1/12)-1)</f>
        <v>7.9741404289037643E-3</v>
      </c>
      <c r="M1153" s="5">
        <f t="shared" si="160"/>
        <v>-5.7057671722378922</v>
      </c>
    </row>
    <row r="1154" spans="1:13" x14ac:dyDescent="0.25">
      <c r="A1154" s="4">
        <v>1146</v>
      </c>
      <c r="B1154" s="4">
        <f t="shared" si="153"/>
        <v>140</v>
      </c>
      <c r="C1154" s="4">
        <f t="shared" si="154"/>
        <v>1161</v>
      </c>
      <c r="D1154" s="4">
        <f>IF(B1154&gt;'Mortality Table'!$A$118,D1153,VLOOKUP(B1154,'Mortality Table'!$A$2:$B$118,2,FALSE))</f>
        <v>0.59733000000000003</v>
      </c>
      <c r="E1154" s="4">
        <f>IF(INT((C1154-1)/12)+1&gt;'Lapse Table'!$A$11,E1153,VLOOKUP(INT((C1154-1)/12)+1,'Lapse Table'!$A$2:$B$11,2,FALSE))/12</f>
        <v>0</v>
      </c>
      <c r="F1154" s="5">
        <f t="shared" si="161"/>
        <v>-30.733114865621076</v>
      </c>
      <c r="G1154" s="6">
        <f t="shared" si="155"/>
        <v>4.9777500000000002E-2</v>
      </c>
      <c r="H1154" s="6">
        <f t="shared" si="156"/>
        <v>0</v>
      </c>
      <c r="I1154" s="7">
        <f t="shared" si="157"/>
        <v>-1024.437162187369</v>
      </c>
      <c r="J1154" s="8">
        <f t="shared" si="158"/>
        <v>49777.5</v>
      </c>
      <c r="K1154" s="7">
        <f t="shared" si="159"/>
        <v>-50801.937162187372</v>
      </c>
      <c r="L1154" s="4">
        <f>IF(A1154&gt;'Yield Curve'!A1768,L1153,(1+VLOOKUP(A1154,'Yield Curve'!A1147:B1769,2,FALSE))^(1/12)-1)</f>
        <v>7.9741404289037643E-3</v>
      </c>
      <c r="M1154" s="5">
        <f t="shared" si="160"/>
        <v>-5.6608134141706072</v>
      </c>
    </row>
    <row r="1155" spans="1:13" x14ac:dyDescent="0.25">
      <c r="A1155" s="4">
        <v>1147</v>
      </c>
      <c r="B1155" s="4">
        <f t="shared" si="153"/>
        <v>140</v>
      </c>
      <c r="C1155" s="4">
        <f t="shared" si="154"/>
        <v>1162</v>
      </c>
      <c r="D1155" s="4">
        <f>IF(B1155&gt;'Mortality Table'!$A$118,D1154,VLOOKUP(B1155,'Mortality Table'!$A$2:$B$118,2,FALSE))</f>
        <v>0.59733000000000003</v>
      </c>
      <c r="E1155" s="4">
        <f>IF(INT((C1155-1)/12)+1&gt;'Lapse Table'!$A$11,E1154,VLOOKUP(INT((C1155-1)/12)+1,'Lapse Table'!$A$2:$B$11,2,FALSE))/12</f>
        <v>0</v>
      </c>
      <c r="F1155" s="5">
        <f t="shared" si="161"/>
        <v>-30.782892365621077</v>
      </c>
      <c r="G1155" s="6">
        <f t="shared" si="155"/>
        <v>4.9777500000000002E-2</v>
      </c>
      <c r="H1155" s="6">
        <f t="shared" si="156"/>
        <v>0</v>
      </c>
      <c r="I1155" s="7">
        <f t="shared" si="157"/>
        <v>-1026.0964121873692</v>
      </c>
      <c r="J1155" s="8">
        <f t="shared" si="158"/>
        <v>49777.5</v>
      </c>
      <c r="K1155" s="7">
        <f t="shared" si="159"/>
        <v>-50803.596412187369</v>
      </c>
      <c r="L1155" s="4">
        <f>IF(A1155&gt;'Yield Curve'!A1769,L1154,(1+VLOOKUP(A1155,'Yield Curve'!A1148:B1770,2,FALSE))^(1/12)-1)</f>
        <v>7.9741404289037643E-3</v>
      </c>
      <c r="M1155" s="5">
        <f t="shared" si="160"/>
        <v>-5.6162138251606173</v>
      </c>
    </row>
    <row r="1156" spans="1:13" x14ac:dyDescent="0.25">
      <c r="A1156" s="4">
        <v>1148</v>
      </c>
      <c r="B1156" s="4">
        <f t="shared" si="153"/>
        <v>140</v>
      </c>
      <c r="C1156" s="4">
        <f t="shared" si="154"/>
        <v>1163</v>
      </c>
      <c r="D1156" s="4">
        <f>IF(B1156&gt;'Mortality Table'!$A$118,D1155,VLOOKUP(B1156,'Mortality Table'!$A$2:$B$118,2,FALSE))</f>
        <v>0.59733000000000003</v>
      </c>
      <c r="E1156" s="4">
        <f>IF(INT((C1156-1)/12)+1&gt;'Lapse Table'!$A$11,E1155,VLOOKUP(INT((C1156-1)/12)+1,'Lapse Table'!$A$2:$B$11,2,FALSE))/12</f>
        <v>0</v>
      </c>
      <c r="F1156" s="5">
        <f t="shared" si="161"/>
        <v>-30.832669865621078</v>
      </c>
      <c r="G1156" s="6">
        <f t="shared" si="155"/>
        <v>4.9777500000000002E-2</v>
      </c>
      <c r="H1156" s="6">
        <f t="shared" si="156"/>
        <v>0</v>
      </c>
      <c r="I1156" s="7">
        <f t="shared" si="157"/>
        <v>-1027.7556621873694</v>
      </c>
      <c r="J1156" s="8">
        <f t="shared" si="158"/>
        <v>49777.5</v>
      </c>
      <c r="K1156" s="7">
        <f t="shared" si="159"/>
        <v>-50805.255662187366</v>
      </c>
      <c r="L1156" s="4">
        <f>IF(A1156&gt;'Yield Curve'!A1770,L1155,(1+VLOOKUP(A1156,'Yield Curve'!A1149:B1771,2,FALSE))^(1/12)-1)</f>
        <v>7.9741404289037643E-3</v>
      </c>
      <c r="M1156" s="5">
        <f t="shared" si="160"/>
        <v>-5.5719656149277057</v>
      </c>
    </row>
    <row r="1157" spans="1:13" x14ac:dyDescent="0.25">
      <c r="A1157" s="4">
        <v>1149</v>
      </c>
      <c r="B1157" s="4">
        <f t="shared" si="153"/>
        <v>140</v>
      </c>
      <c r="C1157" s="4">
        <f t="shared" si="154"/>
        <v>1164</v>
      </c>
      <c r="D1157" s="4">
        <f>IF(B1157&gt;'Mortality Table'!$A$118,D1156,VLOOKUP(B1157,'Mortality Table'!$A$2:$B$118,2,FALSE))</f>
        <v>0.59733000000000003</v>
      </c>
      <c r="E1157" s="4">
        <f>IF(INT((C1157-1)/12)+1&gt;'Lapse Table'!$A$11,E1156,VLOOKUP(INT((C1157-1)/12)+1,'Lapse Table'!$A$2:$B$11,2,FALSE))/12</f>
        <v>0</v>
      </c>
      <c r="F1157" s="5">
        <f t="shared" si="161"/>
        <v>-30.882447365621079</v>
      </c>
      <c r="G1157" s="6">
        <f t="shared" si="155"/>
        <v>4.9777500000000002E-2</v>
      </c>
      <c r="H1157" s="6">
        <f t="shared" si="156"/>
        <v>0</v>
      </c>
      <c r="I1157" s="7">
        <f t="shared" si="157"/>
        <v>-1029.4149121873693</v>
      </c>
      <c r="J1157" s="8">
        <f t="shared" si="158"/>
        <v>49777.5</v>
      </c>
      <c r="K1157" s="7">
        <f t="shared" si="159"/>
        <v>-50806.914912187371</v>
      </c>
      <c r="L1157" s="4">
        <f>IF(A1157&gt;'Yield Curve'!A1771,L1156,(1+VLOOKUP(A1157,'Yield Curve'!A1150:B1772,2,FALSE))^(1/12)-1)</f>
        <v>7.9741404289037643E-3</v>
      </c>
      <c r="M1157" s="5">
        <f t="shared" si="160"/>
        <v>-5.5280660151741836</v>
      </c>
    </row>
    <row r="1158" spans="1:13" x14ac:dyDescent="0.25">
      <c r="A1158" s="4">
        <v>1150</v>
      </c>
      <c r="B1158" s="4">
        <f t="shared" si="153"/>
        <v>140</v>
      </c>
      <c r="C1158" s="4">
        <f t="shared" si="154"/>
        <v>1165</v>
      </c>
      <c r="D1158" s="4">
        <f>IF(B1158&gt;'Mortality Table'!$A$118,D1157,VLOOKUP(B1158,'Mortality Table'!$A$2:$B$118,2,FALSE))</f>
        <v>0.59733000000000003</v>
      </c>
      <c r="E1158" s="4">
        <f>IF(INT((C1158-1)/12)+1&gt;'Lapse Table'!$A$11,E1157,VLOOKUP(INT((C1158-1)/12)+1,'Lapse Table'!$A$2:$B$11,2,FALSE))/12</f>
        <v>0</v>
      </c>
      <c r="F1158" s="5">
        <f t="shared" si="161"/>
        <v>-30.93222486562108</v>
      </c>
      <c r="G1158" s="6">
        <f t="shared" si="155"/>
        <v>4.9777500000000002E-2</v>
      </c>
      <c r="H1158" s="6">
        <f t="shared" si="156"/>
        <v>0</v>
      </c>
      <c r="I1158" s="7">
        <f t="shared" si="157"/>
        <v>-1031.0741621873692</v>
      </c>
      <c r="J1158" s="8">
        <f t="shared" si="158"/>
        <v>49777.5</v>
      </c>
      <c r="K1158" s="7">
        <f t="shared" si="159"/>
        <v>-50808.574162187368</v>
      </c>
      <c r="L1158" s="4">
        <f>IF(A1158&gt;'Yield Curve'!A1772,L1157,(1+VLOOKUP(A1158,'Yield Curve'!A1151:B1773,2,FALSE))^(1/12)-1)</f>
        <v>7.9741404289037643E-3</v>
      </c>
      <c r="M1158" s="5">
        <f t="shared" si="160"/>
        <v>-5.4845122794116996</v>
      </c>
    </row>
    <row r="1159" spans="1:13" x14ac:dyDescent="0.25">
      <c r="A1159" s="4">
        <v>1151</v>
      </c>
      <c r="B1159" s="4">
        <f t="shared" si="153"/>
        <v>140</v>
      </c>
      <c r="C1159" s="4">
        <f t="shared" si="154"/>
        <v>1166</v>
      </c>
      <c r="D1159" s="4">
        <f>IF(B1159&gt;'Mortality Table'!$A$118,D1158,VLOOKUP(B1159,'Mortality Table'!$A$2:$B$118,2,FALSE))</f>
        <v>0.59733000000000003</v>
      </c>
      <c r="E1159" s="4">
        <f>IF(INT((C1159-1)/12)+1&gt;'Lapse Table'!$A$11,E1158,VLOOKUP(INT((C1159-1)/12)+1,'Lapse Table'!$A$2:$B$11,2,FALSE))/12</f>
        <v>0</v>
      </c>
      <c r="F1159" s="5">
        <f t="shared" si="161"/>
        <v>-30.982002365621081</v>
      </c>
      <c r="G1159" s="6">
        <f t="shared" si="155"/>
        <v>4.9777500000000002E-2</v>
      </c>
      <c r="H1159" s="6">
        <f t="shared" si="156"/>
        <v>0</v>
      </c>
      <c r="I1159" s="7">
        <f t="shared" si="157"/>
        <v>-1032.7334121873694</v>
      </c>
      <c r="J1159" s="8">
        <f t="shared" si="158"/>
        <v>49777.5</v>
      </c>
      <c r="K1159" s="7">
        <f t="shared" si="159"/>
        <v>-50810.233412187372</v>
      </c>
      <c r="L1159" s="4">
        <f>IF(A1159&gt;'Yield Curve'!A1773,L1158,(1+VLOOKUP(A1159,'Yield Curve'!A1152:B1774,2,FALSE))^(1/12)-1)</f>
        <v>7.9741404289037643E-3</v>
      </c>
      <c r="M1159" s="5">
        <f t="shared" si="160"/>
        <v>-5.4413016827894349</v>
      </c>
    </row>
    <row r="1160" spans="1:13" x14ac:dyDescent="0.25">
      <c r="A1160" s="4">
        <v>1152</v>
      </c>
      <c r="B1160" s="4">
        <f t="shared" si="153"/>
        <v>141</v>
      </c>
      <c r="C1160" s="4">
        <f t="shared" si="154"/>
        <v>1167</v>
      </c>
      <c r="D1160" s="4">
        <f>IF(B1160&gt;'Mortality Table'!$A$118,D1159,VLOOKUP(B1160,'Mortality Table'!$A$2:$B$118,2,FALSE))</f>
        <v>0.59733000000000003</v>
      </c>
      <c r="E1160" s="4">
        <f>IF(INT((C1160-1)/12)+1&gt;'Lapse Table'!$A$11,E1159,VLOOKUP(INT((C1160-1)/12)+1,'Lapse Table'!$A$2:$B$11,2,FALSE))/12</f>
        <v>0</v>
      </c>
      <c r="F1160" s="5">
        <f t="shared" si="161"/>
        <v>-31.031779865621083</v>
      </c>
      <c r="G1160" s="6">
        <f t="shared" si="155"/>
        <v>4.9777500000000002E-2</v>
      </c>
      <c r="H1160" s="6">
        <f t="shared" si="156"/>
        <v>0</v>
      </c>
      <c r="I1160" s="7">
        <f t="shared" si="157"/>
        <v>-1034.3926621873695</v>
      </c>
      <c r="J1160" s="8">
        <f t="shared" si="158"/>
        <v>49777.5</v>
      </c>
      <c r="K1160" s="7">
        <f t="shared" si="159"/>
        <v>-50811.892662187369</v>
      </c>
      <c r="L1160" s="4">
        <f>IF(A1160&gt;'Yield Curve'!A1774,L1159,(1+VLOOKUP(A1160,'Yield Curve'!A1153:B1775,2,FALSE))^(1/12)-1)</f>
        <v>7.9741404289037643E-3</v>
      </c>
      <c r="M1160" s="5">
        <f t="shared" si="160"/>
        <v>-5.3984315219236247</v>
      </c>
    </row>
    <row r="1161" spans="1:13" x14ac:dyDescent="0.25">
      <c r="A1161" s="4">
        <v>1153</v>
      </c>
      <c r="B1161" s="4">
        <f t="shared" si="153"/>
        <v>141</v>
      </c>
      <c r="C1161" s="4">
        <f t="shared" si="154"/>
        <v>1168</v>
      </c>
      <c r="D1161" s="4">
        <f>IF(B1161&gt;'Mortality Table'!$A$118,D1160,VLOOKUP(B1161,'Mortality Table'!$A$2:$B$118,2,FALSE))</f>
        <v>0.59733000000000003</v>
      </c>
      <c r="E1161" s="4">
        <f>IF(INT((C1161-1)/12)+1&gt;'Lapse Table'!$A$11,E1160,VLOOKUP(INT((C1161-1)/12)+1,'Lapse Table'!$A$2:$B$11,2,FALSE))/12</f>
        <v>0</v>
      </c>
      <c r="F1161" s="5">
        <f t="shared" si="161"/>
        <v>-31.081557365621084</v>
      </c>
      <c r="G1161" s="6">
        <f t="shared" si="155"/>
        <v>4.9777500000000002E-2</v>
      </c>
      <c r="H1161" s="6">
        <f t="shared" si="156"/>
        <v>0</v>
      </c>
      <c r="I1161" s="7">
        <f t="shared" si="157"/>
        <v>-1036.0519121873695</v>
      </c>
      <c r="J1161" s="8">
        <f t="shared" si="158"/>
        <v>49777.5</v>
      </c>
      <c r="K1161" s="7">
        <f t="shared" si="159"/>
        <v>-50813.551912187366</v>
      </c>
      <c r="L1161" s="4">
        <f>IF(A1161&gt;'Yield Curve'!A1775,L1160,(1+VLOOKUP(A1161,'Yield Curve'!A1154:B1776,2,FALSE))^(1/12)-1)</f>
        <v>7.9741404289037643E-3</v>
      </c>
      <c r="M1161" s="5">
        <f t="shared" si="160"/>
        <v>-5.3558991147284605</v>
      </c>
    </row>
    <row r="1162" spans="1:13" x14ac:dyDescent="0.25">
      <c r="A1162" s="4">
        <v>1154</v>
      </c>
      <c r="B1162" s="4">
        <f t="shared" ref="B1162:B1225" si="162">INT($B$3+A1162/12)</f>
        <v>141</v>
      </c>
      <c r="C1162" s="4">
        <f t="shared" ref="C1162:C1225" si="163">$B$4+A1162</f>
        <v>1169</v>
      </c>
      <c r="D1162" s="4">
        <f>IF(B1162&gt;'Mortality Table'!$A$118,D1161,VLOOKUP(B1162,'Mortality Table'!$A$2:$B$118,2,FALSE))</f>
        <v>0.59733000000000003</v>
      </c>
      <c r="E1162" s="4">
        <f>IF(INT((C1162-1)/12)+1&gt;'Lapse Table'!$A$11,E1161,VLOOKUP(INT((C1162-1)/12)+1,'Lapse Table'!$A$2:$B$11,2,FALSE))/12</f>
        <v>0</v>
      </c>
      <c r="F1162" s="5">
        <f t="shared" si="161"/>
        <v>-31.131334865621085</v>
      </c>
      <c r="G1162" s="6">
        <f t="shared" ref="G1162:G1225" si="164">D1162/12*(1-0.5*E1162)</f>
        <v>4.9777500000000002E-2</v>
      </c>
      <c r="H1162" s="6">
        <f t="shared" ref="H1162:H1225" si="165">E1162*(1-0.5*D1162)</f>
        <v>0</v>
      </c>
      <c r="I1162" s="7">
        <f t="shared" ref="I1162:I1225" si="166">F1162*$B$5/12</f>
        <v>-1037.7111621873694</v>
      </c>
      <c r="J1162" s="8">
        <f t="shared" ref="J1162:J1225" si="167">$B$6*G1162</f>
        <v>49777.5</v>
      </c>
      <c r="K1162" s="7">
        <f t="shared" ref="K1162:K1225" si="168">I1162-J1162</f>
        <v>-50815.21116218737</v>
      </c>
      <c r="L1162" s="4">
        <f>IF(A1162&gt;'Yield Curve'!A1776,L1161,(1+VLOOKUP(A1162,'Yield Curve'!A1155:B1777,2,FALSE))^(1/12)-1)</f>
        <v>7.9741404289037643E-3</v>
      </c>
      <c r="M1162" s="5">
        <f t="shared" ref="M1162:M1225" si="169">K1162*(1+L1162)^-A1162</f>
        <v>-5.3137018002482845</v>
      </c>
    </row>
    <row r="1163" spans="1:13" x14ac:dyDescent="0.25">
      <c r="A1163" s="4">
        <v>1155</v>
      </c>
      <c r="B1163" s="4">
        <f t="shared" si="162"/>
        <v>141</v>
      </c>
      <c r="C1163" s="4">
        <f t="shared" si="163"/>
        <v>1170</v>
      </c>
      <c r="D1163" s="4">
        <f>IF(B1163&gt;'Mortality Table'!$A$118,D1162,VLOOKUP(B1163,'Mortality Table'!$A$2:$B$118,2,FALSE))</f>
        <v>0.59733000000000003</v>
      </c>
      <c r="E1163" s="4">
        <f>IF(INT((C1163-1)/12)+1&gt;'Lapse Table'!$A$11,E1162,VLOOKUP(INT((C1163-1)/12)+1,'Lapse Table'!$A$2:$B$11,2,FALSE))/12</f>
        <v>0</v>
      </c>
      <c r="F1163" s="5">
        <f t="shared" ref="F1163:F1226" si="170">F1162-G1163-H1163</f>
        <v>-31.181112365621086</v>
      </c>
      <c r="G1163" s="6">
        <f t="shared" si="164"/>
        <v>4.9777500000000002E-2</v>
      </c>
      <c r="H1163" s="6">
        <f t="shared" si="165"/>
        <v>0</v>
      </c>
      <c r="I1163" s="7">
        <f t="shared" si="166"/>
        <v>-1039.3704121873695</v>
      </c>
      <c r="J1163" s="8">
        <f t="shared" si="167"/>
        <v>49777.5</v>
      </c>
      <c r="K1163" s="7">
        <f t="shared" si="168"/>
        <v>-50816.870412187367</v>
      </c>
      <c r="L1163" s="4">
        <f>IF(A1163&gt;'Yield Curve'!A1777,L1162,(1+VLOOKUP(A1163,'Yield Curve'!A1156:B1778,2,FALSE))^(1/12)-1)</f>
        <v>7.9741404289037643E-3</v>
      </c>
      <c r="M1163" s="5">
        <f t="shared" si="169"/>
        <v>-5.2718369384911243</v>
      </c>
    </row>
    <row r="1164" spans="1:13" x14ac:dyDescent="0.25">
      <c r="A1164" s="4">
        <v>1156</v>
      </c>
      <c r="B1164" s="4">
        <f t="shared" si="162"/>
        <v>141</v>
      </c>
      <c r="C1164" s="4">
        <f t="shared" si="163"/>
        <v>1171</v>
      </c>
      <c r="D1164" s="4">
        <f>IF(B1164&gt;'Mortality Table'!$A$118,D1163,VLOOKUP(B1164,'Mortality Table'!$A$2:$B$118,2,FALSE))</f>
        <v>0.59733000000000003</v>
      </c>
      <c r="E1164" s="4">
        <f>IF(INT((C1164-1)/12)+1&gt;'Lapse Table'!$A$11,E1163,VLOOKUP(INT((C1164-1)/12)+1,'Lapse Table'!$A$2:$B$11,2,FALSE))/12</f>
        <v>0</v>
      </c>
      <c r="F1164" s="5">
        <f t="shared" si="170"/>
        <v>-31.230889865621087</v>
      </c>
      <c r="G1164" s="6">
        <f t="shared" si="164"/>
        <v>4.9777500000000002E-2</v>
      </c>
      <c r="H1164" s="6">
        <f t="shared" si="165"/>
        <v>0</v>
      </c>
      <c r="I1164" s="7">
        <f t="shared" si="166"/>
        <v>-1041.0296621873697</v>
      </c>
      <c r="J1164" s="8">
        <f t="shared" si="167"/>
        <v>49777.5</v>
      </c>
      <c r="K1164" s="7">
        <f t="shared" si="168"/>
        <v>-50818.529662187371</v>
      </c>
      <c r="L1164" s="4">
        <f>IF(A1164&gt;'Yield Curve'!A1778,L1163,(1+VLOOKUP(A1164,'Yield Curve'!A1157:B1779,2,FALSE))^(1/12)-1)</f>
        <v>7.9741404289037643E-3</v>
      </c>
      <c r="M1164" s="5">
        <f t="shared" si="169"/>
        <v>-5.2303019102635506</v>
      </c>
    </row>
    <row r="1165" spans="1:13" x14ac:dyDescent="0.25">
      <c r="A1165" s="4">
        <v>1157</v>
      </c>
      <c r="B1165" s="4">
        <f t="shared" si="162"/>
        <v>141</v>
      </c>
      <c r="C1165" s="4">
        <f t="shared" si="163"/>
        <v>1172</v>
      </c>
      <c r="D1165" s="4">
        <f>IF(B1165&gt;'Mortality Table'!$A$118,D1164,VLOOKUP(B1165,'Mortality Table'!$A$2:$B$118,2,FALSE))</f>
        <v>0.59733000000000003</v>
      </c>
      <c r="E1165" s="4">
        <f>IF(INT((C1165-1)/12)+1&gt;'Lapse Table'!$A$11,E1164,VLOOKUP(INT((C1165-1)/12)+1,'Lapse Table'!$A$2:$B$11,2,FALSE))/12</f>
        <v>0</v>
      </c>
      <c r="F1165" s="5">
        <f t="shared" si="170"/>
        <v>-31.280667365621088</v>
      </c>
      <c r="G1165" s="6">
        <f t="shared" si="164"/>
        <v>4.9777500000000002E-2</v>
      </c>
      <c r="H1165" s="6">
        <f t="shared" si="165"/>
        <v>0</v>
      </c>
      <c r="I1165" s="7">
        <f t="shared" si="166"/>
        <v>-1042.6889121873696</v>
      </c>
      <c r="J1165" s="8">
        <f t="shared" si="167"/>
        <v>49777.5</v>
      </c>
      <c r="K1165" s="7">
        <f t="shared" si="168"/>
        <v>-50820.188912187368</v>
      </c>
      <c r="L1165" s="4">
        <f>IF(A1165&gt;'Yield Curve'!A1779,L1164,(1+VLOOKUP(A1165,'Yield Curve'!A1158:B1780,2,FALSE))^(1/12)-1)</f>
        <v>7.9741404289037643E-3</v>
      </c>
      <c r="M1165" s="5">
        <f t="shared" si="169"/>
        <v>-5.1890941170068103</v>
      </c>
    </row>
    <row r="1166" spans="1:13" x14ac:dyDescent="0.25">
      <c r="A1166" s="4">
        <v>1158</v>
      </c>
      <c r="B1166" s="4">
        <f t="shared" si="162"/>
        <v>141</v>
      </c>
      <c r="C1166" s="4">
        <f t="shared" si="163"/>
        <v>1173</v>
      </c>
      <c r="D1166" s="4">
        <f>IF(B1166&gt;'Mortality Table'!$A$118,D1165,VLOOKUP(B1166,'Mortality Table'!$A$2:$B$118,2,FALSE))</f>
        <v>0.59733000000000003</v>
      </c>
      <c r="E1166" s="4">
        <f>IF(INT((C1166-1)/12)+1&gt;'Lapse Table'!$A$11,E1165,VLOOKUP(INT((C1166-1)/12)+1,'Lapse Table'!$A$2:$B$11,2,FALSE))/12</f>
        <v>0</v>
      </c>
      <c r="F1166" s="5">
        <f t="shared" si="170"/>
        <v>-31.330444865621089</v>
      </c>
      <c r="G1166" s="6">
        <f t="shared" si="164"/>
        <v>4.9777500000000002E-2</v>
      </c>
      <c r="H1166" s="6">
        <f t="shared" si="165"/>
        <v>0</v>
      </c>
      <c r="I1166" s="7">
        <f t="shared" si="166"/>
        <v>-1044.3481621873696</v>
      </c>
      <c r="J1166" s="8">
        <f t="shared" si="167"/>
        <v>49777.5</v>
      </c>
      <c r="K1166" s="7">
        <f t="shared" si="168"/>
        <v>-50821.848162187373</v>
      </c>
      <c r="L1166" s="4">
        <f>IF(A1166&gt;'Yield Curve'!A1780,L1165,(1+VLOOKUP(A1166,'Yield Curve'!A1159:B1781,2,FALSE))^(1/12)-1)</f>
        <v>7.9741404289037643E-3</v>
      </c>
      <c r="M1166" s="5">
        <f t="shared" si="169"/>
        <v>-5.1482109806342766</v>
      </c>
    </row>
    <row r="1167" spans="1:13" x14ac:dyDescent="0.25">
      <c r="A1167" s="4">
        <v>1159</v>
      </c>
      <c r="B1167" s="4">
        <f t="shared" si="162"/>
        <v>141</v>
      </c>
      <c r="C1167" s="4">
        <f t="shared" si="163"/>
        <v>1174</v>
      </c>
      <c r="D1167" s="4">
        <f>IF(B1167&gt;'Mortality Table'!$A$118,D1166,VLOOKUP(B1167,'Mortality Table'!$A$2:$B$118,2,FALSE))</f>
        <v>0.59733000000000003</v>
      </c>
      <c r="E1167" s="4">
        <f>IF(INT((C1167-1)/12)+1&gt;'Lapse Table'!$A$11,E1166,VLOOKUP(INT((C1167-1)/12)+1,'Lapse Table'!$A$2:$B$11,2,FALSE))/12</f>
        <v>0</v>
      </c>
      <c r="F1167" s="5">
        <f t="shared" si="170"/>
        <v>-31.380222365621091</v>
      </c>
      <c r="G1167" s="6">
        <f t="shared" si="164"/>
        <v>4.9777500000000002E-2</v>
      </c>
      <c r="H1167" s="6">
        <f t="shared" si="165"/>
        <v>0</v>
      </c>
      <c r="I1167" s="7">
        <f t="shared" si="166"/>
        <v>-1046.0074121873697</v>
      </c>
      <c r="J1167" s="8">
        <f t="shared" si="167"/>
        <v>49777.5</v>
      </c>
      <c r="K1167" s="7">
        <f t="shared" si="168"/>
        <v>-50823.507412187369</v>
      </c>
      <c r="L1167" s="4">
        <f>IF(A1167&gt;'Yield Curve'!A1781,L1166,(1+VLOOKUP(A1167,'Yield Curve'!A1160:B1782,2,FALSE))^(1/12)-1)</f>
        <v>7.9741404289037643E-3</v>
      </c>
      <c r="M1167" s="5">
        <f t="shared" si="169"/>
        <v>-5.1076499433701521</v>
      </c>
    </row>
    <row r="1168" spans="1:13" x14ac:dyDescent="0.25">
      <c r="A1168" s="4">
        <v>1160</v>
      </c>
      <c r="B1168" s="4">
        <f t="shared" si="162"/>
        <v>141</v>
      </c>
      <c r="C1168" s="4">
        <f t="shared" si="163"/>
        <v>1175</v>
      </c>
      <c r="D1168" s="4">
        <f>IF(B1168&gt;'Mortality Table'!$A$118,D1167,VLOOKUP(B1168,'Mortality Table'!$A$2:$B$118,2,FALSE))</f>
        <v>0.59733000000000003</v>
      </c>
      <c r="E1168" s="4">
        <f>IF(INT((C1168-1)/12)+1&gt;'Lapse Table'!$A$11,E1167,VLOOKUP(INT((C1168-1)/12)+1,'Lapse Table'!$A$2:$B$11,2,FALSE))/12</f>
        <v>0</v>
      </c>
      <c r="F1168" s="5">
        <f t="shared" si="170"/>
        <v>-31.429999865621092</v>
      </c>
      <c r="G1168" s="6">
        <f t="shared" si="164"/>
        <v>4.9777500000000002E-2</v>
      </c>
      <c r="H1168" s="6">
        <f t="shared" si="165"/>
        <v>0</v>
      </c>
      <c r="I1168" s="7">
        <f t="shared" si="166"/>
        <v>-1047.6666621873699</v>
      </c>
      <c r="J1168" s="8">
        <f t="shared" si="167"/>
        <v>49777.5</v>
      </c>
      <c r="K1168" s="7">
        <f t="shared" si="168"/>
        <v>-50825.166662187366</v>
      </c>
      <c r="L1168" s="4">
        <f>IF(A1168&gt;'Yield Curve'!A1782,L1167,(1+VLOOKUP(A1168,'Yield Curve'!A1161:B1783,2,FALSE))^(1/12)-1)</f>
        <v>7.9741404289037643E-3</v>
      </c>
      <c r="M1168" s="5">
        <f t="shared" si="169"/>
        <v>-5.0674084675894733</v>
      </c>
    </row>
    <row r="1169" spans="1:13" x14ac:dyDescent="0.25">
      <c r="A1169" s="4">
        <v>1161</v>
      </c>
      <c r="B1169" s="4">
        <f t="shared" si="162"/>
        <v>141</v>
      </c>
      <c r="C1169" s="4">
        <f t="shared" si="163"/>
        <v>1176</v>
      </c>
      <c r="D1169" s="4">
        <f>IF(B1169&gt;'Mortality Table'!$A$118,D1168,VLOOKUP(B1169,'Mortality Table'!$A$2:$B$118,2,FALSE))</f>
        <v>0.59733000000000003</v>
      </c>
      <c r="E1169" s="4">
        <f>IF(INT((C1169-1)/12)+1&gt;'Lapse Table'!$A$11,E1168,VLOOKUP(INT((C1169-1)/12)+1,'Lapse Table'!$A$2:$B$11,2,FALSE))/12</f>
        <v>0</v>
      </c>
      <c r="F1169" s="5">
        <f t="shared" si="170"/>
        <v>-31.479777365621093</v>
      </c>
      <c r="G1169" s="6">
        <f t="shared" si="164"/>
        <v>4.9777500000000002E-2</v>
      </c>
      <c r="H1169" s="6">
        <f t="shared" si="165"/>
        <v>0</v>
      </c>
      <c r="I1169" s="7">
        <f t="shared" si="166"/>
        <v>-1049.3259121873698</v>
      </c>
      <c r="J1169" s="8">
        <f t="shared" si="167"/>
        <v>49777.5</v>
      </c>
      <c r="K1169" s="7">
        <f t="shared" si="168"/>
        <v>-50826.825912187371</v>
      </c>
      <c r="L1169" s="4">
        <f>IF(A1169&gt;'Yield Curve'!A1783,L1168,(1+VLOOKUP(A1169,'Yield Curve'!A1162:B1784,2,FALSE))^(1/12)-1)</f>
        <v>7.9741404289037643E-3</v>
      </c>
      <c r="M1169" s="5">
        <f t="shared" si="169"/>
        <v>-5.0274840356593504</v>
      </c>
    </row>
    <row r="1170" spans="1:13" x14ac:dyDescent="0.25">
      <c r="A1170" s="4">
        <v>1162</v>
      </c>
      <c r="B1170" s="4">
        <f t="shared" si="162"/>
        <v>141</v>
      </c>
      <c r="C1170" s="4">
        <f t="shared" si="163"/>
        <v>1177</v>
      </c>
      <c r="D1170" s="4">
        <f>IF(B1170&gt;'Mortality Table'!$A$118,D1169,VLOOKUP(B1170,'Mortality Table'!$A$2:$B$118,2,FALSE))</f>
        <v>0.59733000000000003</v>
      </c>
      <c r="E1170" s="4">
        <f>IF(INT((C1170-1)/12)+1&gt;'Lapse Table'!$A$11,E1169,VLOOKUP(INT((C1170-1)/12)+1,'Lapse Table'!$A$2:$B$11,2,FALSE))/12</f>
        <v>0</v>
      </c>
      <c r="F1170" s="5">
        <f t="shared" si="170"/>
        <v>-31.529554865621094</v>
      </c>
      <c r="G1170" s="6">
        <f t="shared" si="164"/>
        <v>4.9777500000000002E-2</v>
      </c>
      <c r="H1170" s="6">
        <f t="shared" si="165"/>
        <v>0</v>
      </c>
      <c r="I1170" s="7">
        <f t="shared" si="166"/>
        <v>-1050.9851621873697</v>
      </c>
      <c r="J1170" s="8">
        <f t="shared" si="167"/>
        <v>49777.5</v>
      </c>
      <c r="K1170" s="7">
        <f t="shared" si="168"/>
        <v>-50828.485162187368</v>
      </c>
      <c r="L1170" s="4">
        <f>IF(A1170&gt;'Yield Curve'!A1784,L1169,(1+VLOOKUP(A1170,'Yield Curve'!A1163:B1785,2,FALSE))^(1/12)-1)</f>
        <v>7.9741404289037643E-3</v>
      </c>
      <c r="M1170" s="5">
        <f t="shared" si="169"/>
        <v>-4.9878741497814678</v>
      </c>
    </row>
    <row r="1171" spans="1:13" x14ac:dyDescent="0.25">
      <c r="A1171" s="4">
        <v>1163</v>
      </c>
      <c r="B1171" s="4">
        <f t="shared" si="162"/>
        <v>141</v>
      </c>
      <c r="C1171" s="4">
        <f t="shared" si="163"/>
        <v>1178</v>
      </c>
      <c r="D1171" s="4">
        <f>IF(B1171&gt;'Mortality Table'!$A$118,D1170,VLOOKUP(B1171,'Mortality Table'!$A$2:$B$118,2,FALSE))</f>
        <v>0.59733000000000003</v>
      </c>
      <c r="E1171" s="4">
        <f>IF(INT((C1171-1)/12)+1&gt;'Lapse Table'!$A$11,E1170,VLOOKUP(INT((C1171-1)/12)+1,'Lapse Table'!$A$2:$B$11,2,FALSE))/12</f>
        <v>0</v>
      </c>
      <c r="F1171" s="5">
        <f t="shared" si="170"/>
        <v>-31.579332365621095</v>
      </c>
      <c r="G1171" s="6">
        <f t="shared" si="164"/>
        <v>4.9777500000000002E-2</v>
      </c>
      <c r="H1171" s="6">
        <f t="shared" si="165"/>
        <v>0</v>
      </c>
      <c r="I1171" s="7">
        <f t="shared" si="166"/>
        <v>-1052.6444121873699</v>
      </c>
      <c r="J1171" s="8">
        <f t="shared" si="167"/>
        <v>49777.5</v>
      </c>
      <c r="K1171" s="7">
        <f t="shared" si="168"/>
        <v>-50830.144412187372</v>
      </c>
      <c r="L1171" s="4">
        <f>IF(A1171&gt;'Yield Curve'!A1785,L1170,(1+VLOOKUP(A1171,'Yield Curve'!A1164:B1786,2,FALSE))^(1/12)-1)</f>
        <v>7.9741404289037643E-3</v>
      </c>
      <c r="M1171" s="5">
        <f t="shared" si="169"/>
        <v>-4.94857633183583</v>
      </c>
    </row>
    <row r="1172" spans="1:13" x14ac:dyDescent="0.25">
      <c r="A1172" s="4">
        <v>1164</v>
      </c>
      <c r="B1172" s="4">
        <f t="shared" si="162"/>
        <v>142</v>
      </c>
      <c r="C1172" s="4">
        <f t="shared" si="163"/>
        <v>1179</v>
      </c>
      <c r="D1172" s="4">
        <f>IF(B1172&gt;'Mortality Table'!$A$118,D1171,VLOOKUP(B1172,'Mortality Table'!$A$2:$B$118,2,FALSE))</f>
        <v>0.59733000000000003</v>
      </c>
      <c r="E1172" s="4">
        <f>IF(INT((C1172-1)/12)+1&gt;'Lapse Table'!$A$11,E1171,VLOOKUP(INT((C1172-1)/12)+1,'Lapse Table'!$A$2:$B$11,2,FALSE))/12</f>
        <v>0</v>
      </c>
      <c r="F1172" s="5">
        <f t="shared" si="170"/>
        <v>-31.629109865621096</v>
      </c>
      <c r="G1172" s="6">
        <f t="shared" si="164"/>
        <v>4.9777500000000002E-2</v>
      </c>
      <c r="H1172" s="6">
        <f t="shared" si="165"/>
        <v>0</v>
      </c>
      <c r="I1172" s="7">
        <f t="shared" si="166"/>
        <v>-1054.3036621873698</v>
      </c>
      <c r="J1172" s="8">
        <f t="shared" si="167"/>
        <v>49777.5</v>
      </c>
      <c r="K1172" s="7">
        <f t="shared" si="168"/>
        <v>-50831.803662187369</v>
      </c>
      <c r="L1172" s="4">
        <f>IF(A1172&gt;'Yield Curve'!A1786,L1171,(1+VLOOKUP(A1172,'Yield Curve'!A1165:B1787,2,FALSE))^(1/12)-1)</f>
        <v>7.9741404289037643E-3</v>
      </c>
      <c r="M1172" s="5">
        <f t="shared" si="169"/>
        <v>-4.9095881232257232</v>
      </c>
    </row>
    <row r="1173" spans="1:13" x14ac:dyDescent="0.25">
      <c r="A1173" s="4">
        <v>1165</v>
      </c>
      <c r="B1173" s="4">
        <f t="shared" si="162"/>
        <v>142</v>
      </c>
      <c r="C1173" s="4">
        <f t="shared" si="163"/>
        <v>1180</v>
      </c>
      <c r="D1173" s="4">
        <f>IF(B1173&gt;'Mortality Table'!$A$118,D1172,VLOOKUP(B1173,'Mortality Table'!$A$2:$B$118,2,FALSE))</f>
        <v>0.59733000000000003</v>
      </c>
      <c r="E1173" s="4">
        <f>IF(INT((C1173-1)/12)+1&gt;'Lapse Table'!$A$11,E1172,VLOOKUP(INT((C1173-1)/12)+1,'Lapse Table'!$A$2:$B$11,2,FALSE))/12</f>
        <v>0</v>
      </c>
      <c r="F1173" s="5">
        <f t="shared" si="170"/>
        <v>-31.678887365621097</v>
      </c>
      <c r="G1173" s="6">
        <f t="shared" si="164"/>
        <v>4.9777500000000002E-2</v>
      </c>
      <c r="H1173" s="6">
        <f t="shared" si="165"/>
        <v>0</v>
      </c>
      <c r="I1173" s="7">
        <f t="shared" si="166"/>
        <v>-1055.96291218737</v>
      </c>
      <c r="J1173" s="8">
        <f t="shared" si="167"/>
        <v>49777.5</v>
      </c>
      <c r="K1173" s="7">
        <f t="shared" si="168"/>
        <v>-50833.462912187373</v>
      </c>
      <c r="L1173" s="4">
        <f>IF(A1173&gt;'Yield Curve'!A1787,L1172,(1+VLOOKUP(A1173,'Yield Curve'!A1166:B1788,2,FALSE))^(1/12)-1)</f>
        <v>7.9741404289037643E-3</v>
      </c>
      <c r="M1173" s="5">
        <f t="shared" si="169"/>
        <v>-4.8709070847239238</v>
      </c>
    </row>
    <row r="1174" spans="1:13" x14ac:dyDescent="0.25">
      <c r="A1174" s="4">
        <v>1166</v>
      </c>
      <c r="B1174" s="4">
        <f t="shared" si="162"/>
        <v>142</v>
      </c>
      <c r="C1174" s="4">
        <f t="shared" si="163"/>
        <v>1181</v>
      </c>
      <c r="D1174" s="4">
        <f>IF(B1174&gt;'Mortality Table'!$A$118,D1173,VLOOKUP(B1174,'Mortality Table'!$A$2:$B$118,2,FALSE))</f>
        <v>0.59733000000000003</v>
      </c>
      <c r="E1174" s="4">
        <f>IF(INT((C1174-1)/12)+1&gt;'Lapse Table'!$A$11,E1173,VLOOKUP(INT((C1174-1)/12)+1,'Lapse Table'!$A$2:$B$11,2,FALSE))/12</f>
        <v>0</v>
      </c>
      <c r="F1174" s="5">
        <f t="shared" si="170"/>
        <v>-31.728664865621099</v>
      </c>
      <c r="G1174" s="6">
        <f t="shared" si="164"/>
        <v>4.9777500000000002E-2</v>
      </c>
      <c r="H1174" s="6">
        <f t="shared" si="165"/>
        <v>0</v>
      </c>
      <c r="I1174" s="7">
        <f t="shared" si="166"/>
        <v>-1057.6221621873699</v>
      </c>
      <c r="J1174" s="8">
        <f t="shared" si="167"/>
        <v>49777.5</v>
      </c>
      <c r="K1174" s="7">
        <f t="shared" si="168"/>
        <v>-50835.12216218737</v>
      </c>
      <c r="L1174" s="4">
        <f>IF(A1174&gt;'Yield Curve'!A1788,L1173,(1+VLOOKUP(A1174,'Yield Curve'!A1167:B1789,2,FALSE))^(1/12)-1)</f>
        <v>7.9741404289037643E-3</v>
      </c>
      <c r="M1174" s="5">
        <f t="shared" si="169"/>
        <v>-4.8325307963200839</v>
      </c>
    </row>
    <row r="1175" spans="1:13" x14ac:dyDescent="0.25">
      <c r="A1175" s="4">
        <v>1167</v>
      </c>
      <c r="B1175" s="4">
        <f t="shared" si="162"/>
        <v>142</v>
      </c>
      <c r="C1175" s="4">
        <f t="shared" si="163"/>
        <v>1182</v>
      </c>
      <c r="D1175" s="4">
        <f>IF(B1175&gt;'Mortality Table'!$A$118,D1174,VLOOKUP(B1175,'Mortality Table'!$A$2:$B$118,2,FALSE))</f>
        <v>0.59733000000000003</v>
      </c>
      <c r="E1175" s="4">
        <f>IF(INT((C1175-1)/12)+1&gt;'Lapse Table'!$A$11,E1174,VLOOKUP(INT((C1175-1)/12)+1,'Lapse Table'!$A$2:$B$11,2,FALSE))/12</f>
        <v>0</v>
      </c>
      <c r="F1175" s="5">
        <f t="shared" si="170"/>
        <v>-31.7784423656211</v>
      </c>
      <c r="G1175" s="6">
        <f t="shared" si="164"/>
        <v>4.9777500000000002E-2</v>
      </c>
      <c r="H1175" s="6">
        <f t="shared" si="165"/>
        <v>0</v>
      </c>
      <c r="I1175" s="7">
        <f t="shared" si="166"/>
        <v>-1059.2814121873701</v>
      </c>
      <c r="J1175" s="8">
        <f t="shared" si="167"/>
        <v>49777.5</v>
      </c>
      <c r="K1175" s="7">
        <f t="shared" si="168"/>
        <v>-50836.781412187367</v>
      </c>
      <c r="L1175" s="4">
        <f>IF(A1175&gt;'Yield Curve'!A1789,L1174,(1+VLOOKUP(A1175,'Yield Curve'!A1168:B1790,2,FALSE))^(1/12)-1)</f>
        <v>7.9741404289037643E-3</v>
      </c>
      <c r="M1175" s="5">
        <f t="shared" si="169"/>
        <v>-4.7944568570693571</v>
      </c>
    </row>
    <row r="1176" spans="1:13" x14ac:dyDescent="0.25">
      <c r="A1176" s="4">
        <v>1168</v>
      </c>
      <c r="B1176" s="4">
        <f t="shared" si="162"/>
        <v>142</v>
      </c>
      <c r="C1176" s="4">
        <f t="shared" si="163"/>
        <v>1183</v>
      </c>
      <c r="D1176" s="4">
        <f>IF(B1176&gt;'Mortality Table'!$A$118,D1175,VLOOKUP(B1176,'Mortality Table'!$A$2:$B$118,2,FALSE))</f>
        <v>0.59733000000000003</v>
      </c>
      <c r="E1176" s="4">
        <f>IF(INT((C1176-1)/12)+1&gt;'Lapse Table'!$A$11,E1175,VLOOKUP(INT((C1176-1)/12)+1,'Lapse Table'!$A$2:$B$11,2,FALSE))/12</f>
        <v>0</v>
      </c>
      <c r="F1176" s="5">
        <f t="shared" si="170"/>
        <v>-31.828219865621101</v>
      </c>
      <c r="G1176" s="6">
        <f t="shared" si="164"/>
        <v>4.9777500000000002E-2</v>
      </c>
      <c r="H1176" s="6">
        <f t="shared" si="165"/>
        <v>0</v>
      </c>
      <c r="I1176" s="7">
        <f t="shared" si="166"/>
        <v>-1060.94066218737</v>
      </c>
      <c r="J1176" s="8">
        <f t="shared" si="167"/>
        <v>49777.5</v>
      </c>
      <c r="K1176" s="7">
        <f t="shared" si="168"/>
        <v>-50838.440662187371</v>
      </c>
      <c r="L1176" s="4">
        <f>IF(A1176&gt;'Yield Curve'!A1790,L1175,(1+VLOOKUP(A1176,'Yield Curve'!A1169:B1791,2,FALSE))^(1/12)-1)</f>
        <v>7.9741404289037643E-3</v>
      </c>
      <c r="M1176" s="5">
        <f t="shared" si="169"/>
        <v>-4.7566828849421823</v>
      </c>
    </row>
    <row r="1177" spans="1:13" x14ac:dyDescent="0.25">
      <c r="A1177" s="4">
        <v>1169</v>
      </c>
      <c r="B1177" s="4">
        <f t="shared" si="162"/>
        <v>142</v>
      </c>
      <c r="C1177" s="4">
        <f t="shared" si="163"/>
        <v>1184</v>
      </c>
      <c r="D1177" s="4">
        <f>IF(B1177&gt;'Mortality Table'!$A$118,D1176,VLOOKUP(B1177,'Mortality Table'!$A$2:$B$118,2,FALSE))</f>
        <v>0.59733000000000003</v>
      </c>
      <c r="E1177" s="4">
        <f>IF(INT((C1177-1)/12)+1&gt;'Lapse Table'!$A$11,E1176,VLOOKUP(INT((C1177-1)/12)+1,'Lapse Table'!$A$2:$B$11,2,FALSE))/12</f>
        <v>0</v>
      </c>
      <c r="F1177" s="5">
        <f t="shared" si="170"/>
        <v>-31.877997365621102</v>
      </c>
      <c r="G1177" s="6">
        <f t="shared" si="164"/>
        <v>4.9777500000000002E-2</v>
      </c>
      <c r="H1177" s="6">
        <f t="shared" si="165"/>
        <v>0</v>
      </c>
      <c r="I1177" s="7">
        <f t="shared" si="166"/>
        <v>-1062.5999121873701</v>
      </c>
      <c r="J1177" s="8">
        <f t="shared" si="167"/>
        <v>49777.5</v>
      </c>
      <c r="K1177" s="7">
        <f t="shared" si="168"/>
        <v>-50840.099912187368</v>
      </c>
      <c r="L1177" s="4">
        <f>IF(A1177&gt;'Yield Curve'!A1791,L1176,(1+VLOOKUP(A1177,'Yield Curve'!A1170:B1792,2,FALSE))^(1/12)-1)</f>
        <v>7.9741404289037643E-3</v>
      </c>
      <c r="M1177" s="5">
        <f t="shared" si="169"/>
        <v>-4.719206516675281</v>
      </c>
    </row>
    <row r="1178" spans="1:13" x14ac:dyDescent="0.25">
      <c r="A1178" s="4">
        <v>1170</v>
      </c>
      <c r="B1178" s="4">
        <f t="shared" si="162"/>
        <v>142</v>
      </c>
      <c r="C1178" s="4">
        <f t="shared" si="163"/>
        <v>1185</v>
      </c>
      <c r="D1178" s="4">
        <f>IF(B1178&gt;'Mortality Table'!$A$118,D1177,VLOOKUP(B1178,'Mortality Table'!$A$2:$B$118,2,FALSE))</f>
        <v>0.59733000000000003</v>
      </c>
      <c r="E1178" s="4">
        <f>IF(INT((C1178-1)/12)+1&gt;'Lapse Table'!$A$11,E1177,VLOOKUP(INT((C1178-1)/12)+1,'Lapse Table'!$A$2:$B$11,2,FALSE))/12</f>
        <v>0</v>
      </c>
      <c r="F1178" s="5">
        <f t="shared" si="170"/>
        <v>-31.927774865621103</v>
      </c>
      <c r="G1178" s="6">
        <f t="shared" si="164"/>
        <v>4.9777500000000002E-2</v>
      </c>
      <c r="H1178" s="6">
        <f t="shared" si="165"/>
        <v>0</v>
      </c>
      <c r="I1178" s="7">
        <f t="shared" si="166"/>
        <v>-1064.2591621873701</v>
      </c>
      <c r="J1178" s="8">
        <f t="shared" si="167"/>
        <v>49777.5</v>
      </c>
      <c r="K1178" s="7">
        <f t="shared" si="168"/>
        <v>-50841.759162187373</v>
      </c>
      <c r="L1178" s="4">
        <f>IF(A1178&gt;'Yield Curve'!A1792,L1177,(1+VLOOKUP(A1178,'Yield Curve'!A1171:B1793,2,FALSE))^(1/12)-1)</f>
        <v>7.9741404289037643E-3</v>
      </c>
      <c r="M1178" s="5">
        <f t="shared" si="169"/>
        <v>-4.682025407623799</v>
      </c>
    </row>
    <row r="1179" spans="1:13" x14ac:dyDescent="0.25">
      <c r="A1179" s="4">
        <v>1171</v>
      </c>
      <c r="B1179" s="4">
        <f t="shared" si="162"/>
        <v>142</v>
      </c>
      <c r="C1179" s="4">
        <f t="shared" si="163"/>
        <v>1186</v>
      </c>
      <c r="D1179" s="4">
        <f>IF(B1179&gt;'Mortality Table'!$A$118,D1178,VLOOKUP(B1179,'Mortality Table'!$A$2:$B$118,2,FALSE))</f>
        <v>0.59733000000000003</v>
      </c>
      <c r="E1179" s="4">
        <f>IF(INT((C1179-1)/12)+1&gt;'Lapse Table'!$A$11,E1178,VLOOKUP(INT((C1179-1)/12)+1,'Lapse Table'!$A$2:$B$11,2,FALSE))/12</f>
        <v>0</v>
      </c>
      <c r="F1179" s="5">
        <f t="shared" si="170"/>
        <v>-31.977552365621104</v>
      </c>
      <c r="G1179" s="6">
        <f t="shared" si="164"/>
        <v>4.9777500000000002E-2</v>
      </c>
      <c r="H1179" s="6">
        <f t="shared" si="165"/>
        <v>0</v>
      </c>
      <c r="I1179" s="7">
        <f t="shared" si="166"/>
        <v>-1065.9184121873702</v>
      </c>
      <c r="J1179" s="8">
        <f t="shared" si="167"/>
        <v>49777.5</v>
      </c>
      <c r="K1179" s="7">
        <f t="shared" si="168"/>
        <v>-50843.41841218737</v>
      </c>
      <c r="L1179" s="4">
        <f>IF(A1179&gt;'Yield Curve'!A1793,L1178,(1+VLOOKUP(A1179,'Yield Curve'!A1172:B1794,2,FALSE))^(1/12)-1)</f>
        <v>7.9741404289037643E-3</v>
      </c>
      <c r="M1179" s="5">
        <f t="shared" si="169"/>
        <v>-4.6451372316146422</v>
      </c>
    </row>
    <row r="1180" spans="1:13" x14ac:dyDescent="0.25">
      <c r="A1180" s="4">
        <v>1172</v>
      </c>
      <c r="B1180" s="4">
        <f t="shared" si="162"/>
        <v>142</v>
      </c>
      <c r="C1180" s="4">
        <f t="shared" si="163"/>
        <v>1187</v>
      </c>
      <c r="D1180" s="4">
        <f>IF(B1180&gt;'Mortality Table'!$A$118,D1179,VLOOKUP(B1180,'Mortality Table'!$A$2:$B$118,2,FALSE))</f>
        <v>0.59733000000000003</v>
      </c>
      <c r="E1180" s="4">
        <f>IF(INT((C1180-1)/12)+1&gt;'Lapse Table'!$A$11,E1179,VLOOKUP(INT((C1180-1)/12)+1,'Lapse Table'!$A$2:$B$11,2,FALSE))/12</f>
        <v>0</v>
      </c>
      <c r="F1180" s="5">
        <f t="shared" si="170"/>
        <v>-32.027329865621105</v>
      </c>
      <c r="G1180" s="6">
        <f t="shared" si="164"/>
        <v>4.9777500000000002E-2</v>
      </c>
      <c r="H1180" s="6">
        <f t="shared" si="165"/>
        <v>0</v>
      </c>
      <c r="I1180" s="7">
        <f t="shared" si="166"/>
        <v>-1067.5776621873702</v>
      </c>
      <c r="J1180" s="8">
        <f t="shared" si="167"/>
        <v>49777.5</v>
      </c>
      <c r="K1180" s="7">
        <f t="shared" si="168"/>
        <v>-50845.077662187367</v>
      </c>
      <c r="L1180" s="4">
        <f>IF(A1180&gt;'Yield Curve'!A1794,L1179,(1+VLOOKUP(A1180,'Yield Curve'!A1173:B1795,2,FALSE))^(1/12)-1)</f>
        <v>7.9741404289037643E-3</v>
      </c>
      <c r="M1180" s="5">
        <f t="shared" si="169"/>
        <v>-4.6085396808009369</v>
      </c>
    </row>
    <row r="1181" spans="1:13" x14ac:dyDescent="0.25">
      <c r="A1181" s="4">
        <v>1173</v>
      </c>
      <c r="B1181" s="4">
        <f t="shared" si="162"/>
        <v>142</v>
      </c>
      <c r="C1181" s="4">
        <f t="shared" si="163"/>
        <v>1188</v>
      </c>
      <c r="D1181" s="4">
        <f>IF(B1181&gt;'Mortality Table'!$A$118,D1180,VLOOKUP(B1181,'Mortality Table'!$A$2:$B$118,2,FALSE))</f>
        <v>0.59733000000000003</v>
      </c>
      <c r="E1181" s="4">
        <f>IF(INT((C1181-1)/12)+1&gt;'Lapse Table'!$A$11,E1180,VLOOKUP(INT((C1181-1)/12)+1,'Lapse Table'!$A$2:$B$11,2,FALSE))/12</f>
        <v>0</v>
      </c>
      <c r="F1181" s="5">
        <f t="shared" si="170"/>
        <v>-32.077107365621103</v>
      </c>
      <c r="G1181" s="6">
        <f t="shared" si="164"/>
        <v>4.9777500000000002E-2</v>
      </c>
      <c r="H1181" s="6">
        <f t="shared" si="165"/>
        <v>0</v>
      </c>
      <c r="I1181" s="7">
        <f t="shared" si="166"/>
        <v>-1069.2369121873701</v>
      </c>
      <c r="J1181" s="8">
        <f t="shared" si="167"/>
        <v>49777.5</v>
      </c>
      <c r="K1181" s="7">
        <f t="shared" si="168"/>
        <v>-50846.736912187371</v>
      </c>
      <c r="L1181" s="4">
        <f>IF(A1181&gt;'Yield Curve'!A1795,L1180,(1+VLOOKUP(A1181,'Yield Curve'!A1174:B1796,2,FALSE))^(1/12)-1)</f>
        <v>7.9741404289037643E-3</v>
      </c>
      <c r="M1181" s="5">
        <f t="shared" si="169"/>
        <v>-4.5722304655176744</v>
      </c>
    </row>
    <row r="1182" spans="1:13" x14ac:dyDescent="0.25">
      <c r="A1182" s="4">
        <v>1174</v>
      </c>
      <c r="B1182" s="4">
        <f t="shared" si="162"/>
        <v>142</v>
      </c>
      <c r="C1182" s="4">
        <f t="shared" si="163"/>
        <v>1189</v>
      </c>
      <c r="D1182" s="4">
        <f>IF(B1182&gt;'Mortality Table'!$A$118,D1181,VLOOKUP(B1182,'Mortality Table'!$A$2:$B$118,2,FALSE))</f>
        <v>0.59733000000000003</v>
      </c>
      <c r="E1182" s="4">
        <f>IF(INT((C1182-1)/12)+1&gt;'Lapse Table'!$A$11,E1181,VLOOKUP(INT((C1182-1)/12)+1,'Lapse Table'!$A$2:$B$11,2,FALSE))/12</f>
        <v>0</v>
      </c>
      <c r="F1182" s="5">
        <f t="shared" si="170"/>
        <v>-32.126884865621101</v>
      </c>
      <c r="G1182" s="6">
        <f t="shared" si="164"/>
        <v>4.9777500000000002E-2</v>
      </c>
      <c r="H1182" s="6">
        <f t="shared" si="165"/>
        <v>0</v>
      </c>
      <c r="I1182" s="7">
        <f t="shared" si="166"/>
        <v>-1070.89616218737</v>
      </c>
      <c r="J1182" s="8">
        <f t="shared" si="167"/>
        <v>49777.5</v>
      </c>
      <c r="K1182" s="7">
        <f t="shared" si="168"/>
        <v>-50848.396162187368</v>
      </c>
      <c r="L1182" s="4">
        <f>IF(A1182&gt;'Yield Curve'!A1796,L1181,(1+VLOOKUP(A1182,'Yield Curve'!A1175:B1797,2,FALSE))^(1/12)-1)</f>
        <v>7.9741404289037643E-3</v>
      </c>
      <c r="M1182" s="5">
        <f t="shared" si="169"/>
        <v>-4.5362073141384558</v>
      </c>
    </row>
    <row r="1183" spans="1:13" x14ac:dyDescent="0.25">
      <c r="A1183" s="4">
        <v>1175</v>
      </c>
      <c r="B1183" s="4">
        <f t="shared" si="162"/>
        <v>142</v>
      </c>
      <c r="C1183" s="4">
        <f t="shared" si="163"/>
        <v>1190</v>
      </c>
      <c r="D1183" s="4">
        <f>IF(B1183&gt;'Mortality Table'!$A$118,D1182,VLOOKUP(B1183,'Mortality Table'!$A$2:$B$118,2,FALSE))</f>
        <v>0.59733000000000003</v>
      </c>
      <c r="E1183" s="4">
        <f>IF(INT((C1183-1)/12)+1&gt;'Lapse Table'!$A$11,E1182,VLOOKUP(INT((C1183-1)/12)+1,'Lapse Table'!$A$2:$B$11,2,FALSE))/12</f>
        <v>0</v>
      </c>
      <c r="F1183" s="5">
        <f t="shared" si="170"/>
        <v>-32.176662365621098</v>
      </c>
      <c r="G1183" s="6">
        <f t="shared" si="164"/>
        <v>4.9777500000000002E-2</v>
      </c>
      <c r="H1183" s="6">
        <f t="shared" si="165"/>
        <v>0</v>
      </c>
      <c r="I1183" s="7">
        <f t="shared" si="166"/>
        <v>-1072.5554121873699</v>
      </c>
      <c r="J1183" s="8">
        <f t="shared" si="167"/>
        <v>49777.5</v>
      </c>
      <c r="K1183" s="7">
        <f t="shared" si="168"/>
        <v>-50850.055412187372</v>
      </c>
      <c r="L1183" s="4">
        <f>IF(A1183&gt;'Yield Curve'!A1797,L1182,(1+VLOOKUP(A1183,'Yield Curve'!A1176:B1798,2,FALSE))^(1/12)-1)</f>
        <v>7.9741404289037643E-3</v>
      </c>
      <c r="M1183" s="5">
        <f t="shared" si="169"/>
        <v>-4.5004679729333823</v>
      </c>
    </row>
    <row r="1184" spans="1:13" x14ac:dyDescent="0.25">
      <c r="A1184" s="4">
        <v>1176</v>
      </c>
      <c r="B1184" s="4">
        <f t="shared" si="162"/>
        <v>143</v>
      </c>
      <c r="C1184" s="4">
        <f t="shared" si="163"/>
        <v>1191</v>
      </c>
      <c r="D1184" s="4">
        <f>IF(B1184&gt;'Mortality Table'!$A$118,D1183,VLOOKUP(B1184,'Mortality Table'!$A$2:$B$118,2,FALSE))</f>
        <v>0.59733000000000003</v>
      </c>
      <c r="E1184" s="4">
        <f>IF(INT((C1184-1)/12)+1&gt;'Lapse Table'!$A$11,E1183,VLOOKUP(INT((C1184-1)/12)+1,'Lapse Table'!$A$2:$B$11,2,FALSE))/12</f>
        <v>0</v>
      </c>
      <c r="F1184" s="5">
        <f t="shared" si="170"/>
        <v>-32.226439865621096</v>
      </c>
      <c r="G1184" s="6">
        <f t="shared" si="164"/>
        <v>4.9777500000000002E-2</v>
      </c>
      <c r="H1184" s="6">
        <f t="shared" si="165"/>
        <v>0</v>
      </c>
      <c r="I1184" s="7">
        <f t="shared" si="166"/>
        <v>-1074.2146621873699</v>
      </c>
      <c r="J1184" s="8">
        <f t="shared" si="167"/>
        <v>49777.5</v>
      </c>
      <c r="K1184" s="7">
        <f t="shared" si="168"/>
        <v>-50851.714662187369</v>
      </c>
      <c r="L1184" s="4">
        <f>IF(A1184&gt;'Yield Curve'!A1798,L1183,(1+VLOOKUP(A1184,'Yield Curve'!A1177:B1799,2,FALSE))^(1/12)-1)</f>
        <v>7.9741404289037643E-3</v>
      </c>
      <c r="M1184" s="5">
        <f t="shared" si="169"/>
        <v>-4.4650102059280714</v>
      </c>
    </row>
    <row r="1185" spans="1:13" x14ac:dyDescent="0.25">
      <c r="A1185" s="4">
        <v>1177</v>
      </c>
      <c r="B1185" s="4">
        <f t="shared" si="162"/>
        <v>143</v>
      </c>
      <c r="C1185" s="4">
        <f t="shared" si="163"/>
        <v>1192</v>
      </c>
      <c r="D1185" s="4">
        <f>IF(B1185&gt;'Mortality Table'!$A$118,D1184,VLOOKUP(B1185,'Mortality Table'!$A$2:$B$118,2,FALSE))</f>
        <v>0.59733000000000003</v>
      </c>
      <c r="E1185" s="4">
        <f>IF(INT((C1185-1)/12)+1&gt;'Lapse Table'!$A$11,E1184,VLOOKUP(INT((C1185-1)/12)+1,'Lapse Table'!$A$2:$B$11,2,FALSE))/12</f>
        <v>0</v>
      </c>
      <c r="F1185" s="5">
        <f t="shared" si="170"/>
        <v>-32.276217365621093</v>
      </c>
      <c r="G1185" s="6">
        <f t="shared" si="164"/>
        <v>4.9777500000000002E-2</v>
      </c>
      <c r="H1185" s="6">
        <f t="shared" si="165"/>
        <v>0</v>
      </c>
      <c r="I1185" s="7">
        <f t="shared" si="166"/>
        <v>-1075.8739121873698</v>
      </c>
      <c r="J1185" s="8">
        <f t="shared" si="167"/>
        <v>49777.5</v>
      </c>
      <c r="K1185" s="7">
        <f t="shared" si="168"/>
        <v>-50853.373912187373</v>
      </c>
      <c r="L1185" s="4">
        <f>IF(A1185&gt;'Yield Curve'!A1799,L1184,(1+VLOOKUP(A1185,'Yield Curve'!A1178:B1800,2,FALSE))^(1/12)-1)</f>
        <v>7.9741404289037643E-3</v>
      </c>
      <c r="M1185" s="5">
        <f t="shared" si="169"/>
        <v>-4.4298317947637758</v>
      </c>
    </row>
    <row r="1186" spans="1:13" x14ac:dyDescent="0.25">
      <c r="A1186" s="4">
        <v>1178</v>
      </c>
      <c r="B1186" s="4">
        <f t="shared" si="162"/>
        <v>143</v>
      </c>
      <c r="C1186" s="4">
        <f t="shared" si="163"/>
        <v>1193</v>
      </c>
      <c r="D1186" s="4">
        <f>IF(B1186&gt;'Mortality Table'!$A$118,D1185,VLOOKUP(B1186,'Mortality Table'!$A$2:$B$118,2,FALSE))</f>
        <v>0.59733000000000003</v>
      </c>
      <c r="E1186" s="4">
        <f>IF(INT((C1186-1)/12)+1&gt;'Lapse Table'!$A$11,E1185,VLOOKUP(INT((C1186-1)/12)+1,'Lapse Table'!$A$2:$B$11,2,FALSE))/12</f>
        <v>0</v>
      </c>
      <c r="F1186" s="5">
        <f t="shared" si="170"/>
        <v>-32.325994865621091</v>
      </c>
      <c r="G1186" s="6">
        <f t="shared" si="164"/>
        <v>4.9777500000000002E-2</v>
      </c>
      <c r="H1186" s="6">
        <f t="shared" si="165"/>
        <v>0</v>
      </c>
      <c r="I1186" s="7">
        <f t="shared" si="166"/>
        <v>-1077.5331621873697</v>
      </c>
      <c r="J1186" s="8">
        <f t="shared" si="167"/>
        <v>49777.5</v>
      </c>
      <c r="K1186" s="7">
        <f t="shared" si="168"/>
        <v>-50855.03316218737</v>
      </c>
      <c r="L1186" s="4">
        <f>IF(A1186&gt;'Yield Curve'!A1800,L1185,(1+VLOOKUP(A1186,'Yield Curve'!A1179:B1801,2,FALSE))^(1/12)-1)</f>
        <v>7.9741404289037643E-3</v>
      </c>
      <c r="M1186" s="5">
        <f t="shared" si="169"/>
        <v>-4.3949305385585946</v>
      </c>
    </row>
    <row r="1187" spans="1:13" x14ac:dyDescent="0.25">
      <c r="A1187" s="4">
        <v>1179</v>
      </c>
      <c r="B1187" s="4">
        <f t="shared" si="162"/>
        <v>143</v>
      </c>
      <c r="C1187" s="4">
        <f t="shared" si="163"/>
        <v>1194</v>
      </c>
      <c r="D1187" s="4">
        <f>IF(B1187&gt;'Mortality Table'!$A$118,D1186,VLOOKUP(B1187,'Mortality Table'!$A$2:$B$118,2,FALSE))</f>
        <v>0.59733000000000003</v>
      </c>
      <c r="E1187" s="4">
        <f>IF(INT((C1187-1)/12)+1&gt;'Lapse Table'!$A$11,E1186,VLOOKUP(INT((C1187-1)/12)+1,'Lapse Table'!$A$2:$B$11,2,FALSE))/12</f>
        <v>0</v>
      </c>
      <c r="F1187" s="5">
        <f t="shared" si="170"/>
        <v>-32.375772365621089</v>
      </c>
      <c r="G1187" s="6">
        <f t="shared" si="164"/>
        <v>4.9777500000000002E-2</v>
      </c>
      <c r="H1187" s="6">
        <f t="shared" si="165"/>
        <v>0</v>
      </c>
      <c r="I1187" s="7">
        <f t="shared" si="166"/>
        <v>-1079.1924121873697</v>
      </c>
      <c r="J1187" s="8">
        <f t="shared" si="167"/>
        <v>49777.5</v>
      </c>
      <c r="K1187" s="7">
        <f t="shared" si="168"/>
        <v>-50856.692412187367</v>
      </c>
      <c r="L1187" s="4">
        <f>IF(A1187&gt;'Yield Curve'!A1801,L1186,(1+VLOOKUP(A1187,'Yield Curve'!A1180:B1802,2,FALSE))^(1/12)-1)</f>
        <v>7.9741404289037643E-3</v>
      </c>
      <c r="M1187" s="5">
        <f t="shared" si="169"/>
        <v>-4.3603042537698018</v>
      </c>
    </row>
    <row r="1188" spans="1:13" x14ac:dyDescent="0.25">
      <c r="A1188" s="4">
        <v>1180</v>
      </c>
      <c r="B1188" s="4">
        <f t="shared" si="162"/>
        <v>143</v>
      </c>
      <c r="C1188" s="4">
        <f t="shared" si="163"/>
        <v>1195</v>
      </c>
      <c r="D1188" s="4">
        <f>IF(B1188&gt;'Mortality Table'!$A$118,D1187,VLOOKUP(B1188,'Mortality Table'!$A$2:$B$118,2,FALSE))</f>
        <v>0.59733000000000003</v>
      </c>
      <c r="E1188" s="4">
        <f>IF(INT((C1188-1)/12)+1&gt;'Lapse Table'!$A$11,E1187,VLOOKUP(INT((C1188-1)/12)+1,'Lapse Table'!$A$2:$B$11,2,FALSE))/12</f>
        <v>0</v>
      </c>
      <c r="F1188" s="5">
        <f t="shared" si="170"/>
        <v>-32.425549865621086</v>
      </c>
      <c r="G1188" s="6">
        <f t="shared" si="164"/>
        <v>4.9777500000000002E-2</v>
      </c>
      <c r="H1188" s="6">
        <f t="shared" si="165"/>
        <v>0</v>
      </c>
      <c r="I1188" s="7">
        <f t="shared" si="166"/>
        <v>-1080.8516621873696</v>
      </c>
      <c r="J1188" s="8">
        <f t="shared" si="167"/>
        <v>49777.5</v>
      </c>
      <c r="K1188" s="7">
        <f t="shared" si="168"/>
        <v>-50858.351662187371</v>
      </c>
      <c r="L1188" s="4">
        <f>IF(A1188&gt;'Yield Curve'!A1802,L1187,(1+VLOOKUP(A1188,'Yield Curve'!A1181:B1803,2,FALSE))^(1/12)-1)</f>
        <v>7.9741404289037643E-3</v>
      </c>
      <c r="M1188" s="5">
        <f t="shared" si="169"/>
        <v>-4.325950774057234</v>
      </c>
    </row>
    <row r="1189" spans="1:13" x14ac:dyDescent="0.25">
      <c r="A1189" s="4">
        <v>1181</v>
      </c>
      <c r="B1189" s="4">
        <f t="shared" si="162"/>
        <v>143</v>
      </c>
      <c r="C1189" s="4">
        <f t="shared" si="163"/>
        <v>1196</v>
      </c>
      <c r="D1189" s="4">
        <f>IF(B1189&gt;'Mortality Table'!$A$118,D1188,VLOOKUP(B1189,'Mortality Table'!$A$2:$B$118,2,FALSE))</f>
        <v>0.59733000000000003</v>
      </c>
      <c r="E1189" s="4">
        <f>IF(INT((C1189-1)/12)+1&gt;'Lapse Table'!$A$11,E1188,VLOOKUP(INT((C1189-1)/12)+1,'Lapse Table'!$A$2:$B$11,2,FALSE))/12</f>
        <v>0</v>
      </c>
      <c r="F1189" s="5">
        <f t="shared" si="170"/>
        <v>-32.475327365621084</v>
      </c>
      <c r="G1189" s="6">
        <f t="shared" si="164"/>
        <v>4.9777500000000002E-2</v>
      </c>
      <c r="H1189" s="6">
        <f t="shared" si="165"/>
        <v>0</v>
      </c>
      <c r="I1189" s="7">
        <f t="shared" si="166"/>
        <v>-1082.5109121873695</v>
      </c>
      <c r="J1189" s="8">
        <f t="shared" si="167"/>
        <v>49777.5</v>
      </c>
      <c r="K1189" s="7">
        <f t="shared" si="168"/>
        <v>-50860.010912187368</v>
      </c>
      <c r="L1189" s="4">
        <f>IF(A1189&gt;'Yield Curve'!A1803,L1188,(1+VLOOKUP(A1189,'Yield Curve'!A1182:B1804,2,FALSE))^(1/12)-1)</f>
        <v>7.9741404289037643E-3</v>
      </c>
      <c r="M1189" s="5">
        <f t="shared" si="169"/>
        <v>-4.2918679501477754</v>
      </c>
    </row>
    <row r="1190" spans="1:13" x14ac:dyDescent="0.25">
      <c r="A1190" s="4">
        <v>1182</v>
      </c>
      <c r="B1190" s="4">
        <f t="shared" si="162"/>
        <v>143</v>
      </c>
      <c r="C1190" s="4">
        <f t="shared" si="163"/>
        <v>1197</v>
      </c>
      <c r="D1190" s="4">
        <f>IF(B1190&gt;'Mortality Table'!$A$118,D1189,VLOOKUP(B1190,'Mortality Table'!$A$2:$B$118,2,FALSE))</f>
        <v>0.59733000000000003</v>
      </c>
      <c r="E1190" s="4">
        <f>IF(INT((C1190-1)/12)+1&gt;'Lapse Table'!$A$11,E1189,VLOOKUP(INT((C1190-1)/12)+1,'Lapse Table'!$A$2:$B$11,2,FALSE))/12</f>
        <v>0</v>
      </c>
      <c r="F1190" s="5">
        <f t="shared" si="170"/>
        <v>-32.525104865621081</v>
      </c>
      <c r="G1190" s="6">
        <f t="shared" si="164"/>
        <v>4.9777500000000002E-2</v>
      </c>
      <c r="H1190" s="6">
        <f t="shared" si="165"/>
        <v>0</v>
      </c>
      <c r="I1190" s="7">
        <f t="shared" si="166"/>
        <v>-1084.1701621873694</v>
      </c>
      <c r="J1190" s="8">
        <f t="shared" si="167"/>
        <v>49777.5</v>
      </c>
      <c r="K1190" s="7">
        <f t="shared" si="168"/>
        <v>-50861.670162187373</v>
      </c>
      <c r="L1190" s="4">
        <f>IF(A1190&gt;'Yield Curve'!A1804,L1189,(1+VLOOKUP(A1190,'Yield Curve'!A1183:B1805,2,FALSE))^(1/12)-1)</f>
        <v>7.9741404289037643E-3</v>
      </c>
      <c r="M1190" s="5">
        <f t="shared" si="169"/>
        <v>-4.2580536497008969</v>
      </c>
    </row>
    <row r="1191" spans="1:13" x14ac:dyDescent="0.25">
      <c r="A1191" s="4">
        <v>1183</v>
      </c>
      <c r="B1191" s="4">
        <f t="shared" si="162"/>
        <v>143</v>
      </c>
      <c r="C1191" s="4">
        <f t="shared" si="163"/>
        <v>1198</v>
      </c>
      <c r="D1191" s="4">
        <f>IF(B1191&gt;'Mortality Table'!$A$118,D1190,VLOOKUP(B1191,'Mortality Table'!$A$2:$B$118,2,FALSE))</f>
        <v>0.59733000000000003</v>
      </c>
      <c r="E1191" s="4">
        <f>IF(INT((C1191-1)/12)+1&gt;'Lapse Table'!$A$11,E1190,VLOOKUP(INT((C1191-1)/12)+1,'Lapse Table'!$A$2:$B$11,2,FALSE))/12</f>
        <v>0</v>
      </c>
      <c r="F1191" s="5">
        <f t="shared" si="170"/>
        <v>-32.574882365621079</v>
      </c>
      <c r="G1191" s="6">
        <f t="shared" si="164"/>
        <v>4.9777500000000002E-2</v>
      </c>
      <c r="H1191" s="6">
        <f t="shared" si="165"/>
        <v>0</v>
      </c>
      <c r="I1191" s="7">
        <f t="shared" si="166"/>
        <v>-1085.8294121873694</v>
      </c>
      <c r="J1191" s="8">
        <f t="shared" si="167"/>
        <v>49777.5</v>
      </c>
      <c r="K1191" s="7">
        <f t="shared" si="168"/>
        <v>-50863.32941218737</v>
      </c>
      <c r="L1191" s="4">
        <f>IF(A1191&gt;'Yield Curve'!A1805,L1190,(1+VLOOKUP(A1191,'Yield Curve'!A1184:B1806,2,FALSE))^(1/12)-1)</f>
        <v>7.9741404289037643E-3</v>
      </c>
      <c r="M1191" s="5">
        <f t="shared" si="169"/>
        <v>-4.2245057571752564</v>
      </c>
    </row>
    <row r="1192" spans="1:13" x14ac:dyDescent="0.25">
      <c r="A1192" s="4">
        <v>1184</v>
      </c>
      <c r="B1192" s="4">
        <f t="shared" si="162"/>
        <v>143</v>
      </c>
      <c r="C1192" s="4">
        <f t="shared" si="163"/>
        <v>1199</v>
      </c>
      <c r="D1192" s="4">
        <f>IF(B1192&gt;'Mortality Table'!$A$118,D1191,VLOOKUP(B1192,'Mortality Table'!$A$2:$B$118,2,FALSE))</f>
        <v>0.59733000000000003</v>
      </c>
      <c r="E1192" s="4">
        <f>IF(INT((C1192-1)/12)+1&gt;'Lapse Table'!$A$11,E1191,VLOOKUP(INT((C1192-1)/12)+1,'Lapse Table'!$A$2:$B$11,2,FALSE))/12</f>
        <v>0</v>
      </c>
      <c r="F1192" s="5">
        <f t="shared" si="170"/>
        <v>-32.624659865621076</v>
      </c>
      <c r="G1192" s="6">
        <f t="shared" si="164"/>
        <v>4.9777500000000002E-2</v>
      </c>
      <c r="H1192" s="6">
        <f t="shared" si="165"/>
        <v>0</v>
      </c>
      <c r="I1192" s="7">
        <f t="shared" si="166"/>
        <v>-1087.4886621873691</v>
      </c>
      <c r="J1192" s="8">
        <f t="shared" si="167"/>
        <v>49777.5</v>
      </c>
      <c r="K1192" s="7">
        <f t="shared" si="168"/>
        <v>-50864.988662187367</v>
      </c>
      <c r="L1192" s="4">
        <f>IF(A1192&gt;'Yield Curve'!A1806,L1191,(1+VLOOKUP(A1192,'Yield Curve'!A1185:B1807,2,FALSE))^(1/12)-1)</f>
        <v>7.9741404289037643E-3</v>
      </c>
      <c r="M1192" s="5">
        <f t="shared" si="169"/>
        <v>-4.191222173696354</v>
      </c>
    </row>
    <row r="1193" spans="1:13" x14ac:dyDescent="0.25">
      <c r="A1193" s="4">
        <v>1185</v>
      </c>
      <c r="B1193" s="4">
        <f t="shared" si="162"/>
        <v>143</v>
      </c>
      <c r="C1193" s="4">
        <f t="shared" si="163"/>
        <v>1200</v>
      </c>
      <c r="D1193" s="4">
        <f>IF(B1193&gt;'Mortality Table'!$A$118,D1192,VLOOKUP(B1193,'Mortality Table'!$A$2:$B$118,2,FALSE))</f>
        <v>0.59733000000000003</v>
      </c>
      <c r="E1193" s="4">
        <f>IF(INT((C1193-1)/12)+1&gt;'Lapse Table'!$A$11,E1192,VLOOKUP(INT((C1193-1)/12)+1,'Lapse Table'!$A$2:$B$11,2,FALSE))/12</f>
        <v>0</v>
      </c>
      <c r="F1193" s="5">
        <f t="shared" si="170"/>
        <v>-32.674437365621074</v>
      </c>
      <c r="G1193" s="6">
        <f t="shared" si="164"/>
        <v>4.9777500000000002E-2</v>
      </c>
      <c r="H1193" s="6">
        <f t="shared" si="165"/>
        <v>0</v>
      </c>
      <c r="I1193" s="7">
        <f t="shared" si="166"/>
        <v>-1089.1479121873692</v>
      </c>
      <c r="J1193" s="8">
        <f t="shared" si="167"/>
        <v>49777.5</v>
      </c>
      <c r="K1193" s="7">
        <f t="shared" si="168"/>
        <v>-50866.647912187371</v>
      </c>
      <c r="L1193" s="4">
        <f>IF(A1193&gt;'Yield Curve'!A1807,L1192,(1+VLOOKUP(A1193,'Yield Curve'!A1186:B1808,2,FALSE))^(1/12)-1)</f>
        <v>7.9741404289037643E-3</v>
      </c>
      <c r="M1193" s="5">
        <f t="shared" si="169"/>
        <v>-4.1582008169252358</v>
      </c>
    </row>
    <row r="1194" spans="1:13" x14ac:dyDescent="0.25">
      <c r="A1194" s="4">
        <v>1186</v>
      </c>
      <c r="B1194" s="4">
        <f t="shared" si="162"/>
        <v>143</v>
      </c>
      <c r="C1194" s="4">
        <f t="shared" si="163"/>
        <v>1201</v>
      </c>
      <c r="D1194" s="4">
        <f>IF(B1194&gt;'Mortality Table'!$A$118,D1193,VLOOKUP(B1194,'Mortality Table'!$A$2:$B$118,2,FALSE))</f>
        <v>0.59733000000000003</v>
      </c>
      <c r="E1194" s="4">
        <f>IF(INT((C1194-1)/12)+1&gt;'Lapse Table'!$A$11,E1193,VLOOKUP(INT((C1194-1)/12)+1,'Lapse Table'!$A$2:$B$11,2,FALSE))/12</f>
        <v>0</v>
      </c>
      <c r="F1194" s="5">
        <f t="shared" si="170"/>
        <v>-32.724214865621072</v>
      </c>
      <c r="G1194" s="6">
        <f t="shared" si="164"/>
        <v>4.9777500000000002E-2</v>
      </c>
      <c r="H1194" s="6">
        <f t="shared" si="165"/>
        <v>0</v>
      </c>
      <c r="I1194" s="7">
        <f t="shared" si="166"/>
        <v>-1090.8071621873689</v>
      </c>
      <c r="J1194" s="8">
        <f t="shared" si="167"/>
        <v>49777.5</v>
      </c>
      <c r="K1194" s="7">
        <f t="shared" si="168"/>
        <v>-50868.307162187368</v>
      </c>
      <c r="L1194" s="4">
        <f>IF(A1194&gt;'Yield Curve'!A1808,L1193,(1+VLOOKUP(A1194,'Yield Curve'!A1187:B1809,2,FALSE))^(1/12)-1)</f>
        <v>7.9741404289037643E-3</v>
      </c>
      <c r="M1194" s="5">
        <f t="shared" si="169"/>
        <v>-4.1254396209282085</v>
      </c>
    </row>
    <row r="1195" spans="1:13" x14ac:dyDescent="0.25">
      <c r="A1195" s="4">
        <v>1187</v>
      </c>
      <c r="B1195" s="4">
        <f t="shared" si="162"/>
        <v>143</v>
      </c>
      <c r="C1195" s="4">
        <f t="shared" si="163"/>
        <v>1202</v>
      </c>
      <c r="D1195" s="4">
        <f>IF(B1195&gt;'Mortality Table'!$A$118,D1194,VLOOKUP(B1195,'Mortality Table'!$A$2:$B$118,2,FALSE))</f>
        <v>0.59733000000000003</v>
      </c>
      <c r="E1195" s="4">
        <f>IF(INT((C1195-1)/12)+1&gt;'Lapse Table'!$A$11,E1194,VLOOKUP(INT((C1195-1)/12)+1,'Lapse Table'!$A$2:$B$11,2,FALSE))/12</f>
        <v>0</v>
      </c>
      <c r="F1195" s="5">
        <f t="shared" si="170"/>
        <v>-32.773992365621069</v>
      </c>
      <c r="G1195" s="6">
        <f t="shared" si="164"/>
        <v>4.9777500000000002E-2</v>
      </c>
      <c r="H1195" s="6">
        <f t="shared" si="165"/>
        <v>0</v>
      </c>
      <c r="I1195" s="7">
        <f t="shared" si="166"/>
        <v>-1092.4664121873691</v>
      </c>
      <c r="J1195" s="8">
        <f t="shared" si="167"/>
        <v>49777.5</v>
      </c>
      <c r="K1195" s="7">
        <f t="shared" si="168"/>
        <v>-50869.966412187372</v>
      </c>
      <c r="L1195" s="4">
        <f>IF(A1195&gt;'Yield Curve'!A1809,L1194,(1+VLOOKUP(A1195,'Yield Curve'!A1188:B1810,2,FALSE))^(1/12)-1)</f>
        <v>7.9741404289037643E-3</v>
      </c>
      <c r="M1195" s="5">
        <f t="shared" si="169"/>
        <v>-4.0929365360476124</v>
      </c>
    </row>
    <row r="1196" spans="1:13" x14ac:dyDescent="0.25">
      <c r="A1196" s="4">
        <v>1188</v>
      </c>
      <c r="B1196" s="4">
        <f t="shared" si="162"/>
        <v>144</v>
      </c>
      <c r="C1196" s="4">
        <f t="shared" si="163"/>
        <v>1203</v>
      </c>
      <c r="D1196" s="4">
        <f>IF(B1196&gt;'Mortality Table'!$A$118,D1195,VLOOKUP(B1196,'Mortality Table'!$A$2:$B$118,2,FALSE))</f>
        <v>0.59733000000000003</v>
      </c>
      <c r="E1196" s="4">
        <f>IF(INT((C1196-1)/12)+1&gt;'Lapse Table'!$A$11,E1195,VLOOKUP(INT((C1196-1)/12)+1,'Lapse Table'!$A$2:$B$11,2,FALSE))/12</f>
        <v>0</v>
      </c>
      <c r="F1196" s="5">
        <f t="shared" si="170"/>
        <v>-32.823769865621067</v>
      </c>
      <c r="G1196" s="6">
        <f t="shared" si="164"/>
        <v>4.9777500000000002E-2</v>
      </c>
      <c r="H1196" s="6">
        <f t="shared" si="165"/>
        <v>0</v>
      </c>
      <c r="I1196" s="7">
        <f t="shared" si="166"/>
        <v>-1094.1256621873688</v>
      </c>
      <c r="J1196" s="8">
        <f t="shared" si="167"/>
        <v>49777.5</v>
      </c>
      <c r="K1196" s="7">
        <f t="shared" si="168"/>
        <v>-50871.625662187369</v>
      </c>
      <c r="L1196" s="4">
        <f>IF(A1196&gt;'Yield Curve'!A1810,L1195,(1+VLOOKUP(A1196,'Yield Curve'!A1189:B1811,2,FALSE))^(1/12)-1)</f>
        <v>7.9741404289037643E-3</v>
      </c>
      <c r="M1196" s="5">
        <f t="shared" si="169"/>
        <v>-4.0606895287735822</v>
      </c>
    </row>
    <row r="1197" spans="1:13" x14ac:dyDescent="0.25">
      <c r="A1197" s="4">
        <v>1189</v>
      </c>
      <c r="B1197" s="4">
        <f t="shared" si="162"/>
        <v>144</v>
      </c>
      <c r="C1197" s="4">
        <f t="shared" si="163"/>
        <v>1204</v>
      </c>
      <c r="D1197" s="4">
        <f>IF(B1197&gt;'Mortality Table'!$A$118,D1196,VLOOKUP(B1197,'Mortality Table'!$A$2:$B$118,2,FALSE))</f>
        <v>0.59733000000000003</v>
      </c>
      <c r="E1197" s="4">
        <f>IF(INT((C1197-1)/12)+1&gt;'Lapse Table'!$A$11,E1196,VLOOKUP(INT((C1197-1)/12)+1,'Lapse Table'!$A$2:$B$11,2,FALSE))/12</f>
        <v>0</v>
      </c>
      <c r="F1197" s="5">
        <f t="shared" si="170"/>
        <v>-32.873547365621064</v>
      </c>
      <c r="G1197" s="6">
        <f t="shared" si="164"/>
        <v>4.9777500000000002E-2</v>
      </c>
      <c r="H1197" s="6">
        <f t="shared" si="165"/>
        <v>0</v>
      </c>
      <c r="I1197" s="7">
        <f t="shared" si="166"/>
        <v>-1095.7849121873689</v>
      </c>
      <c r="J1197" s="8">
        <f t="shared" si="167"/>
        <v>49777.5</v>
      </c>
      <c r="K1197" s="7">
        <f t="shared" si="168"/>
        <v>-50873.284912187366</v>
      </c>
      <c r="L1197" s="4">
        <f>IF(A1197&gt;'Yield Curve'!A1811,L1196,(1+VLOOKUP(A1197,'Yield Curve'!A1190:B1812,2,FALSE))^(1/12)-1)</f>
        <v>7.9741404289037643E-3</v>
      </c>
      <c r="M1197" s="5">
        <f t="shared" si="169"/>
        <v>-4.0286965816168463</v>
      </c>
    </row>
    <row r="1198" spans="1:13" x14ac:dyDescent="0.25">
      <c r="A1198" s="4">
        <v>1190</v>
      </c>
      <c r="B1198" s="4">
        <f t="shared" si="162"/>
        <v>144</v>
      </c>
      <c r="C1198" s="4">
        <f t="shared" si="163"/>
        <v>1205</v>
      </c>
      <c r="D1198" s="4">
        <f>IF(B1198&gt;'Mortality Table'!$A$118,D1197,VLOOKUP(B1198,'Mortality Table'!$A$2:$B$118,2,FALSE))</f>
        <v>0.59733000000000003</v>
      </c>
      <c r="E1198" s="4">
        <f>IF(INT((C1198-1)/12)+1&gt;'Lapse Table'!$A$11,E1197,VLOOKUP(INT((C1198-1)/12)+1,'Lapse Table'!$A$2:$B$11,2,FALSE))/12</f>
        <v>0</v>
      </c>
      <c r="F1198" s="5">
        <f t="shared" si="170"/>
        <v>-32.923324865621062</v>
      </c>
      <c r="G1198" s="6">
        <f t="shared" si="164"/>
        <v>4.9777500000000002E-2</v>
      </c>
      <c r="H1198" s="6">
        <f t="shared" si="165"/>
        <v>0</v>
      </c>
      <c r="I1198" s="7">
        <f t="shared" si="166"/>
        <v>-1097.4441621873686</v>
      </c>
      <c r="J1198" s="8">
        <f t="shared" si="167"/>
        <v>49777.5</v>
      </c>
      <c r="K1198" s="7">
        <f t="shared" si="168"/>
        <v>-50874.94416218737</v>
      </c>
      <c r="L1198" s="4">
        <f>IF(A1198&gt;'Yield Curve'!A1812,L1197,(1+VLOOKUP(A1198,'Yield Curve'!A1191:B1813,2,FALSE))^(1/12)-1)</f>
        <v>7.9741404289037643E-3</v>
      </c>
      <c r="M1198" s="5">
        <f t="shared" si="169"/>
        <v>-3.9969556929824996</v>
      </c>
    </row>
    <row r="1199" spans="1:13" x14ac:dyDescent="0.25">
      <c r="A1199" s="4">
        <v>1191</v>
      </c>
      <c r="B1199" s="4">
        <f t="shared" si="162"/>
        <v>144</v>
      </c>
      <c r="C1199" s="4">
        <f t="shared" si="163"/>
        <v>1206</v>
      </c>
      <c r="D1199" s="4">
        <f>IF(B1199&gt;'Mortality Table'!$A$118,D1198,VLOOKUP(B1199,'Mortality Table'!$A$2:$B$118,2,FALSE))</f>
        <v>0.59733000000000003</v>
      </c>
      <c r="E1199" s="4">
        <f>IF(INT((C1199-1)/12)+1&gt;'Lapse Table'!$A$11,E1198,VLOOKUP(INT((C1199-1)/12)+1,'Lapse Table'!$A$2:$B$11,2,FALSE))/12</f>
        <v>0</v>
      </c>
      <c r="F1199" s="5">
        <f t="shared" si="170"/>
        <v>-32.97310236562106</v>
      </c>
      <c r="G1199" s="6">
        <f t="shared" si="164"/>
        <v>4.9777500000000002E-2</v>
      </c>
      <c r="H1199" s="6">
        <f t="shared" si="165"/>
        <v>0</v>
      </c>
      <c r="I1199" s="7">
        <f t="shared" si="166"/>
        <v>-1099.1034121873688</v>
      </c>
      <c r="J1199" s="8">
        <f t="shared" si="167"/>
        <v>49777.5</v>
      </c>
      <c r="K1199" s="7">
        <f t="shared" si="168"/>
        <v>-50876.603412187367</v>
      </c>
      <c r="L1199" s="4">
        <f>IF(A1199&gt;'Yield Curve'!A1813,L1198,(1+VLOOKUP(A1199,'Yield Curve'!A1192:B1814,2,FALSE))^(1/12)-1)</f>
        <v>7.9741404289037643E-3</v>
      </c>
      <c r="M1199" s="5">
        <f t="shared" si="169"/>
        <v>-3.9654648770447993</v>
      </c>
    </row>
    <row r="1200" spans="1:13" x14ac:dyDescent="0.25">
      <c r="A1200" s="4">
        <v>1192</v>
      </c>
      <c r="B1200" s="4">
        <f t="shared" si="162"/>
        <v>144</v>
      </c>
      <c r="C1200" s="4">
        <f t="shared" si="163"/>
        <v>1207</v>
      </c>
      <c r="D1200" s="4">
        <f>IF(B1200&gt;'Mortality Table'!$A$118,D1199,VLOOKUP(B1200,'Mortality Table'!$A$2:$B$118,2,FALSE))</f>
        <v>0.59733000000000003</v>
      </c>
      <c r="E1200" s="4">
        <f>IF(INT((C1200-1)/12)+1&gt;'Lapse Table'!$A$11,E1199,VLOOKUP(INT((C1200-1)/12)+1,'Lapse Table'!$A$2:$B$11,2,FALSE))/12</f>
        <v>0</v>
      </c>
      <c r="F1200" s="5">
        <f t="shared" si="170"/>
        <v>-33.022879865621057</v>
      </c>
      <c r="G1200" s="6">
        <f t="shared" si="164"/>
        <v>4.9777500000000002E-2</v>
      </c>
      <c r="H1200" s="6">
        <f t="shared" si="165"/>
        <v>0</v>
      </c>
      <c r="I1200" s="7">
        <f t="shared" si="166"/>
        <v>-1100.7626621873685</v>
      </c>
      <c r="J1200" s="8">
        <f t="shared" si="167"/>
        <v>49777.5</v>
      </c>
      <c r="K1200" s="7">
        <f t="shared" si="168"/>
        <v>-50878.262662187371</v>
      </c>
      <c r="L1200" s="4">
        <f>IF(A1200&gt;'Yield Curve'!A1814,L1199,(1+VLOOKUP(A1200,'Yield Curve'!A1193:B1815,2,FALSE))^(1/12)-1)</f>
        <v>7.9741404289037643E-3</v>
      </c>
      <c r="M1200" s="5">
        <f t="shared" si="169"/>
        <v>-3.9342221636229184</v>
      </c>
    </row>
    <row r="1201" spans="1:13" x14ac:dyDescent="0.25">
      <c r="A1201" s="4">
        <v>1193</v>
      </c>
      <c r="B1201" s="4">
        <f t="shared" si="162"/>
        <v>144</v>
      </c>
      <c r="C1201" s="4">
        <f t="shared" si="163"/>
        <v>1208</v>
      </c>
      <c r="D1201" s="4">
        <f>IF(B1201&gt;'Mortality Table'!$A$118,D1200,VLOOKUP(B1201,'Mortality Table'!$A$2:$B$118,2,FALSE))</f>
        <v>0.59733000000000003</v>
      </c>
      <c r="E1201" s="4">
        <f>IF(INT((C1201-1)/12)+1&gt;'Lapse Table'!$A$11,E1200,VLOOKUP(INT((C1201-1)/12)+1,'Lapse Table'!$A$2:$B$11,2,FALSE))/12</f>
        <v>0</v>
      </c>
      <c r="F1201" s="5">
        <f t="shared" si="170"/>
        <v>-33.072657365621055</v>
      </c>
      <c r="G1201" s="6">
        <f t="shared" si="164"/>
        <v>4.9777500000000002E-2</v>
      </c>
      <c r="H1201" s="6">
        <f t="shared" si="165"/>
        <v>0</v>
      </c>
      <c r="I1201" s="7">
        <f t="shared" si="166"/>
        <v>-1102.4219121873684</v>
      </c>
      <c r="J1201" s="8">
        <f t="shared" si="167"/>
        <v>49777.5</v>
      </c>
      <c r="K1201" s="7">
        <f t="shared" si="168"/>
        <v>-50879.921912187368</v>
      </c>
      <c r="L1201" s="4">
        <f>IF(A1201&gt;'Yield Curve'!A1815,L1200,(1+VLOOKUP(A1201,'Yield Curve'!A1194:B1816,2,FALSE))^(1/12)-1)</f>
        <v>7.9741404289037643E-3</v>
      </c>
      <c r="M1201" s="5">
        <f t="shared" si="169"/>
        <v>-3.9032255980577069</v>
      </c>
    </row>
    <row r="1202" spans="1:13" x14ac:dyDescent="0.25">
      <c r="A1202" s="4">
        <v>1194</v>
      </c>
      <c r="B1202" s="4">
        <f t="shared" si="162"/>
        <v>144</v>
      </c>
      <c r="C1202" s="4">
        <f t="shared" si="163"/>
        <v>1209</v>
      </c>
      <c r="D1202" s="4">
        <f>IF(B1202&gt;'Mortality Table'!$A$118,D1201,VLOOKUP(B1202,'Mortality Table'!$A$2:$B$118,2,FALSE))</f>
        <v>0.59733000000000003</v>
      </c>
      <c r="E1202" s="4">
        <f>IF(INT((C1202-1)/12)+1&gt;'Lapse Table'!$A$11,E1201,VLOOKUP(INT((C1202-1)/12)+1,'Lapse Table'!$A$2:$B$11,2,FALSE))/12</f>
        <v>0</v>
      </c>
      <c r="F1202" s="5">
        <f t="shared" si="170"/>
        <v>-33.122434865621052</v>
      </c>
      <c r="G1202" s="6">
        <f t="shared" si="164"/>
        <v>4.9777500000000002E-2</v>
      </c>
      <c r="H1202" s="6">
        <f t="shared" si="165"/>
        <v>0</v>
      </c>
      <c r="I1202" s="7">
        <f t="shared" si="166"/>
        <v>-1104.0811621873684</v>
      </c>
      <c r="J1202" s="8">
        <f t="shared" si="167"/>
        <v>49777.5</v>
      </c>
      <c r="K1202" s="7">
        <f t="shared" si="168"/>
        <v>-50881.581162187365</v>
      </c>
      <c r="L1202" s="4">
        <f>IF(A1202&gt;'Yield Curve'!A1816,L1201,(1+VLOOKUP(A1202,'Yield Curve'!A1195:B1817,2,FALSE))^(1/12)-1)</f>
        <v>7.9741404289037643E-3</v>
      </c>
      <c r="M1202" s="5">
        <f t="shared" si="169"/>
        <v>-3.8724732410893976</v>
      </c>
    </row>
    <row r="1203" spans="1:13" x14ac:dyDescent="0.25">
      <c r="A1203" s="4">
        <v>1195</v>
      </c>
      <c r="B1203" s="4">
        <f t="shared" si="162"/>
        <v>144</v>
      </c>
      <c r="C1203" s="4">
        <f t="shared" si="163"/>
        <v>1210</v>
      </c>
      <c r="D1203" s="4">
        <f>IF(B1203&gt;'Mortality Table'!$A$118,D1202,VLOOKUP(B1203,'Mortality Table'!$A$2:$B$118,2,FALSE))</f>
        <v>0.59733000000000003</v>
      </c>
      <c r="E1203" s="4">
        <f>IF(INT((C1203-1)/12)+1&gt;'Lapse Table'!$A$11,E1202,VLOOKUP(INT((C1203-1)/12)+1,'Lapse Table'!$A$2:$B$11,2,FALSE))/12</f>
        <v>0</v>
      </c>
      <c r="F1203" s="5">
        <f t="shared" si="170"/>
        <v>-33.17221236562105</v>
      </c>
      <c r="G1203" s="6">
        <f t="shared" si="164"/>
        <v>4.9777500000000002E-2</v>
      </c>
      <c r="H1203" s="6">
        <f t="shared" si="165"/>
        <v>0</v>
      </c>
      <c r="I1203" s="7">
        <f t="shared" si="166"/>
        <v>-1105.7404121873683</v>
      </c>
      <c r="J1203" s="8">
        <f t="shared" si="167"/>
        <v>49777.5</v>
      </c>
      <c r="K1203" s="7">
        <f t="shared" si="168"/>
        <v>-50883.24041218737</v>
      </c>
      <c r="L1203" s="4">
        <f>IF(A1203&gt;'Yield Curve'!A1817,L1202,(1+VLOOKUP(A1203,'Yield Curve'!A1196:B1818,2,FALSE))^(1/12)-1)</f>
        <v>7.9741404289037643E-3</v>
      </c>
      <c r="M1203" s="5">
        <f t="shared" si="169"/>
        <v>-3.8419631687362976</v>
      </c>
    </row>
    <row r="1204" spans="1:13" x14ac:dyDescent="0.25">
      <c r="A1204" s="4">
        <v>1196</v>
      </c>
      <c r="B1204" s="4">
        <f t="shared" si="162"/>
        <v>144</v>
      </c>
      <c r="C1204" s="4">
        <f t="shared" si="163"/>
        <v>1211</v>
      </c>
      <c r="D1204" s="4">
        <f>IF(B1204&gt;'Mortality Table'!$A$118,D1203,VLOOKUP(B1204,'Mortality Table'!$A$2:$B$118,2,FALSE))</f>
        <v>0.59733000000000003</v>
      </c>
      <c r="E1204" s="4">
        <f>IF(INT((C1204-1)/12)+1&gt;'Lapse Table'!$A$11,E1203,VLOOKUP(INT((C1204-1)/12)+1,'Lapse Table'!$A$2:$B$11,2,FALSE))/12</f>
        <v>0</v>
      </c>
      <c r="F1204" s="5">
        <f t="shared" si="170"/>
        <v>-33.221989865621047</v>
      </c>
      <c r="G1204" s="6">
        <f t="shared" si="164"/>
        <v>4.9777500000000002E-2</v>
      </c>
      <c r="H1204" s="6">
        <f t="shared" si="165"/>
        <v>0</v>
      </c>
      <c r="I1204" s="7">
        <f t="shared" si="166"/>
        <v>-1107.3996621873682</v>
      </c>
      <c r="J1204" s="8">
        <f t="shared" si="167"/>
        <v>49777.5</v>
      </c>
      <c r="K1204" s="7">
        <f t="shared" si="168"/>
        <v>-50884.899662187367</v>
      </c>
      <c r="L1204" s="4">
        <f>IF(A1204&gt;'Yield Curve'!A1818,L1203,(1+VLOOKUP(A1204,'Yield Curve'!A1197:B1819,2,FALSE))^(1/12)-1)</f>
        <v>7.9741404289037643E-3</v>
      </c>
      <c r="M1204" s="5">
        <f t="shared" si="169"/>
        <v>-3.8116934721744151</v>
      </c>
    </row>
    <row r="1205" spans="1:13" x14ac:dyDescent="0.25">
      <c r="A1205" s="4">
        <v>1197</v>
      </c>
      <c r="B1205" s="4">
        <f t="shared" si="162"/>
        <v>144</v>
      </c>
      <c r="C1205" s="4">
        <f t="shared" si="163"/>
        <v>1212</v>
      </c>
      <c r="D1205" s="4">
        <f>IF(B1205&gt;'Mortality Table'!$A$118,D1204,VLOOKUP(B1205,'Mortality Table'!$A$2:$B$118,2,FALSE))</f>
        <v>0.59733000000000003</v>
      </c>
      <c r="E1205" s="4">
        <f>IF(INT((C1205-1)/12)+1&gt;'Lapse Table'!$A$11,E1204,VLOOKUP(INT((C1205-1)/12)+1,'Lapse Table'!$A$2:$B$11,2,FALSE))/12</f>
        <v>0</v>
      </c>
      <c r="F1205" s="5">
        <f t="shared" si="170"/>
        <v>-33.271767365621045</v>
      </c>
      <c r="G1205" s="6">
        <f t="shared" si="164"/>
        <v>4.9777500000000002E-2</v>
      </c>
      <c r="H1205" s="6">
        <f t="shared" si="165"/>
        <v>0</v>
      </c>
      <c r="I1205" s="7">
        <f t="shared" si="166"/>
        <v>-1109.0589121873682</v>
      </c>
      <c r="J1205" s="8">
        <f t="shared" si="167"/>
        <v>49777.5</v>
      </c>
      <c r="K1205" s="7">
        <f t="shared" si="168"/>
        <v>-50886.558912187371</v>
      </c>
      <c r="L1205" s="4">
        <f>IF(A1205&gt;'Yield Curve'!A1819,L1204,(1+VLOOKUP(A1205,'Yield Curve'!A1198:B1820,2,FALSE))^(1/12)-1)</f>
        <v>7.9741404289037643E-3</v>
      </c>
      <c r="M1205" s="5">
        <f t="shared" si="169"/>
        <v>-3.7816622576180521</v>
      </c>
    </row>
    <row r="1206" spans="1:13" x14ac:dyDescent="0.25">
      <c r="A1206" s="4">
        <v>1198</v>
      </c>
      <c r="B1206" s="4">
        <f t="shared" si="162"/>
        <v>144</v>
      </c>
      <c r="C1206" s="4">
        <f t="shared" si="163"/>
        <v>1213</v>
      </c>
      <c r="D1206" s="4">
        <f>IF(B1206&gt;'Mortality Table'!$A$118,D1205,VLOOKUP(B1206,'Mortality Table'!$A$2:$B$118,2,FALSE))</f>
        <v>0.59733000000000003</v>
      </c>
      <c r="E1206" s="4">
        <f>IF(INT((C1206-1)/12)+1&gt;'Lapse Table'!$A$11,E1205,VLOOKUP(INT((C1206-1)/12)+1,'Lapse Table'!$A$2:$B$11,2,FALSE))/12</f>
        <v>0</v>
      </c>
      <c r="F1206" s="5">
        <f t="shared" si="170"/>
        <v>-33.321544865621043</v>
      </c>
      <c r="G1206" s="6">
        <f t="shared" si="164"/>
        <v>4.9777500000000002E-2</v>
      </c>
      <c r="H1206" s="6">
        <f t="shared" si="165"/>
        <v>0</v>
      </c>
      <c r="I1206" s="7">
        <f t="shared" si="166"/>
        <v>-1110.7181621873681</v>
      </c>
      <c r="J1206" s="8">
        <f t="shared" si="167"/>
        <v>49777.5</v>
      </c>
      <c r="K1206" s="7">
        <f t="shared" si="168"/>
        <v>-50888.218162187368</v>
      </c>
      <c r="L1206" s="4">
        <f>IF(A1206&gt;'Yield Curve'!A1820,L1205,(1+VLOOKUP(A1206,'Yield Curve'!A1199:B1821,2,FALSE))^(1/12)-1)</f>
        <v>7.9741404289037643E-3</v>
      </c>
      <c r="M1206" s="5">
        <f t="shared" si="169"/>
        <v>-3.7518676462013261</v>
      </c>
    </row>
    <row r="1207" spans="1:13" x14ac:dyDescent="0.25">
      <c r="A1207" s="4">
        <v>1199</v>
      </c>
      <c r="B1207" s="4">
        <f t="shared" si="162"/>
        <v>144</v>
      </c>
      <c r="C1207" s="4">
        <f t="shared" si="163"/>
        <v>1214</v>
      </c>
      <c r="D1207" s="4">
        <f>IF(B1207&gt;'Mortality Table'!$A$118,D1206,VLOOKUP(B1207,'Mortality Table'!$A$2:$B$118,2,FALSE))</f>
        <v>0.59733000000000003</v>
      </c>
      <c r="E1207" s="4">
        <f>IF(INT((C1207-1)/12)+1&gt;'Lapse Table'!$A$11,E1206,VLOOKUP(INT((C1207-1)/12)+1,'Lapse Table'!$A$2:$B$11,2,FALSE))/12</f>
        <v>0</v>
      </c>
      <c r="F1207" s="5">
        <f t="shared" si="170"/>
        <v>-33.37132236562104</v>
      </c>
      <c r="G1207" s="6">
        <f t="shared" si="164"/>
        <v>4.9777500000000002E-2</v>
      </c>
      <c r="H1207" s="6">
        <f t="shared" si="165"/>
        <v>0</v>
      </c>
      <c r="I1207" s="7">
        <f t="shared" si="166"/>
        <v>-1112.377412187368</v>
      </c>
      <c r="J1207" s="8">
        <f t="shared" si="167"/>
        <v>49777.5</v>
      </c>
      <c r="K1207" s="7">
        <f t="shared" si="168"/>
        <v>-50889.877412187365</v>
      </c>
      <c r="L1207" s="4">
        <f>IF(A1207&gt;'Yield Curve'!A1821,L1206,(1+VLOOKUP(A1207,'Yield Curve'!A1200:B1822,2,FALSE))^(1/12)-1)</f>
        <v>7.9741404289037643E-3</v>
      </c>
      <c r="M1207" s="5">
        <f t="shared" si="169"/>
        <v>-3.7223077738606327</v>
      </c>
    </row>
    <row r="1208" spans="1:13" x14ac:dyDescent="0.25">
      <c r="A1208" s="4">
        <v>1200</v>
      </c>
      <c r="B1208" s="4">
        <f t="shared" si="162"/>
        <v>145</v>
      </c>
      <c r="C1208" s="4">
        <f t="shared" si="163"/>
        <v>1215</v>
      </c>
      <c r="D1208" s="4">
        <f>IF(B1208&gt;'Mortality Table'!$A$118,D1207,VLOOKUP(B1208,'Mortality Table'!$A$2:$B$118,2,FALSE))</f>
        <v>0.59733000000000003</v>
      </c>
      <c r="E1208" s="4">
        <f>IF(INT((C1208-1)/12)+1&gt;'Lapse Table'!$A$11,E1207,VLOOKUP(INT((C1208-1)/12)+1,'Lapse Table'!$A$2:$B$11,2,FALSE))/12</f>
        <v>0</v>
      </c>
      <c r="F1208" s="5">
        <f t="shared" si="170"/>
        <v>-33.421099865621038</v>
      </c>
      <c r="G1208" s="6">
        <f t="shared" si="164"/>
        <v>4.9777500000000002E-2</v>
      </c>
      <c r="H1208" s="6">
        <f t="shared" si="165"/>
        <v>0</v>
      </c>
      <c r="I1208" s="7">
        <f t="shared" si="166"/>
        <v>-1114.0366621873679</v>
      </c>
      <c r="J1208" s="8">
        <f t="shared" si="167"/>
        <v>49777.5</v>
      </c>
      <c r="K1208" s="7">
        <f t="shared" si="168"/>
        <v>-50891.536662187369</v>
      </c>
      <c r="L1208" s="4">
        <f>IF(A1208&gt;'Yield Curve'!A1822,L1207,(1+VLOOKUP(A1208,'Yield Curve'!A1201:B1823,2,FALSE))^(1/12)-1)</f>
        <v>7.9741404289037643E-3</v>
      </c>
      <c r="M1208" s="5">
        <f t="shared" si="169"/>
        <v>-3.6929807912180248</v>
      </c>
    </row>
    <row r="1209" spans="1:13" x14ac:dyDescent="0.25">
      <c r="A1209" s="4">
        <v>1201</v>
      </c>
      <c r="B1209" s="4">
        <f t="shared" si="162"/>
        <v>145</v>
      </c>
      <c r="C1209" s="4">
        <f t="shared" si="163"/>
        <v>1216</v>
      </c>
      <c r="D1209" s="4">
        <f>IF(B1209&gt;'Mortality Table'!$A$118,D1208,VLOOKUP(B1209,'Mortality Table'!$A$2:$B$118,2,FALSE))</f>
        <v>0.59733000000000003</v>
      </c>
      <c r="E1209" s="4">
        <f>IF(INT((C1209-1)/12)+1&gt;'Lapse Table'!$A$11,E1208,VLOOKUP(INT((C1209-1)/12)+1,'Lapse Table'!$A$2:$B$11,2,FALSE))/12</f>
        <v>0</v>
      </c>
      <c r="F1209" s="5">
        <f t="shared" si="170"/>
        <v>-33.470877365621035</v>
      </c>
      <c r="G1209" s="6">
        <f t="shared" si="164"/>
        <v>4.9777500000000002E-2</v>
      </c>
      <c r="H1209" s="6">
        <f t="shared" si="165"/>
        <v>0</v>
      </c>
      <c r="I1209" s="7">
        <f t="shared" si="166"/>
        <v>-1115.6959121873679</v>
      </c>
      <c r="J1209" s="8">
        <f t="shared" si="167"/>
        <v>49777.5</v>
      </c>
      <c r="K1209" s="7">
        <f t="shared" si="168"/>
        <v>-50893.195912187366</v>
      </c>
      <c r="L1209" s="4">
        <f>IF(A1209&gt;'Yield Curve'!A1823,L1208,(1+VLOOKUP(A1209,'Yield Curve'!A1202:B1824,2,FALSE))^(1/12)-1)</f>
        <v>7.9741404289037643E-3</v>
      </c>
      <c r="M1209" s="5">
        <f t="shared" si="169"/>
        <v>-3.6638848634655243</v>
      </c>
    </row>
    <row r="1210" spans="1:13" x14ac:dyDescent="0.25">
      <c r="A1210" s="4">
        <v>1202</v>
      </c>
      <c r="B1210" s="4">
        <f t="shared" si="162"/>
        <v>145</v>
      </c>
      <c r="C1210" s="4">
        <f t="shared" si="163"/>
        <v>1217</v>
      </c>
      <c r="D1210" s="4">
        <f>IF(B1210&gt;'Mortality Table'!$A$118,D1209,VLOOKUP(B1210,'Mortality Table'!$A$2:$B$118,2,FALSE))</f>
        <v>0.59733000000000003</v>
      </c>
      <c r="E1210" s="4">
        <f>IF(INT((C1210-1)/12)+1&gt;'Lapse Table'!$A$11,E1209,VLOOKUP(INT((C1210-1)/12)+1,'Lapse Table'!$A$2:$B$11,2,FALSE))/12</f>
        <v>0</v>
      </c>
      <c r="F1210" s="5">
        <f t="shared" si="170"/>
        <v>-33.520654865621033</v>
      </c>
      <c r="G1210" s="6">
        <f t="shared" si="164"/>
        <v>4.9777500000000002E-2</v>
      </c>
      <c r="H1210" s="6">
        <f t="shared" si="165"/>
        <v>0</v>
      </c>
      <c r="I1210" s="7">
        <f t="shared" si="166"/>
        <v>-1117.3551621873678</v>
      </c>
      <c r="J1210" s="8">
        <f t="shared" si="167"/>
        <v>49777.5</v>
      </c>
      <c r="K1210" s="7">
        <f t="shared" si="168"/>
        <v>-50894.85516218737</v>
      </c>
      <c r="L1210" s="4">
        <f>IF(A1210&gt;'Yield Curve'!A1824,L1209,(1+VLOOKUP(A1210,'Yield Curve'!A1203:B1825,2,FALSE))^(1/12)-1)</f>
        <v>7.9741404289037643E-3</v>
      </c>
      <c r="M1210" s="5">
        <f t="shared" si="169"/>
        <v>-3.6350181702503344</v>
      </c>
    </row>
    <row r="1211" spans="1:13" x14ac:dyDescent="0.25">
      <c r="A1211" s="4">
        <v>1203</v>
      </c>
      <c r="B1211" s="4">
        <f t="shared" si="162"/>
        <v>145</v>
      </c>
      <c r="C1211" s="4">
        <f t="shared" si="163"/>
        <v>1218</v>
      </c>
      <c r="D1211" s="4">
        <f>IF(B1211&gt;'Mortality Table'!$A$118,D1210,VLOOKUP(B1211,'Mortality Table'!$A$2:$B$118,2,FALSE))</f>
        <v>0.59733000000000003</v>
      </c>
      <c r="E1211" s="4">
        <f>IF(INT((C1211-1)/12)+1&gt;'Lapse Table'!$A$11,E1210,VLOOKUP(INT((C1211-1)/12)+1,'Lapse Table'!$A$2:$B$11,2,FALSE))/12</f>
        <v>0</v>
      </c>
      <c r="F1211" s="5">
        <f t="shared" si="170"/>
        <v>-33.570432365621031</v>
      </c>
      <c r="G1211" s="6">
        <f t="shared" si="164"/>
        <v>4.9777500000000002E-2</v>
      </c>
      <c r="H1211" s="6">
        <f t="shared" si="165"/>
        <v>0</v>
      </c>
      <c r="I1211" s="7">
        <f t="shared" si="166"/>
        <v>-1119.0144121873677</v>
      </c>
      <c r="J1211" s="8">
        <f t="shared" si="167"/>
        <v>49777.5</v>
      </c>
      <c r="K1211" s="7">
        <f t="shared" si="168"/>
        <v>-50896.514412187367</v>
      </c>
      <c r="L1211" s="4">
        <f>IF(A1211&gt;'Yield Curve'!A1825,L1210,(1+VLOOKUP(A1211,'Yield Curve'!A1204:B1826,2,FALSE))^(1/12)-1)</f>
        <v>7.9741404289037643E-3</v>
      </c>
      <c r="M1211" s="5">
        <f t="shared" si="169"/>
        <v>-3.606378905560955</v>
      </c>
    </row>
    <row r="1212" spans="1:13" x14ac:dyDescent="0.25">
      <c r="A1212" s="4">
        <v>1204</v>
      </c>
      <c r="B1212" s="4">
        <f t="shared" si="162"/>
        <v>145</v>
      </c>
      <c r="C1212" s="4">
        <f t="shared" si="163"/>
        <v>1219</v>
      </c>
      <c r="D1212" s="4">
        <f>IF(B1212&gt;'Mortality Table'!$A$118,D1211,VLOOKUP(B1212,'Mortality Table'!$A$2:$B$118,2,FALSE))</f>
        <v>0.59733000000000003</v>
      </c>
      <c r="E1212" s="4">
        <f>IF(INT((C1212-1)/12)+1&gt;'Lapse Table'!$A$11,E1211,VLOOKUP(INT((C1212-1)/12)+1,'Lapse Table'!$A$2:$B$11,2,FALSE))/12</f>
        <v>0</v>
      </c>
      <c r="F1212" s="5">
        <f t="shared" si="170"/>
        <v>-33.620209865621028</v>
      </c>
      <c r="G1212" s="6">
        <f t="shared" si="164"/>
        <v>4.9777500000000002E-2</v>
      </c>
      <c r="H1212" s="6">
        <f t="shared" si="165"/>
        <v>0</v>
      </c>
      <c r="I1212" s="7">
        <f t="shared" si="166"/>
        <v>-1120.6736621873677</v>
      </c>
      <c r="J1212" s="8">
        <f t="shared" si="167"/>
        <v>49777.5</v>
      </c>
      <c r="K1212" s="7">
        <f t="shared" si="168"/>
        <v>-50898.173662187364</v>
      </c>
      <c r="L1212" s="4">
        <f>IF(A1212&gt;'Yield Curve'!A1826,L1211,(1+VLOOKUP(A1212,'Yield Curve'!A1205:B1827,2,FALSE))^(1/12)-1)</f>
        <v>7.9741404289037643E-3</v>
      </c>
      <c r="M1212" s="5">
        <f t="shared" si="169"/>
        <v>-3.5779652776142035</v>
      </c>
    </row>
    <row r="1213" spans="1:13" x14ac:dyDescent="0.25">
      <c r="A1213" s="4">
        <v>1205</v>
      </c>
      <c r="B1213" s="4">
        <f t="shared" si="162"/>
        <v>145</v>
      </c>
      <c r="C1213" s="4">
        <f t="shared" si="163"/>
        <v>1220</v>
      </c>
      <c r="D1213" s="4">
        <f>IF(B1213&gt;'Mortality Table'!$A$118,D1212,VLOOKUP(B1213,'Mortality Table'!$A$2:$B$118,2,FALSE))</f>
        <v>0.59733000000000003</v>
      </c>
      <c r="E1213" s="4">
        <f>IF(INT((C1213-1)/12)+1&gt;'Lapse Table'!$A$11,E1212,VLOOKUP(INT((C1213-1)/12)+1,'Lapse Table'!$A$2:$B$11,2,FALSE))/12</f>
        <v>0</v>
      </c>
      <c r="F1213" s="5">
        <f t="shared" si="170"/>
        <v>-33.669987365621026</v>
      </c>
      <c r="G1213" s="6">
        <f t="shared" si="164"/>
        <v>4.9777500000000002E-2</v>
      </c>
      <c r="H1213" s="6">
        <f t="shared" si="165"/>
        <v>0</v>
      </c>
      <c r="I1213" s="7">
        <f t="shared" si="166"/>
        <v>-1122.3329121873676</v>
      </c>
      <c r="J1213" s="8">
        <f t="shared" si="167"/>
        <v>49777.5</v>
      </c>
      <c r="K1213" s="7">
        <f t="shared" si="168"/>
        <v>-50899.832912187368</v>
      </c>
      <c r="L1213" s="4">
        <f>IF(A1213&gt;'Yield Curve'!A1827,L1212,(1+VLOOKUP(A1213,'Yield Curve'!A1206:B1828,2,FALSE))^(1/12)-1)</f>
        <v>7.9741404289037643E-3</v>
      </c>
      <c r="M1213" s="5">
        <f t="shared" si="169"/>
        <v>-3.5497755087431222</v>
      </c>
    </row>
    <row r="1214" spans="1:13" x14ac:dyDescent="0.25">
      <c r="A1214" s="4">
        <v>1206</v>
      </c>
      <c r="B1214" s="4">
        <f t="shared" si="162"/>
        <v>145</v>
      </c>
      <c r="C1214" s="4">
        <f t="shared" si="163"/>
        <v>1221</v>
      </c>
      <c r="D1214" s="4">
        <f>IF(B1214&gt;'Mortality Table'!$A$118,D1213,VLOOKUP(B1214,'Mortality Table'!$A$2:$B$118,2,FALSE))</f>
        <v>0.59733000000000003</v>
      </c>
      <c r="E1214" s="4">
        <f>IF(INT((C1214-1)/12)+1&gt;'Lapse Table'!$A$11,E1213,VLOOKUP(INT((C1214-1)/12)+1,'Lapse Table'!$A$2:$B$11,2,FALSE))/12</f>
        <v>0</v>
      </c>
      <c r="F1214" s="5">
        <f t="shared" si="170"/>
        <v>-33.719764865621023</v>
      </c>
      <c r="G1214" s="6">
        <f t="shared" si="164"/>
        <v>4.9777500000000002E-2</v>
      </c>
      <c r="H1214" s="6">
        <f t="shared" si="165"/>
        <v>0</v>
      </c>
      <c r="I1214" s="7">
        <f t="shared" si="166"/>
        <v>-1123.9921621873675</v>
      </c>
      <c r="J1214" s="8">
        <f t="shared" si="167"/>
        <v>49777.5</v>
      </c>
      <c r="K1214" s="7">
        <f t="shared" si="168"/>
        <v>-50901.492162187365</v>
      </c>
      <c r="L1214" s="4">
        <f>IF(A1214&gt;'Yield Curve'!A1828,L1213,(1+VLOOKUP(A1214,'Yield Curve'!A1207:B1829,2,FALSE))^(1/12)-1)</f>
        <v>7.9741404289037643E-3</v>
      </c>
      <c r="M1214" s="5">
        <f t="shared" si="169"/>
        <v>-3.5218078352857689</v>
      </c>
    </row>
    <row r="1215" spans="1:13" x14ac:dyDescent="0.25">
      <c r="A1215" s="4">
        <v>1207</v>
      </c>
      <c r="B1215" s="4">
        <f t="shared" si="162"/>
        <v>145</v>
      </c>
      <c r="C1215" s="4">
        <f t="shared" si="163"/>
        <v>1222</v>
      </c>
      <c r="D1215" s="4">
        <f>IF(B1215&gt;'Mortality Table'!$A$118,D1214,VLOOKUP(B1215,'Mortality Table'!$A$2:$B$118,2,FALSE))</f>
        <v>0.59733000000000003</v>
      </c>
      <c r="E1215" s="4">
        <f>IF(INT((C1215-1)/12)+1&gt;'Lapse Table'!$A$11,E1214,VLOOKUP(INT((C1215-1)/12)+1,'Lapse Table'!$A$2:$B$11,2,FALSE))/12</f>
        <v>0</v>
      </c>
      <c r="F1215" s="5">
        <f t="shared" si="170"/>
        <v>-33.769542365621021</v>
      </c>
      <c r="G1215" s="6">
        <f t="shared" si="164"/>
        <v>4.9777500000000002E-2</v>
      </c>
      <c r="H1215" s="6">
        <f t="shared" si="165"/>
        <v>0</v>
      </c>
      <c r="I1215" s="7">
        <f t="shared" si="166"/>
        <v>-1125.6514121873672</v>
      </c>
      <c r="J1215" s="8">
        <f t="shared" si="167"/>
        <v>49777.5</v>
      </c>
      <c r="K1215" s="7">
        <f t="shared" si="168"/>
        <v>-50903.15141218737</v>
      </c>
      <c r="L1215" s="4">
        <f>IF(A1215&gt;'Yield Curve'!A1829,L1214,(1+VLOOKUP(A1215,'Yield Curve'!A1208:B1830,2,FALSE))^(1/12)-1)</f>
        <v>7.9741404289037643E-3</v>
      </c>
      <c r="M1215" s="5">
        <f t="shared" si="169"/>
        <v>-3.4940605074748761</v>
      </c>
    </row>
    <row r="1216" spans="1:13" x14ac:dyDescent="0.25">
      <c r="A1216" s="4">
        <v>1208</v>
      </c>
      <c r="B1216" s="4">
        <f t="shared" si="162"/>
        <v>145</v>
      </c>
      <c r="C1216" s="4">
        <f t="shared" si="163"/>
        <v>1223</v>
      </c>
      <c r="D1216" s="4">
        <f>IF(B1216&gt;'Mortality Table'!$A$118,D1215,VLOOKUP(B1216,'Mortality Table'!$A$2:$B$118,2,FALSE))</f>
        <v>0.59733000000000003</v>
      </c>
      <c r="E1216" s="4">
        <f>IF(INT((C1216-1)/12)+1&gt;'Lapse Table'!$A$11,E1215,VLOOKUP(INT((C1216-1)/12)+1,'Lapse Table'!$A$2:$B$11,2,FALSE))/12</f>
        <v>0</v>
      </c>
      <c r="F1216" s="5">
        <f t="shared" si="170"/>
        <v>-33.819319865621019</v>
      </c>
      <c r="G1216" s="6">
        <f t="shared" si="164"/>
        <v>4.9777500000000002E-2</v>
      </c>
      <c r="H1216" s="6">
        <f t="shared" si="165"/>
        <v>0</v>
      </c>
      <c r="I1216" s="7">
        <f t="shared" si="166"/>
        <v>-1127.3106621873674</v>
      </c>
      <c r="J1216" s="8">
        <f t="shared" si="167"/>
        <v>49777.5</v>
      </c>
      <c r="K1216" s="7">
        <f t="shared" si="168"/>
        <v>-50904.810662187367</v>
      </c>
      <c r="L1216" s="4">
        <f>IF(A1216&gt;'Yield Curve'!A1830,L1215,(1+VLOOKUP(A1216,'Yield Curve'!A1209:B1831,2,FALSE))^(1/12)-1)</f>
        <v>7.9741404289037643E-3</v>
      </c>
      <c r="M1216" s="5">
        <f t="shared" si="169"/>
        <v>-3.4665317893283953</v>
      </c>
    </row>
    <row r="1217" spans="1:13" x14ac:dyDescent="0.25">
      <c r="A1217" s="4">
        <v>1209</v>
      </c>
      <c r="B1217" s="4">
        <f t="shared" si="162"/>
        <v>145</v>
      </c>
      <c r="C1217" s="4">
        <f t="shared" si="163"/>
        <v>1224</v>
      </c>
      <c r="D1217" s="4">
        <f>IF(B1217&gt;'Mortality Table'!$A$118,D1216,VLOOKUP(B1217,'Mortality Table'!$A$2:$B$118,2,FALSE))</f>
        <v>0.59733000000000003</v>
      </c>
      <c r="E1217" s="4">
        <f>IF(INT((C1217-1)/12)+1&gt;'Lapse Table'!$A$11,E1216,VLOOKUP(INT((C1217-1)/12)+1,'Lapse Table'!$A$2:$B$11,2,FALSE))/12</f>
        <v>0</v>
      </c>
      <c r="F1217" s="5">
        <f t="shared" si="170"/>
        <v>-33.869097365621016</v>
      </c>
      <c r="G1217" s="6">
        <f t="shared" si="164"/>
        <v>4.9777500000000002E-2</v>
      </c>
      <c r="H1217" s="6">
        <f t="shared" si="165"/>
        <v>0</v>
      </c>
      <c r="I1217" s="7">
        <f t="shared" si="166"/>
        <v>-1128.9699121873671</v>
      </c>
      <c r="J1217" s="8">
        <f t="shared" si="167"/>
        <v>49777.5</v>
      </c>
      <c r="K1217" s="7">
        <f t="shared" si="168"/>
        <v>-50906.469912187364</v>
      </c>
      <c r="L1217" s="4">
        <f>IF(A1217&gt;'Yield Curve'!A1831,L1216,(1+VLOOKUP(A1217,'Yield Curve'!A1210:B1832,2,FALSE))^(1/12)-1)</f>
        <v>7.9741404289037643E-3</v>
      </c>
      <c r="M1217" s="5">
        <f t="shared" si="169"/>
        <v>-3.4392199585408916</v>
      </c>
    </row>
    <row r="1218" spans="1:13" x14ac:dyDescent="0.25">
      <c r="A1218" s="4">
        <v>1210</v>
      </c>
      <c r="B1218" s="4">
        <f t="shared" si="162"/>
        <v>145</v>
      </c>
      <c r="C1218" s="4">
        <f t="shared" si="163"/>
        <v>1225</v>
      </c>
      <c r="D1218" s="4">
        <f>IF(B1218&gt;'Mortality Table'!$A$118,D1217,VLOOKUP(B1218,'Mortality Table'!$A$2:$B$118,2,FALSE))</f>
        <v>0.59733000000000003</v>
      </c>
      <c r="E1218" s="4">
        <f>IF(INT((C1218-1)/12)+1&gt;'Lapse Table'!$A$11,E1217,VLOOKUP(INT((C1218-1)/12)+1,'Lapse Table'!$A$2:$B$11,2,FALSE))/12</f>
        <v>0</v>
      </c>
      <c r="F1218" s="5">
        <f t="shared" si="170"/>
        <v>-33.918874865621014</v>
      </c>
      <c r="G1218" s="6">
        <f t="shared" si="164"/>
        <v>4.9777500000000002E-2</v>
      </c>
      <c r="H1218" s="6">
        <f t="shared" si="165"/>
        <v>0</v>
      </c>
      <c r="I1218" s="7">
        <f t="shared" si="166"/>
        <v>-1130.6291621873672</v>
      </c>
      <c r="J1218" s="8">
        <f t="shared" si="167"/>
        <v>49777.5</v>
      </c>
      <c r="K1218" s="7">
        <f t="shared" si="168"/>
        <v>-50908.129162187368</v>
      </c>
      <c r="L1218" s="4">
        <f>IF(A1218&gt;'Yield Curve'!A1832,L1217,(1+VLOOKUP(A1218,'Yield Curve'!A1211:B1833,2,FALSE))^(1/12)-1)</f>
        <v>7.9741404289037643E-3</v>
      </c>
      <c r="M1218" s="5">
        <f t="shared" si="169"/>
        <v>-3.4121233063757925</v>
      </c>
    </row>
    <row r="1219" spans="1:13" x14ac:dyDescent="0.25">
      <c r="A1219" s="4">
        <v>1211</v>
      </c>
      <c r="B1219" s="4">
        <f t="shared" si="162"/>
        <v>145</v>
      </c>
      <c r="C1219" s="4">
        <f t="shared" si="163"/>
        <v>1226</v>
      </c>
      <c r="D1219" s="4">
        <f>IF(B1219&gt;'Mortality Table'!$A$118,D1218,VLOOKUP(B1219,'Mortality Table'!$A$2:$B$118,2,FALSE))</f>
        <v>0.59733000000000003</v>
      </c>
      <c r="E1219" s="4">
        <f>IF(INT((C1219-1)/12)+1&gt;'Lapse Table'!$A$11,E1218,VLOOKUP(INT((C1219-1)/12)+1,'Lapse Table'!$A$2:$B$11,2,FALSE))/12</f>
        <v>0</v>
      </c>
      <c r="F1219" s="5">
        <f t="shared" si="170"/>
        <v>-33.968652365621011</v>
      </c>
      <c r="G1219" s="6">
        <f t="shared" si="164"/>
        <v>4.9777500000000002E-2</v>
      </c>
      <c r="H1219" s="6">
        <f t="shared" si="165"/>
        <v>0</v>
      </c>
      <c r="I1219" s="7">
        <f t="shared" si="166"/>
        <v>-1132.2884121873669</v>
      </c>
      <c r="J1219" s="8">
        <f t="shared" si="167"/>
        <v>49777.5</v>
      </c>
      <c r="K1219" s="7">
        <f t="shared" si="168"/>
        <v>-50909.788412187365</v>
      </c>
      <c r="L1219" s="4">
        <f>IF(A1219&gt;'Yield Curve'!A1833,L1218,(1+VLOOKUP(A1219,'Yield Curve'!A1212:B1834,2,FALSE))^(1/12)-1)</f>
        <v>7.9741404289037643E-3</v>
      </c>
      <c r="M1219" s="5">
        <f t="shared" si="169"/>
        <v>-3.3852401375584944</v>
      </c>
    </row>
    <row r="1220" spans="1:13" x14ac:dyDescent="0.25">
      <c r="A1220" s="4">
        <v>1212</v>
      </c>
      <c r="B1220" s="4">
        <f t="shared" si="162"/>
        <v>146</v>
      </c>
      <c r="C1220" s="4">
        <f t="shared" si="163"/>
        <v>1227</v>
      </c>
      <c r="D1220" s="4">
        <f>IF(B1220&gt;'Mortality Table'!$A$118,D1219,VLOOKUP(B1220,'Mortality Table'!$A$2:$B$118,2,FALSE))</f>
        <v>0.59733000000000003</v>
      </c>
      <c r="E1220" s="4">
        <f>IF(INT((C1220-1)/12)+1&gt;'Lapse Table'!$A$11,E1219,VLOOKUP(INT((C1220-1)/12)+1,'Lapse Table'!$A$2:$B$11,2,FALSE))/12</f>
        <v>0</v>
      </c>
      <c r="F1220" s="5">
        <f t="shared" si="170"/>
        <v>-34.018429865621009</v>
      </c>
      <c r="G1220" s="6">
        <f t="shared" si="164"/>
        <v>4.9777500000000002E-2</v>
      </c>
      <c r="H1220" s="6">
        <f t="shared" si="165"/>
        <v>0</v>
      </c>
      <c r="I1220" s="7">
        <f t="shared" si="166"/>
        <v>-1133.9476621873671</v>
      </c>
      <c r="J1220" s="8">
        <f t="shared" si="167"/>
        <v>49777.5</v>
      </c>
      <c r="K1220" s="7">
        <f t="shared" si="168"/>
        <v>-50911.447662187369</v>
      </c>
      <c r="L1220" s="4">
        <f>IF(A1220&gt;'Yield Curve'!A1834,L1219,(1+VLOOKUP(A1220,'Yield Curve'!A1213:B1835,2,FALSE))^(1/12)-1)</f>
        <v>7.9741404289037643E-3</v>
      </c>
      <c r="M1220" s="5">
        <f t="shared" si="169"/>
        <v>-3.3585687701703066</v>
      </c>
    </row>
    <row r="1221" spans="1:13" x14ac:dyDescent="0.25">
      <c r="A1221" s="4">
        <v>1213</v>
      </c>
      <c r="B1221" s="4">
        <f t="shared" si="162"/>
        <v>146</v>
      </c>
      <c r="C1221" s="4">
        <f t="shared" si="163"/>
        <v>1228</v>
      </c>
      <c r="D1221" s="4">
        <f>IF(B1221&gt;'Mortality Table'!$A$118,D1220,VLOOKUP(B1221,'Mortality Table'!$A$2:$B$118,2,FALSE))</f>
        <v>0.59733000000000003</v>
      </c>
      <c r="E1221" s="4">
        <f>IF(INT((C1221-1)/12)+1&gt;'Lapse Table'!$A$11,E1220,VLOOKUP(INT((C1221-1)/12)+1,'Lapse Table'!$A$2:$B$11,2,FALSE))/12</f>
        <v>0</v>
      </c>
      <c r="F1221" s="5">
        <f t="shared" si="170"/>
        <v>-34.068207365621006</v>
      </c>
      <c r="G1221" s="6">
        <f t="shared" si="164"/>
        <v>4.9777500000000002E-2</v>
      </c>
      <c r="H1221" s="6">
        <f t="shared" si="165"/>
        <v>0</v>
      </c>
      <c r="I1221" s="7">
        <f t="shared" si="166"/>
        <v>-1135.6069121873668</v>
      </c>
      <c r="J1221" s="8">
        <f t="shared" si="167"/>
        <v>49777.5</v>
      </c>
      <c r="K1221" s="7">
        <f t="shared" si="168"/>
        <v>-50913.106912187366</v>
      </c>
      <c r="L1221" s="4">
        <f>IF(A1221&gt;'Yield Curve'!A1835,L1220,(1+VLOOKUP(A1221,'Yield Curve'!A1214:B1836,2,FALSE))^(1/12)-1)</f>
        <v>7.9741404289037643E-3</v>
      </c>
      <c r="M1221" s="5">
        <f t="shared" si="169"/>
        <v>-3.3321075355432304</v>
      </c>
    </row>
    <row r="1222" spans="1:13" x14ac:dyDescent="0.25">
      <c r="A1222" s="4">
        <v>1214</v>
      </c>
      <c r="B1222" s="4">
        <f t="shared" si="162"/>
        <v>146</v>
      </c>
      <c r="C1222" s="4">
        <f t="shared" si="163"/>
        <v>1229</v>
      </c>
      <c r="D1222" s="4">
        <f>IF(B1222&gt;'Mortality Table'!$A$118,D1221,VLOOKUP(B1222,'Mortality Table'!$A$2:$B$118,2,FALSE))</f>
        <v>0.59733000000000003</v>
      </c>
      <c r="E1222" s="4">
        <f>IF(INT((C1222-1)/12)+1&gt;'Lapse Table'!$A$11,E1221,VLOOKUP(INT((C1222-1)/12)+1,'Lapse Table'!$A$2:$B$11,2,FALSE))/12</f>
        <v>0</v>
      </c>
      <c r="F1222" s="5">
        <f t="shared" si="170"/>
        <v>-34.117984865621004</v>
      </c>
      <c r="G1222" s="6">
        <f t="shared" si="164"/>
        <v>4.9777500000000002E-2</v>
      </c>
      <c r="H1222" s="6">
        <f t="shared" si="165"/>
        <v>0</v>
      </c>
      <c r="I1222" s="7">
        <f t="shared" si="166"/>
        <v>-1137.2661621873669</v>
      </c>
      <c r="J1222" s="8">
        <f t="shared" si="167"/>
        <v>49777.5</v>
      </c>
      <c r="K1222" s="7">
        <f t="shared" si="168"/>
        <v>-50914.76616218737</v>
      </c>
      <c r="L1222" s="4">
        <f>IF(A1222&gt;'Yield Curve'!A1836,L1221,(1+VLOOKUP(A1222,'Yield Curve'!A1215:B1837,2,FALSE))^(1/12)-1)</f>
        <v>7.9741404289037643E-3</v>
      </c>
      <c r="M1222" s="5">
        <f t="shared" si="169"/>
        <v>-3.3058547781555681</v>
      </c>
    </row>
    <row r="1223" spans="1:13" x14ac:dyDescent="0.25">
      <c r="A1223" s="4">
        <v>1215</v>
      </c>
      <c r="B1223" s="4">
        <f t="shared" si="162"/>
        <v>146</v>
      </c>
      <c r="C1223" s="4">
        <f t="shared" si="163"/>
        <v>1230</v>
      </c>
      <c r="D1223" s="4">
        <f>IF(B1223&gt;'Mortality Table'!$A$118,D1222,VLOOKUP(B1223,'Mortality Table'!$A$2:$B$118,2,FALSE))</f>
        <v>0.59733000000000003</v>
      </c>
      <c r="E1223" s="4">
        <f>IF(INT((C1223-1)/12)+1&gt;'Lapse Table'!$A$11,E1222,VLOOKUP(INT((C1223-1)/12)+1,'Lapse Table'!$A$2:$B$11,2,FALSE))/12</f>
        <v>0</v>
      </c>
      <c r="F1223" s="5">
        <f t="shared" si="170"/>
        <v>-34.167762365621002</v>
      </c>
      <c r="G1223" s="6">
        <f t="shared" si="164"/>
        <v>4.9777500000000002E-2</v>
      </c>
      <c r="H1223" s="6">
        <f t="shared" si="165"/>
        <v>0</v>
      </c>
      <c r="I1223" s="7">
        <f t="shared" si="166"/>
        <v>-1138.9254121873666</v>
      </c>
      <c r="J1223" s="8">
        <f t="shared" si="167"/>
        <v>49777.5</v>
      </c>
      <c r="K1223" s="7">
        <f t="shared" si="168"/>
        <v>-50916.425412187367</v>
      </c>
      <c r="L1223" s="4">
        <f>IF(A1223&gt;'Yield Curve'!A1837,L1222,(1+VLOOKUP(A1223,'Yield Curve'!A1216:B1838,2,FALSE))^(1/12)-1)</f>
        <v>7.9741404289037643E-3</v>
      </c>
      <c r="M1223" s="5">
        <f t="shared" si="169"/>
        <v>-3.27980885552835</v>
      </c>
    </row>
    <row r="1224" spans="1:13" x14ac:dyDescent="0.25">
      <c r="A1224" s="4">
        <v>1216</v>
      </c>
      <c r="B1224" s="4">
        <f t="shared" si="162"/>
        <v>146</v>
      </c>
      <c r="C1224" s="4">
        <f t="shared" si="163"/>
        <v>1231</v>
      </c>
      <c r="D1224" s="4">
        <f>IF(B1224&gt;'Mortality Table'!$A$118,D1223,VLOOKUP(B1224,'Mortality Table'!$A$2:$B$118,2,FALSE))</f>
        <v>0.59733000000000003</v>
      </c>
      <c r="E1224" s="4">
        <f>IF(INT((C1224-1)/12)+1&gt;'Lapse Table'!$A$11,E1223,VLOOKUP(INT((C1224-1)/12)+1,'Lapse Table'!$A$2:$B$11,2,FALSE))/12</f>
        <v>0</v>
      </c>
      <c r="F1224" s="5">
        <f t="shared" si="170"/>
        <v>-34.217539865620999</v>
      </c>
      <c r="G1224" s="6">
        <f t="shared" si="164"/>
        <v>4.9777500000000002E-2</v>
      </c>
      <c r="H1224" s="6">
        <f t="shared" si="165"/>
        <v>0</v>
      </c>
      <c r="I1224" s="7">
        <f t="shared" si="166"/>
        <v>-1140.5846621873666</v>
      </c>
      <c r="J1224" s="8">
        <f t="shared" si="167"/>
        <v>49777.5</v>
      </c>
      <c r="K1224" s="7">
        <f t="shared" si="168"/>
        <v>-50918.084662187364</v>
      </c>
      <c r="L1224" s="4">
        <f>IF(A1224&gt;'Yield Curve'!A1838,L1223,(1+VLOOKUP(A1224,'Yield Curve'!A1217:B1839,2,FALSE))^(1/12)-1)</f>
        <v>7.9741404289037643E-3</v>
      </c>
      <c r="M1224" s="5">
        <f t="shared" si="169"/>
        <v>-3.2539681381225853</v>
      </c>
    </row>
    <row r="1225" spans="1:13" x14ac:dyDescent="0.25">
      <c r="A1225" s="4">
        <v>1217</v>
      </c>
      <c r="B1225" s="4">
        <f t="shared" si="162"/>
        <v>146</v>
      </c>
      <c r="C1225" s="4">
        <f t="shared" si="163"/>
        <v>1232</v>
      </c>
      <c r="D1225" s="4">
        <f>IF(B1225&gt;'Mortality Table'!$A$118,D1224,VLOOKUP(B1225,'Mortality Table'!$A$2:$B$118,2,FALSE))</f>
        <v>0.59733000000000003</v>
      </c>
      <c r="E1225" s="4">
        <f>IF(INT((C1225-1)/12)+1&gt;'Lapse Table'!$A$11,E1224,VLOOKUP(INT((C1225-1)/12)+1,'Lapse Table'!$A$2:$B$11,2,FALSE))/12</f>
        <v>0</v>
      </c>
      <c r="F1225" s="5">
        <f t="shared" si="170"/>
        <v>-34.267317365620997</v>
      </c>
      <c r="G1225" s="6">
        <f t="shared" si="164"/>
        <v>4.9777500000000002E-2</v>
      </c>
      <c r="H1225" s="6">
        <f t="shared" si="165"/>
        <v>0</v>
      </c>
      <c r="I1225" s="7">
        <f t="shared" si="166"/>
        <v>-1142.2439121873665</v>
      </c>
      <c r="J1225" s="8">
        <f t="shared" si="167"/>
        <v>49777.5</v>
      </c>
      <c r="K1225" s="7">
        <f t="shared" si="168"/>
        <v>-50919.743912187369</v>
      </c>
      <c r="L1225" s="4">
        <f>IF(A1225&gt;'Yield Curve'!A1839,L1224,(1+VLOOKUP(A1225,'Yield Curve'!A1218:B1840,2,FALSE))^(1/12)-1)</f>
        <v>7.9741404289037643E-3</v>
      </c>
      <c r="M1225" s="5">
        <f t="shared" si="169"/>
        <v>-3.2283310092373254</v>
      </c>
    </row>
    <row r="1226" spans="1:13" x14ac:dyDescent="0.25">
      <c r="A1226" s="4">
        <v>1218</v>
      </c>
      <c r="B1226" s="4">
        <f t="shared" ref="B1226:B1289" si="171">INT($B$3+A1226/12)</f>
        <v>146</v>
      </c>
      <c r="C1226" s="4">
        <f t="shared" ref="C1226:C1289" si="172">$B$4+A1226</f>
        <v>1233</v>
      </c>
      <c r="D1226" s="4">
        <f>IF(B1226&gt;'Mortality Table'!$A$118,D1225,VLOOKUP(B1226,'Mortality Table'!$A$2:$B$118,2,FALSE))</f>
        <v>0.59733000000000003</v>
      </c>
      <c r="E1226" s="4">
        <f>IF(INT((C1226-1)/12)+1&gt;'Lapse Table'!$A$11,E1225,VLOOKUP(INT((C1226-1)/12)+1,'Lapse Table'!$A$2:$B$11,2,FALSE))/12</f>
        <v>0</v>
      </c>
      <c r="F1226" s="5">
        <f t="shared" si="170"/>
        <v>-34.317094865620994</v>
      </c>
      <c r="G1226" s="6">
        <f t="shared" ref="G1226:G1289" si="173">D1226/12*(1-0.5*E1226)</f>
        <v>4.9777500000000002E-2</v>
      </c>
      <c r="H1226" s="6">
        <f t="shared" ref="H1226:H1289" si="174">E1226*(1-0.5*D1226)</f>
        <v>0</v>
      </c>
      <c r="I1226" s="7">
        <f t="shared" ref="I1226:I1289" si="175">F1226*$B$5/12</f>
        <v>-1143.9031621873664</v>
      </c>
      <c r="J1226" s="8">
        <f t="shared" ref="J1226:J1289" si="176">$B$6*G1226</f>
        <v>49777.5</v>
      </c>
      <c r="K1226" s="7">
        <f t="shared" ref="K1226:K1289" si="177">I1226-J1226</f>
        <v>-50921.403162187366</v>
      </c>
      <c r="L1226" s="4">
        <f>IF(A1226&gt;'Yield Curve'!A1840,L1225,(1+VLOOKUP(A1226,'Yield Curve'!A1219:B1841,2,FALSE))^(1/12)-1)</f>
        <v>7.9741404289037643E-3</v>
      </c>
      <c r="M1226" s="5">
        <f t="shared" ref="M1226:M1289" si="178">K1226*(1+L1226)^-A1226</f>
        <v>-3.202895864908506</v>
      </c>
    </row>
    <row r="1227" spans="1:13" x14ac:dyDescent="0.25">
      <c r="A1227" s="4">
        <v>1219</v>
      </c>
      <c r="B1227" s="4">
        <f t="shared" si="171"/>
        <v>146</v>
      </c>
      <c r="C1227" s="4">
        <f t="shared" si="172"/>
        <v>1234</v>
      </c>
      <c r="D1227" s="4">
        <f>IF(B1227&gt;'Mortality Table'!$A$118,D1226,VLOOKUP(B1227,'Mortality Table'!$A$2:$B$118,2,FALSE))</f>
        <v>0.59733000000000003</v>
      </c>
      <c r="E1227" s="4">
        <f>IF(INT((C1227-1)/12)+1&gt;'Lapse Table'!$A$11,E1226,VLOOKUP(INT((C1227-1)/12)+1,'Lapse Table'!$A$2:$B$11,2,FALSE))/12</f>
        <v>0</v>
      </c>
      <c r="F1227" s="5">
        <f t="shared" ref="F1227:F1290" si="179">F1226-G1227-H1227</f>
        <v>-34.366872365620992</v>
      </c>
      <c r="G1227" s="6">
        <f t="shared" si="173"/>
        <v>4.9777500000000002E-2</v>
      </c>
      <c r="H1227" s="6">
        <f t="shared" si="174"/>
        <v>0</v>
      </c>
      <c r="I1227" s="7">
        <f t="shared" si="175"/>
        <v>-1145.5624121873664</v>
      </c>
      <c r="J1227" s="8">
        <f t="shared" si="176"/>
        <v>49777.5</v>
      </c>
      <c r="K1227" s="7">
        <f t="shared" si="177"/>
        <v>-50923.06241218737</v>
      </c>
      <c r="L1227" s="4">
        <f>IF(A1227&gt;'Yield Curve'!A1841,L1226,(1+VLOOKUP(A1227,'Yield Curve'!A1220:B1842,2,FALSE))^(1/12)-1)</f>
        <v>7.9741404289037643E-3</v>
      </c>
      <c r="M1227" s="5">
        <f t="shared" si="178"/>
        <v>-3.1776611138086199</v>
      </c>
    </row>
    <row r="1228" spans="1:13" x14ac:dyDescent="0.25">
      <c r="A1228" s="4">
        <v>1220</v>
      </c>
      <c r="B1228" s="4">
        <f t="shared" si="171"/>
        <v>146</v>
      </c>
      <c r="C1228" s="4">
        <f t="shared" si="172"/>
        <v>1235</v>
      </c>
      <c r="D1228" s="4">
        <f>IF(B1228&gt;'Mortality Table'!$A$118,D1227,VLOOKUP(B1228,'Mortality Table'!$A$2:$B$118,2,FALSE))</f>
        <v>0.59733000000000003</v>
      </c>
      <c r="E1228" s="4">
        <f>IF(INT((C1228-1)/12)+1&gt;'Lapse Table'!$A$11,E1227,VLOOKUP(INT((C1228-1)/12)+1,'Lapse Table'!$A$2:$B$11,2,FALSE))/12</f>
        <v>0</v>
      </c>
      <c r="F1228" s="5">
        <f t="shared" si="179"/>
        <v>-34.41664986562099</v>
      </c>
      <c r="G1228" s="6">
        <f t="shared" si="173"/>
        <v>4.9777500000000002E-2</v>
      </c>
      <c r="H1228" s="6">
        <f t="shared" si="174"/>
        <v>0</v>
      </c>
      <c r="I1228" s="7">
        <f t="shared" si="175"/>
        <v>-1147.2216621873663</v>
      </c>
      <c r="J1228" s="8">
        <f t="shared" si="176"/>
        <v>49777.5</v>
      </c>
      <c r="K1228" s="7">
        <f t="shared" si="177"/>
        <v>-50924.721662187367</v>
      </c>
      <c r="L1228" s="4">
        <f>IF(A1228&gt;'Yield Curve'!A1842,L1227,(1+VLOOKUP(A1228,'Yield Curve'!A1221:B1843,2,FALSE))^(1/12)-1)</f>
        <v>7.9741404289037643E-3</v>
      </c>
      <c r="M1228" s="5">
        <f t="shared" si="178"/>
        <v>-3.1526251771471534</v>
      </c>
    </row>
    <row r="1229" spans="1:13" x14ac:dyDescent="0.25">
      <c r="A1229" s="4">
        <v>1221</v>
      </c>
      <c r="B1229" s="4">
        <f t="shared" si="171"/>
        <v>146</v>
      </c>
      <c r="C1229" s="4">
        <f t="shared" si="172"/>
        <v>1236</v>
      </c>
      <c r="D1229" s="4">
        <f>IF(B1229&gt;'Mortality Table'!$A$118,D1228,VLOOKUP(B1229,'Mortality Table'!$A$2:$B$118,2,FALSE))</f>
        <v>0.59733000000000003</v>
      </c>
      <c r="E1229" s="4">
        <f>IF(INT((C1229-1)/12)+1&gt;'Lapse Table'!$A$11,E1228,VLOOKUP(INT((C1229-1)/12)+1,'Lapse Table'!$A$2:$B$11,2,FALSE))/12</f>
        <v>0</v>
      </c>
      <c r="F1229" s="5">
        <f t="shared" si="179"/>
        <v>-34.466427365620987</v>
      </c>
      <c r="G1229" s="6">
        <f t="shared" si="173"/>
        <v>4.9777500000000002E-2</v>
      </c>
      <c r="H1229" s="6">
        <f t="shared" si="174"/>
        <v>0</v>
      </c>
      <c r="I1229" s="7">
        <f t="shared" si="175"/>
        <v>-1148.8809121873662</v>
      </c>
      <c r="J1229" s="8">
        <f t="shared" si="176"/>
        <v>49777.5</v>
      </c>
      <c r="K1229" s="7">
        <f t="shared" si="177"/>
        <v>-50926.380912187364</v>
      </c>
      <c r="L1229" s="4">
        <f>IF(A1229&gt;'Yield Curve'!A1843,L1228,(1+VLOOKUP(A1229,'Yield Curve'!A1222:B1844,2,FALSE))^(1/12)-1)</f>
        <v>7.9741404289037643E-3</v>
      </c>
      <c r="M1229" s="5">
        <f t="shared" si="178"/>
        <v>-3.1277864885718256</v>
      </c>
    </row>
    <row r="1230" spans="1:13" x14ac:dyDescent="0.25">
      <c r="A1230" s="4">
        <v>1222</v>
      </c>
      <c r="B1230" s="4">
        <f t="shared" si="171"/>
        <v>146</v>
      </c>
      <c r="C1230" s="4">
        <f t="shared" si="172"/>
        <v>1237</v>
      </c>
      <c r="D1230" s="4">
        <f>IF(B1230&gt;'Mortality Table'!$A$118,D1229,VLOOKUP(B1230,'Mortality Table'!$A$2:$B$118,2,FALSE))</f>
        <v>0.59733000000000003</v>
      </c>
      <c r="E1230" s="4">
        <f>IF(INT((C1230-1)/12)+1&gt;'Lapse Table'!$A$11,E1229,VLOOKUP(INT((C1230-1)/12)+1,'Lapse Table'!$A$2:$B$11,2,FALSE))/12</f>
        <v>0</v>
      </c>
      <c r="F1230" s="5">
        <f t="shared" si="179"/>
        <v>-34.516204865620985</v>
      </c>
      <c r="G1230" s="6">
        <f t="shared" si="173"/>
        <v>4.9777500000000002E-2</v>
      </c>
      <c r="H1230" s="6">
        <f t="shared" si="174"/>
        <v>0</v>
      </c>
      <c r="I1230" s="7">
        <f t="shared" si="175"/>
        <v>-1150.5401621873661</v>
      </c>
      <c r="J1230" s="8">
        <f t="shared" si="176"/>
        <v>49777.5</v>
      </c>
      <c r="K1230" s="7">
        <f t="shared" si="177"/>
        <v>-50928.040162187368</v>
      </c>
      <c r="L1230" s="4">
        <f>IF(A1230&gt;'Yield Curve'!A1844,L1229,(1+VLOOKUP(A1230,'Yield Curve'!A1223:B1845,2,FALSE))^(1/12)-1)</f>
        <v>7.9741404289037643E-3</v>
      </c>
      <c r="M1230" s="5">
        <f t="shared" si="178"/>
        <v>-3.1031434940705926</v>
      </c>
    </row>
    <row r="1231" spans="1:13" x14ac:dyDescent="0.25">
      <c r="A1231" s="4">
        <v>1223</v>
      </c>
      <c r="B1231" s="4">
        <f t="shared" si="171"/>
        <v>146</v>
      </c>
      <c r="C1231" s="4">
        <f t="shared" si="172"/>
        <v>1238</v>
      </c>
      <c r="D1231" s="4">
        <f>IF(B1231&gt;'Mortality Table'!$A$118,D1230,VLOOKUP(B1231,'Mortality Table'!$A$2:$B$118,2,FALSE))</f>
        <v>0.59733000000000003</v>
      </c>
      <c r="E1231" s="4">
        <f>IF(INT((C1231-1)/12)+1&gt;'Lapse Table'!$A$11,E1230,VLOOKUP(INT((C1231-1)/12)+1,'Lapse Table'!$A$2:$B$11,2,FALSE))/12</f>
        <v>0</v>
      </c>
      <c r="F1231" s="5">
        <f t="shared" si="179"/>
        <v>-34.565982365620982</v>
      </c>
      <c r="G1231" s="6">
        <f t="shared" si="173"/>
        <v>4.9777500000000002E-2</v>
      </c>
      <c r="H1231" s="6">
        <f t="shared" si="174"/>
        <v>0</v>
      </c>
      <c r="I1231" s="7">
        <f t="shared" si="175"/>
        <v>-1152.1994121873661</v>
      </c>
      <c r="J1231" s="8">
        <f t="shared" si="176"/>
        <v>49777.5</v>
      </c>
      <c r="K1231" s="7">
        <f t="shared" si="177"/>
        <v>-50929.699412187365</v>
      </c>
      <c r="L1231" s="4">
        <f>IF(A1231&gt;'Yield Curve'!A1845,L1230,(1+VLOOKUP(A1231,'Yield Curve'!A1224:B1846,2,FALSE))^(1/12)-1)</f>
        <v>7.9741404289037643E-3</v>
      </c>
      <c r="M1231" s="5">
        <f t="shared" si="178"/>
        <v>-3.0786946518744269</v>
      </c>
    </row>
    <row r="1232" spans="1:13" x14ac:dyDescent="0.25">
      <c r="A1232" s="4">
        <v>1224</v>
      </c>
      <c r="B1232" s="4">
        <f t="shared" si="171"/>
        <v>147</v>
      </c>
      <c r="C1232" s="4">
        <f t="shared" si="172"/>
        <v>1239</v>
      </c>
      <c r="D1232" s="4">
        <f>IF(B1232&gt;'Mortality Table'!$A$118,D1231,VLOOKUP(B1232,'Mortality Table'!$A$2:$B$118,2,FALSE))</f>
        <v>0.59733000000000003</v>
      </c>
      <c r="E1232" s="4">
        <f>IF(INT((C1232-1)/12)+1&gt;'Lapse Table'!$A$11,E1231,VLOOKUP(INT((C1232-1)/12)+1,'Lapse Table'!$A$2:$B$11,2,FALSE))/12</f>
        <v>0</v>
      </c>
      <c r="F1232" s="5">
        <f t="shared" si="179"/>
        <v>-34.61575986562098</v>
      </c>
      <c r="G1232" s="6">
        <f t="shared" si="173"/>
        <v>4.9777500000000002E-2</v>
      </c>
      <c r="H1232" s="6">
        <f t="shared" si="174"/>
        <v>0</v>
      </c>
      <c r="I1232" s="7">
        <f t="shared" si="175"/>
        <v>-1153.858662187366</v>
      </c>
      <c r="J1232" s="8">
        <f t="shared" si="176"/>
        <v>49777.5</v>
      </c>
      <c r="K1232" s="7">
        <f t="shared" si="177"/>
        <v>-50931.358662187369</v>
      </c>
      <c r="L1232" s="4">
        <f>IF(A1232&gt;'Yield Curve'!A1846,L1231,(1+VLOOKUP(A1232,'Yield Curve'!A1225:B1847,2,FALSE))^(1/12)-1)</f>
        <v>7.9741404289037643E-3</v>
      </c>
      <c r="M1232" s="5">
        <f t="shared" si="178"/>
        <v>-3.0544384323608691</v>
      </c>
    </row>
    <row r="1233" spans="1:13" x14ac:dyDescent="0.25">
      <c r="A1233" s="4">
        <v>1225</v>
      </c>
      <c r="B1233" s="4">
        <f t="shared" si="171"/>
        <v>147</v>
      </c>
      <c r="C1233" s="4">
        <f t="shared" si="172"/>
        <v>1240</v>
      </c>
      <c r="D1233" s="4">
        <f>IF(B1233&gt;'Mortality Table'!$A$118,D1232,VLOOKUP(B1233,'Mortality Table'!$A$2:$B$118,2,FALSE))</f>
        <v>0.59733000000000003</v>
      </c>
      <c r="E1233" s="4">
        <f>IF(INT((C1233-1)/12)+1&gt;'Lapse Table'!$A$11,E1232,VLOOKUP(INT((C1233-1)/12)+1,'Lapse Table'!$A$2:$B$11,2,FALSE))/12</f>
        <v>0</v>
      </c>
      <c r="F1233" s="5">
        <f t="shared" si="179"/>
        <v>-34.665537365620978</v>
      </c>
      <c r="G1233" s="6">
        <f t="shared" si="173"/>
        <v>4.9777500000000002E-2</v>
      </c>
      <c r="H1233" s="6">
        <f t="shared" si="174"/>
        <v>0</v>
      </c>
      <c r="I1233" s="7">
        <f t="shared" si="175"/>
        <v>-1155.5179121873659</v>
      </c>
      <c r="J1233" s="8">
        <f t="shared" si="176"/>
        <v>49777.5</v>
      </c>
      <c r="K1233" s="7">
        <f t="shared" si="177"/>
        <v>-50933.017912187366</v>
      </c>
      <c r="L1233" s="4">
        <f>IF(A1233&gt;'Yield Curve'!A1847,L1232,(1+VLOOKUP(A1233,'Yield Curve'!A1226:B1848,2,FALSE))^(1/12)-1)</f>
        <v>7.9741404289037643E-3</v>
      </c>
      <c r="M1233" s="5">
        <f t="shared" si="178"/>
        <v>-3.030373317958333</v>
      </c>
    </row>
    <row r="1234" spans="1:13" x14ac:dyDescent="0.25">
      <c r="A1234" s="4">
        <v>1226</v>
      </c>
      <c r="B1234" s="4">
        <f t="shared" si="171"/>
        <v>147</v>
      </c>
      <c r="C1234" s="4">
        <f t="shared" si="172"/>
        <v>1241</v>
      </c>
      <c r="D1234" s="4">
        <f>IF(B1234&gt;'Mortality Table'!$A$118,D1233,VLOOKUP(B1234,'Mortality Table'!$A$2:$B$118,2,FALSE))</f>
        <v>0.59733000000000003</v>
      </c>
      <c r="E1234" s="4">
        <f>IF(INT((C1234-1)/12)+1&gt;'Lapse Table'!$A$11,E1233,VLOOKUP(INT((C1234-1)/12)+1,'Lapse Table'!$A$2:$B$11,2,FALSE))/12</f>
        <v>0</v>
      </c>
      <c r="F1234" s="5">
        <f t="shared" si="179"/>
        <v>-34.715314865620975</v>
      </c>
      <c r="G1234" s="6">
        <f t="shared" si="173"/>
        <v>4.9777500000000002E-2</v>
      </c>
      <c r="H1234" s="6">
        <f t="shared" si="174"/>
        <v>0</v>
      </c>
      <c r="I1234" s="7">
        <f t="shared" si="175"/>
        <v>-1157.1771621873659</v>
      </c>
      <c r="J1234" s="8">
        <f t="shared" si="176"/>
        <v>49777.5</v>
      </c>
      <c r="K1234" s="7">
        <f t="shared" si="177"/>
        <v>-50934.677162187363</v>
      </c>
      <c r="L1234" s="4">
        <f>IF(A1234&gt;'Yield Curve'!A1848,L1233,(1+VLOOKUP(A1234,'Yield Curve'!A1227:B1849,2,FALSE))^(1/12)-1)</f>
        <v>7.9741404289037643E-3</v>
      </c>
      <c r="M1234" s="5">
        <f t="shared" si="178"/>
        <v>-3.0064978030511678</v>
      </c>
    </row>
    <row r="1235" spans="1:13" x14ac:dyDescent="0.25">
      <c r="A1235" s="4">
        <v>1227</v>
      </c>
      <c r="B1235" s="4">
        <f t="shared" si="171"/>
        <v>147</v>
      </c>
      <c r="C1235" s="4">
        <f t="shared" si="172"/>
        <v>1242</v>
      </c>
      <c r="D1235" s="4">
        <f>IF(B1235&gt;'Mortality Table'!$A$118,D1234,VLOOKUP(B1235,'Mortality Table'!$A$2:$B$118,2,FALSE))</f>
        <v>0.59733000000000003</v>
      </c>
      <c r="E1235" s="4">
        <f>IF(INT((C1235-1)/12)+1&gt;'Lapse Table'!$A$11,E1234,VLOOKUP(INT((C1235-1)/12)+1,'Lapse Table'!$A$2:$B$11,2,FALSE))/12</f>
        <v>0</v>
      </c>
      <c r="F1235" s="5">
        <f t="shared" si="179"/>
        <v>-34.765092365620973</v>
      </c>
      <c r="G1235" s="6">
        <f t="shared" si="173"/>
        <v>4.9777500000000002E-2</v>
      </c>
      <c r="H1235" s="6">
        <f t="shared" si="174"/>
        <v>0</v>
      </c>
      <c r="I1235" s="7">
        <f t="shared" si="175"/>
        <v>-1158.8364121873658</v>
      </c>
      <c r="J1235" s="8">
        <f t="shared" si="176"/>
        <v>49777.5</v>
      </c>
      <c r="K1235" s="7">
        <f t="shared" si="177"/>
        <v>-50936.336412187367</v>
      </c>
      <c r="L1235" s="4">
        <f>IF(A1235&gt;'Yield Curve'!A1849,L1234,(1+VLOOKUP(A1235,'Yield Curve'!A1228:B1850,2,FALSE))^(1/12)-1)</f>
        <v>7.9741404289037643E-3</v>
      </c>
      <c r="M1235" s="5">
        <f t="shared" si="178"/>
        <v>-2.9828103938854649</v>
      </c>
    </row>
    <row r="1236" spans="1:13" x14ac:dyDescent="0.25">
      <c r="A1236" s="4">
        <v>1228</v>
      </c>
      <c r="B1236" s="4">
        <f t="shared" si="171"/>
        <v>147</v>
      </c>
      <c r="C1236" s="4">
        <f t="shared" si="172"/>
        <v>1243</v>
      </c>
      <c r="D1236" s="4">
        <f>IF(B1236&gt;'Mortality Table'!$A$118,D1235,VLOOKUP(B1236,'Mortality Table'!$A$2:$B$118,2,FALSE))</f>
        <v>0.59733000000000003</v>
      </c>
      <c r="E1236" s="4">
        <f>IF(INT((C1236-1)/12)+1&gt;'Lapse Table'!$A$11,E1235,VLOOKUP(INT((C1236-1)/12)+1,'Lapse Table'!$A$2:$B$11,2,FALSE))/12</f>
        <v>0</v>
      </c>
      <c r="F1236" s="5">
        <f t="shared" si="179"/>
        <v>-34.81486986562097</v>
      </c>
      <c r="G1236" s="6">
        <f t="shared" si="173"/>
        <v>4.9777500000000002E-2</v>
      </c>
      <c r="H1236" s="6">
        <f t="shared" si="174"/>
        <v>0</v>
      </c>
      <c r="I1236" s="7">
        <f t="shared" si="175"/>
        <v>-1160.4956621873657</v>
      </c>
      <c r="J1236" s="8">
        <f t="shared" si="176"/>
        <v>49777.5</v>
      </c>
      <c r="K1236" s="7">
        <f t="shared" si="177"/>
        <v>-50937.995662187364</v>
      </c>
      <c r="L1236" s="4">
        <f>IF(A1236&gt;'Yield Curve'!A1850,L1235,(1+VLOOKUP(A1236,'Yield Curve'!A1229:B1851,2,FALSE))^(1/12)-1)</f>
        <v>7.9741404289037643E-3</v>
      </c>
      <c r="M1236" s="5">
        <f t="shared" si="178"/>
        <v>-2.9593096084756083</v>
      </c>
    </row>
    <row r="1237" spans="1:13" x14ac:dyDescent="0.25">
      <c r="A1237" s="4">
        <v>1229</v>
      </c>
      <c r="B1237" s="4">
        <f t="shared" si="171"/>
        <v>147</v>
      </c>
      <c r="C1237" s="4">
        <f t="shared" si="172"/>
        <v>1244</v>
      </c>
      <c r="D1237" s="4">
        <f>IF(B1237&gt;'Mortality Table'!$A$118,D1236,VLOOKUP(B1237,'Mortality Table'!$A$2:$B$118,2,FALSE))</f>
        <v>0.59733000000000003</v>
      </c>
      <c r="E1237" s="4">
        <f>IF(INT((C1237-1)/12)+1&gt;'Lapse Table'!$A$11,E1236,VLOOKUP(INT((C1237-1)/12)+1,'Lapse Table'!$A$2:$B$11,2,FALSE))/12</f>
        <v>0</v>
      </c>
      <c r="F1237" s="5">
        <f t="shared" si="179"/>
        <v>-34.864647365620968</v>
      </c>
      <c r="G1237" s="6">
        <f t="shared" si="173"/>
        <v>4.9777500000000002E-2</v>
      </c>
      <c r="H1237" s="6">
        <f t="shared" si="174"/>
        <v>0</v>
      </c>
      <c r="I1237" s="7">
        <f t="shared" si="175"/>
        <v>-1162.1549121873657</v>
      </c>
      <c r="J1237" s="8">
        <f t="shared" si="176"/>
        <v>49777.5</v>
      </c>
      <c r="K1237" s="7">
        <f t="shared" si="177"/>
        <v>-50939.654912187369</v>
      </c>
      <c r="L1237" s="4">
        <f>IF(A1237&gt;'Yield Curve'!A1851,L1236,(1+VLOOKUP(A1237,'Yield Curve'!A1230:B1852,2,FALSE))^(1/12)-1)</f>
        <v>7.9741404289037643E-3</v>
      </c>
      <c r="M1237" s="5">
        <f t="shared" si="178"/>
        <v>-2.9359939765115644</v>
      </c>
    </row>
    <row r="1238" spans="1:13" x14ac:dyDescent="0.25">
      <c r="A1238" s="4">
        <v>1230</v>
      </c>
      <c r="B1238" s="4">
        <f t="shared" si="171"/>
        <v>147</v>
      </c>
      <c r="C1238" s="4">
        <f t="shared" si="172"/>
        <v>1245</v>
      </c>
      <c r="D1238" s="4">
        <f>IF(B1238&gt;'Mortality Table'!$A$118,D1237,VLOOKUP(B1238,'Mortality Table'!$A$2:$B$118,2,FALSE))</f>
        <v>0.59733000000000003</v>
      </c>
      <c r="E1238" s="4">
        <f>IF(INT((C1238-1)/12)+1&gt;'Lapse Table'!$A$11,E1237,VLOOKUP(INT((C1238-1)/12)+1,'Lapse Table'!$A$2:$B$11,2,FALSE))/12</f>
        <v>0</v>
      </c>
      <c r="F1238" s="5">
        <f t="shared" si="179"/>
        <v>-34.914424865620965</v>
      </c>
      <c r="G1238" s="6">
        <f t="shared" si="173"/>
        <v>4.9777500000000002E-2</v>
      </c>
      <c r="H1238" s="6">
        <f t="shared" si="174"/>
        <v>0</v>
      </c>
      <c r="I1238" s="7">
        <f t="shared" si="175"/>
        <v>-1163.8141621873656</v>
      </c>
      <c r="J1238" s="8">
        <f t="shared" si="176"/>
        <v>49777.5</v>
      </c>
      <c r="K1238" s="7">
        <f t="shared" si="177"/>
        <v>-50941.314162187366</v>
      </c>
      <c r="L1238" s="4">
        <f>IF(A1238&gt;'Yield Curve'!A1852,L1237,(1+VLOOKUP(A1238,'Yield Curve'!A1231:B1853,2,FALSE))^(1/12)-1)</f>
        <v>7.9741404289037643E-3</v>
      </c>
      <c r="M1238" s="5">
        <f t="shared" si="178"/>
        <v>-2.9128620392668965</v>
      </c>
    </row>
    <row r="1239" spans="1:13" x14ac:dyDescent="0.25">
      <c r="A1239" s="4">
        <v>1231</v>
      </c>
      <c r="B1239" s="4">
        <f t="shared" si="171"/>
        <v>147</v>
      </c>
      <c r="C1239" s="4">
        <f t="shared" si="172"/>
        <v>1246</v>
      </c>
      <c r="D1239" s="4">
        <f>IF(B1239&gt;'Mortality Table'!$A$118,D1238,VLOOKUP(B1239,'Mortality Table'!$A$2:$B$118,2,FALSE))</f>
        <v>0.59733000000000003</v>
      </c>
      <c r="E1239" s="4">
        <f>IF(INT((C1239-1)/12)+1&gt;'Lapse Table'!$A$11,E1238,VLOOKUP(INT((C1239-1)/12)+1,'Lapse Table'!$A$2:$B$11,2,FALSE))/12</f>
        <v>0</v>
      </c>
      <c r="F1239" s="5">
        <f t="shared" si="179"/>
        <v>-34.964202365620963</v>
      </c>
      <c r="G1239" s="6">
        <f t="shared" si="173"/>
        <v>4.9777500000000002E-2</v>
      </c>
      <c r="H1239" s="6">
        <f t="shared" si="174"/>
        <v>0</v>
      </c>
      <c r="I1239" s="7">
        <f t="shared" si="175"/>
        <v>-1165.4734121873655</v>
      </c>
      <c r="J1239" s="8">
        <f t="shared" si="176"/>
        <v>49777.5</v>
      </c>
      <c r="K1239" s="7">
        <f t="shared" si="177"/>
        <v>-50942.973412187363</v>
      </c>
      <c r="L1239" s="4">
        <f>IF(A1239&gt;'Yield Curve'!A1853,L1238,(1+VLOOKUP(A1239,'Yield Curve'!A1232:B1854,2,FALSE))^(1/12)-1)</f>
        <v>7.9741404289037643E-3</v>
      </c>
      <c r="M1239" s="5">
        <f t="shared" si="178"/>
        <v>-2.8899123495075099</v>
      </c>
    </row>
    <row r="1240" spans="1:13" x14ac:dyDescent="0.25">
      <c r="A1240" s="4">
        <v>1232</v>
      </c>
      <c r="B1240" s="4">
        <f t="shared" si="171"/>
        <v>147</v>
      </c>
      <c r="C1240" s="4">
        <f t="shared" si="172"/>
        <v>1247</v>
      </c>
      <c r="D1240" s="4">
        <f>IF(B1240&gt;'Mortality Table'!$A$118,D1239,VLOOKUP(B1240,'Mortality Table'!$A$2:$B$118,2,FALSE))</f>
        <v>0.59733000000000003</v>
      </c>
      <c r="E1240" s="4">
        <f>IF(INT((C1240-1)/12)+1&gt;'Lapse Table'!$A$11,E1239,VLOOKUP(INT((C1240-1)/12)+1,'Lapse Table'!$A$2:$B$11,2,FALSE))/12</f>
        <v>0</v>
      </c>
      <c r="F1240" s="5">
        <f t="shared" si="179"/>
        <v>-35.013979865620961</v>
      </c>
      <c r="G1240" s="6">
        <f t="shared" si="173"/>
        <v>4.9777500000000002E-2</v>
      </c>
      <c r="H1240" s="6">
        <f t="shared" si="174"/>
        <v>0</v>
      </c>
      <c r="I1240" s="7">
        <f t="shared" si="175"/>
        <v>-1167.1326621873652</v>
      </c>
      <c r="J1240" s="8">
        <f t="shared" si="176"/>
        <v>49777.5</v>
      </c>
      <c r="K1240" s="7">
        <f t="shared" si="177"/>
        <v>-50944.632662187367</v>
      </c>
      <c r="L1240" s="4">
        <f>IF(A1240&gt;'Yield Curve'!A1854,L1239,(1+VLOOKUP(A1240,'Yield Curve'!A1233:B1855,2,FALSE))^(1/12)-1)</f>
        <v>7.9741404289037643E-3</v>
      </c>
      <c r="M1240" s="5">
        <f t="shared" si="178"/>
        <v>-2.8671434714011088</v>
      </c>
    </row>
    <row r="1241" spans="1:13" x14ac:dyDescent="0.25">
      <c r="A1241" s="4">
        <v>1233</v>
      </c>
      <c r="B1241" s="4">
        <f t="shared" si="171"/>
        <v>147</v>
      </c>
      <c r="C1241" s="4">
        <f t="shared" si="172"/>
        <v>1248</v>
      </c>
      <c r="D1241" s="4">
        <f>IF(B1241&gt;'Mortality Table'!$A$118,D1240,VLOOKUP(B1241,'Mortality Table'!$A$2:$B$118,2,FALSE))</f>
        <v>0.59733000000000003</v>
      </c>
      <c r="E1241" s="4">
        <f>IF(INT((C1241-1)/12)+1&gt;'Lapse Table'!$A$11,E1240,VLOOKUP(INT((C1241-1)/12)+1,'Lapse Table'!$A$2:$B$11,2,FALSE))/12</f>
        <v>0</v>
      </c>
      <c r="F1241" s="5">
        <f t="shared" si="179"/>
        <v>-35.063757365620958</v>
      </c>
      <c r="G1241" s="6">
        <f t="shared" si="173"/>
        <v>4.9777500000000002E-2</v>
      </c>
      <c r="H1241" s="6">
        <f t="shared" si="174"/>
        <v>0</v>
      </c>
      <c r="I1241" s="7">
        <f t="shared" si="175"/>
        <v>-1168.7919121873654</v>
      </c>
      <c r="J1241" s="8">
        <f t="shared" si="176"/>
        <v>49777.5</v>
      </c>
      <c r="K1241" s="7">
        <f t="shared" si="177"/>
        <v>-50946.291912187364</v>
      </c>
      <c r="L1241" s="4">
        <f>IF(A1241&gt;'Yield Curve'!A1855,L1240,(1+VLOOKUP(A1241,'Yield Curve'!A1234:B1856,2,FALSE))^(1/12)-1)</f>
        <v>7.9741404289037643E-3</v>
      </c>
      <c r="M1241" s="5">
        <f t="shared" si="178"/>
        <v>-2.8445539804273765</v>
      </c>
    </row>
    <row r="1242" spans="1:13" x14ac:dyDescent="0.25">
      <c r="A1242" s="4">
        <v>1234</v>
      </c>
      <c r="B1242" s="4">
        <f t="shared" si="171"/>
        <v>147</v>
      </c>
      <c r="C1242" s="4">
        <f t="shared" si="172"/>
        <v>1249</v>
      </c>
      <c r="D1242" s="4">
        <f>IF(B1242&gt;'Mortality Table'!$A$118,D1241,VLOOKUP(B1242,'Mortality Table'!$A$2:$B$118,2,FALSE))</f>
        <v>0.59733000000000003</v>
      </c>
      <c r="E1242" s="4">
        <f>IF(INT((C1242-1)/12)+1&gt;'Lapse Table'!$A$11,E1241,VLOOKUP(INT((C1242-1)/12)+1,'Lapse Table'!$A$2:$B$11,2,FALSE))/12</f>
        <v>0</v>
      </c>
      <c r="F1242" s="5">
        <f t="shared" si="179"/>
        <v>-35.113534865620956</v>
      </c>
      <c r="G1242" s="6">
        <f t="shared" si="173"/>
        <v>4.9777500000000002E-2</v>
      </c>
      <c r="H1242" s="6">
        <f t="shared" si="174"/>
        <v>0</v>
      </c>
      <c r="I1242" s="7">
        <f t="shared" si="175"/>
        <v>-1170.4511621873651</v>
      </c>
      <c r="J1242" s="8">
        <f t="shared" si="176"/>
        <v>49777.5</v>
      </c>
      <c r="K1242" s="7">
        <f t="shared" si="177"/>
        <v>-50947.951162187368</v>
      </c>
      <c r="L1242" s="4">
        <f>IF(A1242&gt;'Yield Curve'!A1856,L1241,(1+VLOOKUP(A1242,'Yield Curve'!A1235:B1857,2,FALSE))^(1/12)-1)</f>
        <v>7.9741404289037643E-3</v>
      </c>
      <c r="M1242" s="5">
        <f t="shared" si="178"/>
        <v>-2.8221424632888521</v>
      </c>
    </row>
    <row r="1243" spans="1:13" x14ac:dyDescent="0.25">
      <c r="A1243" s="4">
        <v>1235</v>
      </c>
      <c r="B1243" s="4">
        <f t="shared" si="171"/>
        <v>147</v>
      </c>
      <c r="C1243" s="4">
        <f t="shared" si="172"/>
        <v>1250</v>
      </c>
      <c r="D1243" s="4">
        <f>IF(B1243&gt;'Mortality Table'!$A$118,D1242,VLOOKUP(B1243,'Mortality Table'!$A$2:$B$118,2,FALSE))</f>
        <v>0.59733000000000003</v>
      </c>
      <c r="E1243" s="4">
        <f>IF(INT((C1243-1)/12)+1&gt;'Lapse Table'!$A$11,E1242,VLOOKUP(INT((C1243-1)/12)+1,'Lapse Table'!$A$2:$B$11,2,FALSE))/12</f>
        <v>0</v>
      </c>
      <c r="F1243" s="5">
        <f t="shared" si="179"/>
        <v>-35.163312365620953</v>
      </c>
      <c r="G1243" s="6">
        <f t="shared" si="173"/>
        <v>4.9777500000000002E-2</v>
      </c>
      <c r="H1243" s="6">
        <f t="shared" si="174"/>
        <v>0</v>
      </c>
      <c r="I1243" s="7">
        <f t="shared" si="175"/>
        <v>-1172.1104121873652</v>
      </c>
      <c r="J1243" s="8">
        <f t="shared" si="176"/>
        <v>49777.5</v>
      </c>
      <c r="K1243" s="7">
        <f t="shared" si="177"/>
        <v>-50949.610412187365</v>
      </c>
      <c r="L1243" s="4">
        <f>IF(A1243&gt;'Yield Curve'!A1857,L1242,(1+VLOOKUP(A1243,'Yield Curve'!A1236:B1858,2,FALSE))^(1/12)-1)</f>
        <v>7.9741404289037643E-3</v>
      </c>
      <c r="M1243" s="5">
        <f t="shared" si="178"/>
        <v>-2.7999075178225152</v>
      </c>
    </row>
    <row r="1244" spans="1:13" x14ac:dyDescent="0.25">
      <c r="A1244" s="4">
        <v>1236</v>
      </c>
      <c r="B1244" s="4">
        <f t="shared" si="171"/>
        <v>148</v>
      </c>
      <c r="C1244" s="4">
        <f t="shared" si="172"/>
        <v>1251</v>
      </c>
      <c r="D1244" s="4">
        <f>IF(B1244&gt;'Mortality Table'!$A$118,D1243,VLOOKUP(B1244,'Mortality Table'!$A$2:$B$118,2,FALSE))</f>
        <v>0.59733000000000003</v>
      </c>
      <c r="E1244" s="4">
        <f>IF(INT((C1244-1)/12)+1&gt;'Lapse Table'!$A$11,E1243,VLOOKUP(INT((C1244-1)/12)+1,'Lapse Table'!$A$2:$B$11,2,FALSE))/12</f>
        <v>0</v>
      </c>
      <c r="F1244" s="5">
        <f t="shared" si="179"/>
        <v>-35.213089865620951</v>
      </c>
      <c r="G1244" s="6">
        <f t="shared" si="173"/>
        <v>4.9777500000000002E-2</v>
      </c>
      <c r="H1244" s="6">
        <f t="shared" si="174"/>
        <v>0</v>
      </c>
      <c r="I1244" s="7">
        <f t="shared" si="175"/>
        <v>-1173.7696621873649</v>
      </c>
      <c r="J1244" s="8">
        <f t="shared" si="176"/>
        <v>49777.5</v>
      </c>
      <c r="K1244" s="7">
        <f t="shared" si="177"/>
        <v>-50951.269662187362</v>
      </c>
      <c r="L1244" s="4">
        <f>IF(A1244&gt;'Yield Curve'!A1858,L1243,(1+VLOOKUP(A1244,'Yield Curve'!A1237:B1859,2,FALSE))^(1/12)-1)</f>
        <v>7.9741404289037643E-3</v>
      </c>
      <c r="M1244" s="5">
        <f t="shared" si="178"/>
        <v>-2.7778477529120691</v>
      </c>
    </row>
    <row r="1245" spans="1:13" x14ac:dyDescent="0.25">
      <c r="A1245" s="4">
        <v>1237</v>
      </c>
      <c r="B1245" s="4">
        <f t="shared" si="171"/>
        <v>148</v>
      </c>
      <c r="C1245" s="4">
        <f t="shared" si="172"/>
        <v>1252</v>
      </c>
      <c r="D1245" s="4">
        <f>IF(B1245&gt;'Mortality Table'!$A$118,D1244,VLOOKUP(B1245,'Mortality Table'!$A$2:$B$118,2,FALSE))</f>
        <v>0.59733000000000003</v>
      </c>
      <c r="E1245" s="4">
        <f>IF(INT((C1245-1)/12)+1&gt;'Lapse Table'!$A$11,E1244,VLOOKUP(INT((C1245-1)/12)+1,'Lapse Table'!$A$2:$B$11,2,FALSE))/12</f>
        <v>0</v>
      </c>
      <c r="F1245" s="5">
        <f t="shared" si="179"/>
        <v>-35.262867365620949</v>
      </c>
      <c r="G1245" s="6">
        <f t="shared" si="173"/>
        <v>4.9777500000000002E-2</v>
      </c>
      <c r="H1245" s="6">
        <f t="shared" si="174"/>
        <v>0</v>
      </c>
      <c r="I1245" s="7">
        <f t="shared" si="175"/>
        <v>-1175.4289121873651</v>
      </c>
      <c r="J1245" s="8">
        <f t="shared" si="176"/>
        <v>49777.5</v>
      </c>
      <c r="K1245" s="7">
        <f t="shared" si="177"/>
        <v>-50952.928912187366</v>
      </c>
      <c r="L1245" s="4">
        <f>IF(A1245&gt;'Yield Curve'!A1859,L1244,(1+VLOOKUP(A1245,'Yield Curve'!A1238:B1860,2,FALSE))^(1/12)-1)</f>
        <v>7.9741404289037643E-3</v>
      </c>
      <c r="M1245" s="5">
        <f t="shared" si="178"/>
        <v>-2.7559617884009104</v>
      </c>
    </row>
    <row r="1246" spans="1:13" x14ac:dyDescent="0.25">
      <c r="A1246" s="4">
        <v>1238</v>
      </c>
      <c r="B1246" s="4">
        <f t="shared" si="171"/>
        <v>148</v>
      </c>
      <c r="C1246" s="4">
        <f t="shared" si="172"/>
        <v>1253</v>
      </c>
      <c r="D1246" s="4">
        <f>IF(B1246&gt;'Mortality Table'!$A$118,D1245,VLOOKUP(B1246,'Mortality Table'!$A$2:$B$118,2,FALSE))</f>
        <v>0.59733000000000003</v>
      </c>
      <c r="E1246" s="4">
        <f>IF(INT((C1246-1)/12)+1&gt;'Lapse Table'!$A$11,E1245,VLOOKUP(INT((C1246-1)/12)+1,'Lapse Table'!$A$2:$B$11,2,FALSE))/12</f>
        <v>0</v>
      </c>
      <c r="F1246" s="5">
        <f t="shared" si="179"/>
        <v>-35.312644865620946</v>
      </c>
      <c r="G1246" s="6">
        <f t="shared" si="173"/>
        <v>4.9777500000000002E-2</v>
      </c>
      <c r="H1246" s="6">
        <f t="shared" si="174"/>
        <v>0</v>
      </c>
      <c r="I1246" s="7">
        <f t="shared" si="175"/>
        <v>-1177.0881621873648</v>
      </c>
      <c r="J1246" s="8">
        <f t="shared" si="176"/>
        <v>49777.5</v>
      </c>
      <c r="K1246" s="7">
        <f t="shared" si="177"/>
        <v>-50954.588162187363</v>
      </c>
      <c r="L1246" s="4">
        <f>IF(A1246&gt;'Yield Curve'!A1860,L1245,(1+VLOOKUP(A1246,'Yield Curve'!A1239:B1861,2,FALSE))^(1/12)-1)</f>
        <v>7.9741404289037643E-3</v>
      </c>
      <c r="M1246" s="5">
        <f t="shared" si="178"/>
        <v>-2.7342482550057876</v>
      </c>
    </row>
    <row r="1247" spans="1:13" x14ac:dyDescent="0.25">
      <c r="A1247" s="4">
        <v>1239</v>
      </c>
      <c r="B1247" s="4">
        <f t="shared" si="171"/>
        <v>148</v>
      </c>
      <c r="C1247" s="4">
        <f t="shared" si="172"/>
        <v>1254</v>
      </c>
      <c r="D1247" s="4">
        <f>IF(B1247&gt;'Mortality Table'!$A$118,D1246,VLOOKUP(B1247,'Mortality Table'!$A$2:$B$118,2,FALSE))</f>
        <v>0.59733000000000003</v>
      </c>
      <c r="E1247" s="4">
        <f>IF(INT((C1247-1)/12)+1&gt;'Lapse Table'!$A$11,E1246,VLOOKUP(INT((C1247-1)/12)+1,'Lapse Table'!$A$2:$B$11,2,FALSE))/12</f>
        <v>0</v>
      </c>
      <c r="F1247" s="5">
        <f t="shared" si="179"/>
        <v>-35.362422365620944</v>
      </c>
      <c r="G1247" s="6">
        <f t="shared" si="173"/>
        <v>4.9777500000000002E-2</v>
      </c>
      <c r="H1247" s="6">
        <f t="shared" si="174"/>
        <v>0</v>
      </c>
      <c r="I1247" s="7">
        <f t="shared" si="175"/>
        <v>-1178.7474121873647</v>
      </c>
      <c r="J1247" s="8">
        <f t="shared" si="176"/>
        <v>49777.5</v>
      </c>
      <c r="K1247" s="7">
        <f t="shared" si="177"/>
        <v>-50956.247412187367</v>
      </c>
      <c r="L1247" s="4">
        <f>IF(A1247&gt;'Yield Curve'!A1861,L1246,(1+VLOOKUP(A1247,'Yield Curve'!A1240:B1862,2,FALSE))^(1/12)-1)</f>
        <v>7.9741404289037643E-3</v>
      </c>
      <c r="M1247" s="5">
        <f t="shared" si="178"/>
        <v>-2.7127057942311366</v>
      </c>
    </row>
    <row r="1248" spans="1:13" x14ac:dyDescent="0.25">
      <c r="A1248" s="4">
        <v>1240</v>
      </c>
      <c r="B1248" s="4">
        <f t="shared" si="171"/>
        <v>148</v>
      </c>
      <c r="C1248" s="4">
        <f t="shared" si="172"/>
        <v>1255</v>
      </c>
      <c r="D1248" s="4">
        <f>IF(B1248&gt;'Mortality Table'!$A$118,D1247,VLOOKUP(B1248,'Mortality Table'!$A$2:$B$118,2,FALSE))</f>
        <v>0.59733000000000003</v>
      </c>
      <c r="E1248" s="4">
        <f>IF(INT((C1248-1)/12)+1&gt;'Lapse Table'!$A$11,E1247,VLOOKUP(INT((C1248-1)/12)+1,'Lapse Table'!$A$2:$B$11,2,FALSE))/12</f>
        <v>0</v>
      </c>
      <c r="F1248" s="5">
        <f t="shared" si="179"/>
        <v>-35.412199865620941</v>
      </c>
      <c r="G1248" s="6">
        <f t="shared" si="173"/>
        <v>4.9777500000000002E-2</v>
      </c>
      <c r="H1248" s="6">
        <f t="shared" si="174"/>
        <v>0</v>
      </c>
      <c r="I1248" s="7">
        <f t="shared" si="175"/>
        <v>-1180.4066621873646</v>
      </c>
      <c r="J1248" s="8">
        <f t="shared" si="176"/>
        <v>49777.5</v>
      </c>
      <c r="K1248" s="7">
        <f t="shared" si="177"/>
        <v>-50957.906662187364</v>
      </c>
      <c r="L1248" s="4">
        <f>IF(A1248&gt;'Yield Curve'!A1862,L1247,(1+VLOOKUP(A1248,'Yield Curve'!A1241:B1863,2,FALSE))^(1/12)-1)</f>
        <v>7.9741404289037643E-3</v>
      </c>
      <c r="M1248" s="5">
        <f t="shared" si="178"/>
        <v>-2.6913330582840924</v>
      </c>
    </row>
    <row r="1249" spans="1:13" x14ac:dyDescent="0.25">
      <c r="A1249" s="4">
        <v>1241</v>
      </c>
      <c r="B1249" s="4">
        <f t="shared" si="171"/>
        <v>148</v>
      </c>
      <c r="C1249" s="4">
        <f t="shared" si="172"/>
        <v>1256</v>
      </c>
      <c r="D1249" s="4">
        <f>IF(B1249&gt;'Mortality Table'!$A$118,D1248,VLOOKUP(B1249,'Mortality Table'!$A$2:$B$118,2,FALSE))</f>
        <v>0.59733000000000003</v>
      </c>
      <c r="E1249" s="4">
        <f>IF(INT((C1249-1)/12)+1&gt;'Lapse Table'!$A$11,E1248,VLOOKUP(INT((C1249-1)/12)+1,'Lapse Table'!$A$2:$B$11,2,FALSE))/12</f>
        <v>0</v>
      </c>
      <c r="F1249" s="5">
        <f t="shared" si="179"/>
        <v>-35.461977365620939</v>
      </c>
      <c r="G1249" s="6">
        <f t="shared" si="173"/>
        <v>4.9777500000000002E-2</v>
      </c>
      <c r="H1249" s="6">
        <f t="shared" si="174"/>
        <v>0</v>
      </c>
      <c r="I1249" s="7">
        <f t="shared" si="175"/>
        <v>-1182.0659121873646</v>
      </c>
      <c r="J1249" s="8">
        <f t="shared" si="176"/>
        <v>49777.5</v>
      </c>
      <c r="K1249" s="7">
        <f t="shared" si="177"/>
        <v>-50959.565912187361</v>
      </c>
      <c r="L1249" s="4">
        <f>IF(A1249&gt;'Yield Curve'!A1863,L1248,(1+VLOOKUP(A1249,'Yield Curve'!A1242:B1864,2,FALSE))^(1/12)-1)</f>
        <v>7.9741404289037643E-3</v>
      </c>
      <c r="M1249" s="5">
        <f t="shared" si="178"/>
        <v>-2.6701287099901783</v>
      </c>
    </row>
    <row r="1250" spans="1:13" x14ac:dyDescent="0.25">
      <c r="A1250" s="4">
        <v>1242</v>
      </c>
      <c r="B1250" s="4">
        <f t="shared" si="171"/>
        <v>148</v>
      </c>
      <c r="C1250" s="4">
        <f t="shared" si="172"/>
        <v>1257</v>
      </c>
      <c r="D1250" s="4">
        <f>IF(B1250&gt;'Mortality Table'!$A$118,D1249,VLOOKUP(B1250,'Mortality Table'!$A$2:$B$118,2,FALSE))</f>
        <v>0.59733000000000003</v>
      </c>
      <c r="E1250" s="4">
        <f>IF(INT((C1250-1)/12)+1&gt;'Lapse Table'!$A$11,E1249,VLOOKUP(INT((C1250-1)/12)+1,'Lapse Table'!$A$2:$B$11,2,FALSE))/12</f>
        <v>0</v>
      </c>
      <c r="F1250" s="5">
        <f t="shared" si="179"/>
        <v>-35.511754865620937</v>
      </c>
      <c r="G1250" s="6">
        <f t="shared" si="173"/>
        <v>4.9777500000000002E-2</v>
      </c>
      <c r="H1250" s="6">
        <f t="shared" si="174"/>
        <v>0</v>
      </c>
      <c r="I1250" s="7">
        <f t="shared" si="175"/>
        <v>-1183.7251621873645</v>
      </c>
      <c r="J1250" s="8">
        <f t="shared" si="176"/>
        <v>49777.5</v>
      </c>
      <c r="K1250" s="7">
        <f t="shared" si="177"/>
        <v>-50961.225162187366</v>
      </c>
      <c r="L1250" s="4">
        <f>IF(A1250&gt;'Yield Curve'!A1864,L1249,(1+VLOOKUP(A1250,'Yield Curve'!A1243:B1865,2,FALSE))^(1/12)-1)</f>
        <v>7.9741404289037643E-3</v>
      </c>
      <c r="M1250" s="5">
        <f t="shared" si="178"/>
        <v>-2.6490914227096409</v>
      </c>
    </row>
    <row r="1251" spans="1:13" x14ac:dyDescent="0.25">
      <c r="A1251" s="4">
        <v>1243</v>
      </c>
      <c r="B1251" s="4">
        <f t="shared" si="171"/>
        <v>148</v>
      </c>
      <c r="C1251" s="4">
        <f t="shared" si="172"/>
        <v>1258</v>
      </c>
      <c r="D1251" s="4">
        <f>IF(B1251&gt;'Mortality Table'!$A$118,D1250,VLOOKUP(B1251,'Mortality Table'!$A$2:$B$118,2,FALSE))</f>
        <v>0.59733000000000003</v>
      </c>
      <c r="E1251" s="4">
        <f>IF(INT((C1251-1)/12)+1&gt;'Lapse Table'!$A$11,E1250,VLOOKUP(INT((C1251-1)/12)+1,'Lapse Table'!$A$2:$B$11,2,FALSE))/12</f>
        <v>0</v>
      </c>
      <c r="F1251" s="5">
        <f t="shared" si="179"/>
        <v>-35.561532365620934</v>
      </c>
      <c r="G1251" s="6">
        <f t="shared" si="173"/>
        <v>4.9777500000000002E-2</v>
      </c>
      <c r="H1251" s="6">
        <f t="shared" si="174"/>
        <v>0</v>
      </c>
      <c r="I1251" s="7">
        <f t="shared" si="175"/>
        <v>-1185.3844121873644</v>
      </c>
      <c r="J1251" s="8">
        <f t="shared" si="176"/>
        <v>49777.5</v>
      </c>
      <c r="K1251" s="7">
        <f t="shared" si="177"/>
        <v>-50962.884412187363</v>
      </c>
      <c r="L1251" s="4">
        <f>IF(A1251&gt;'Yield Curve'!A1865,L1250,(1+VLOOKUP(A1251,'Yield Curve'!A1244:B1866,2,FALSE))^(1/12)-1)</f>
        <v>7.9741404289037643E-3</v>
      </c>
      <c r="M1251" s="5">
        <f t="shared" si="178"/>
        <v>-2.6282198802544641</v>
      </c>
    </row>
    <row r="1252" spans="1:13" x14ac:dyDescent="0.25">
      <c r="A1252" s="4">
        <v>1244</v>
      </c>
      <c r="B1252" s="4">
        <f t="shared" si="171"/>
        <v>148</v>
      </c>
      <c r="C1252" s="4">
        <f t="shared" si="172"/>
        <v>1259</v>
      </c>
      <c r="D1252" s="4">
        <f>IF(B1252&gt;'Mortality Table'!$A$118,D1251,VLOOKUP(B1252,'Mortality Table'!$A$2:$B$118,2,FALSE))</f>
        <v>0.59733000000000003</v>
      </c>
      <c r="E1252" s="4">
        <f>IF(INT((C1252-1)/12)+1&gt;'Lapse Table'!$A$11,E1251,VLOOKUP(INT((C1252-1)/12)+1,'Lapse Table'!$A$2:$B$11,2,FALSE))/12</f>
        <v>0</v>
      </c>
      <c r="F1252" s="5">
        <f t="shared" si="179"/>
        <v>-35.611309865620932</v>
      </c>
      <c r="G1252" s="6">
        <f t="shared" si="173"/>
        <v>4.9777500000000002E-2</v>
      </c>
      <c r="H1252" s="6">
        <f t="shared" si="174"/>
        <v>0</v>
      </c>
      <c r="I1252" s="7">
        <f t="shared" si="175"/>
        <v>-1187.0436621873644</v>
      </c>
      <c r="J1252" s="8">
        <f t="shared" si="176"/>
        <v>49777.5</v>
      </c>
      <c r="K1252" s="7">
        <f t="shared" si="177"/>
        <v>-50964.543662187367</v>
      </c>
      <c r="L1252" s="4">
        <f>IF(A1252&gt;'Yield Curve'!A1866,L1251,(1+VLOOKUP(A1252,'Yield Curve'!A1245:B1867,2,FALSE))^(1/12)-1)</f>
        <v>7.9741404289037643E-3</v>
      </c>
      <c r="M1252" s="5">
        <f t="shared" si="178"/>
        <v>-2.6075127768060216</v>
      </c>
    </row>
    <row r="1253" spans="1:13" x14ac:dyDescent="0.25">
      <c r="A1253" s="4">
        <v>1245</v>
      </c>
      <c r="B1253" s="4">
        <f t="shared" si="171"/>
        <v>148</v>
      </c>
      <c r="C1253" s="4">
        <f t="shared" si="172"/>
        <v>1260</v>
      </c>
      <c r="D1253" s="4">
        <f>IF(B1253&gt;'Mortality Table'!$A$118,D1252,VLOOKUP(B1253,'Mortality Table'!$A$2:$B$118,2,FALSE))</f>
        <v>0.59733000000000003</v>
      </c>
      <c r="E1253" s="4">
        <f>IF(INT((C1253-1)/12)+1&gt;'Lapse Table'!$A$11,E1252,VLOOKUP(INT((C1253-1)/12)+1,'Lapse Table'!$A$2:$B$11,2,FALSE))/12</f>
        <v>0</v>
      </c>
      <c r="F1253" s="5">
        <f t="shared" si="179"/>
        <v>-35.661087365620929</v>
      </c>
      <c r="G1253" s="6">
        <f t="shared" si="173"/>
        <v>4.9777500000000002E-2</v>
      </c>
      <c r="H1253" s="6">
        <f t="shared" si="174"/>
        <v>0</v>
      </c>
      <c r="I1253" s="7">
        <f t="shared" si="175"/>
        <v>-1188.7029121873643</v>
      </c>
      <c r="J1253" s="8">
        <f t="shared" si="176"/>
        <v>49777.5</v>
      </c>
      <c r="K1253" s="7">
        <f t="shared" si="177"/>
        <v>-50966.202912187364</v>
      </c>
      <c r="L1253" s="4">
        <f>IF(A1253&gt;'Yield Curve'!A1867,L1252,(1+VLOOKUP(A1253,'Yield Curve'!A1246:B1868,2,FALSE))^(1/12)-1)</f>
        <v>7.9741404289037643E-3</v>
      </c>
      <c r="M1253" s="5">
        <f t="shared" si="178"/>
        <v>-2.5869688168333909</v>
      </c>
    </row>
    <row r="1254" spans="1:13" x14ac:dyDescent="0.25">
      <c r="A1254" s="4">
        <v>1246</v>
      </c>
      <c r="B1254" s="4">
        <f t="shared" si="171"/>
        <v>148</v>
      </c>
      <c r="C1254" s="4">
        <f t="shared" si="172"/>
        <v>1261</v>
      </c>
      <c r="D1254" s="4">
        <f>IF(B1254&gt;'Mortality Table'!$A$118,D1253,VLOOKUP(B1254,'Mortality Table'!$A$2:$B$118,2,FALSE))</f>
        <v>0.59733000000000003</v>
      </c>
      <c r="E1254" s="4">
        <f>IF(INT((C1254-1)/12)+1&gt;'Lapse Table'!$A$11,E1253,VLOOKUP(INT((C1254-1)/12)+1,'Lapse Table'!$A$2:$B$11,2,FALSE))/12</f>
        <v>0</v>
      </c>
      <c r="F1254" s="5">
        <f t="shared" si="179"/>
        <v>-35.710864865620927</v>
      </c>
      <c r="G1254" s="6">
        <f t="shared" si="173"/>
        <v>4.9777500000000002E-2</v>
      </c>
      <c r="H1254" s="6">
        <f t="shared" si="174"/>
        <v>0</v>
      </c>
      <c r="I1254" s="7">
        <f t="shared" si="175"/>
        <v>-1190.3621621873642</v>
      </c>
      <c r="J1254" s="8">
        <f t="shared" si="176"/>
        <v>49777.5</v>
      </c>
      <c r="K1254" s="7">
        <f t="shared" si="177"/>
        <v>-50967.862162187361</v>
      </c>
      <c r="L1254" s="4">
        <f>IF(A1254&gt;'Yield Curve'!A1868,L1253,(1+VLOOKUP(A1254,'Yield Curve'!A1247:B1869,2,FALSE))^(1/12)-1)</f>
        <v>7.9741404289037643E-3</v>
      </c>
      <c r="M1254" s="5">
        <f t="shared" si="178"/>
        <v>-2.5665867150123001</v>
      </c>
    </row>
    <row r="1255" spans="1:13" x14ac:dyDescent="0.25">
      <c r="A1255" s="4">
        <v>1247</v>
      </c>
      <c r="B1255" s="4">
        <f t="shared" si="171"/>
        <v>148</v>
      </c>
      <c r="C1255" s="4">
        <f t="shared" si="172"/>
        <v>1262</v>
      </c>
      <c r="D1255" s="4">
        <f>IF(B1255&gt;'Mortality Table'!$A$118,D1254,VLOOKUP(B1255,'Mortality Table'!$A$2:$B$118,2,FALSE))</f>
        <v>0.59733000000000003</v>
      </c>
      <c r="E1255" s="4">
        <f>IF(INT((C1255-1)/12)+1&gt;'Lapse Table'!$A$11,E1254,VLOOKUP(INT((C1255-1)/12)+1,'Lapse Table'!$A$2:$B$11,2,FALSE))/12</f>
        <v>0</v>
      </c>
      <c r="F1255" s="5">
        <f t="shared" si="179"/>
        <v>-35.760642365620924</v>
      </c>
      <c r="G1255" s="6">
        <f t="shared" si="173"/>
        <v>4.9777500000000002E-2</v>
      </c>
      <c r="H1255" s="6">
        <f t="shared" si="174"/>
        <v>0</v>
      </c>
      <c r="I1255" s="7">
        <f t="shared" si="175"/>
        <v>-1192.0214121873641</v>
      </c>
      <c r="J1255" s="8">
        <f t="shared" si="176"/>
        <v>49777.5</v>
      </c>
      <c r="K1255" s="7">
        <f t="shared" si="177"/>
        <v>-50969.521412187365</v>
      </c>
      <c r="L1255" s="4">
        <f>IF(A1255&gt;'Yield Curve'!A1869,L1254,(1+VLOOKUP(A1255,'Yield Curve'!A1248:B1870,2,FALSE))^(1/12)-1)</f>
        <v>7.9741404289037643E-3</v>
      </c>
      <c r="M1255" s="5">
        <f t="shared" si="178"/>
        <v>-2.546365196144718</v>
      </c>
    </row>
    <row r="1256" spans="1:13" x14ac:dyDescent="0.25">
      <c r="A1256" s="4">
        <v>1248</v>
      </c>
      <c r="B1256" s="4">
        <f t="shared" si="171"/>
        <v>149</v>
      </c>
      <c r="C1256" s="4">
        <f t="shared" si="172"/>
        <v>1263</v>
      </c>
      <c r="D1256" s="4">
        <f>IF(B1256&gt;'Mortality Table'!$A$118,D1255,VLOOKUP(B1256,'Mortality Table'!$A$2:$B$118,2,FALSE))</f>
        <v>0.59733000000000003</v>
      </c>
      <c r="E1256" s="4">
        <f>IF(INT((C1256-1)/12)+1&gt;'Lapse Table'!$A$11,E1255,VLOOKUP(INT((C1256-1)/12)+1,'Lapse Table'!$A$2:$B$11,2,FALSE))/12</f>
        <v>0</v>
      </c>
      <c r="F1256" s="5">
        <f t="shared" si="179"/>
        <v>-35.810419865620922</v>
      </c>
      <c r="G1256" s="6">
        <f t="shared" si="173"/>
        <v>4.9777500000000002E-2</v>
      </c>
      <c r="H1256" s="6">
        <f t="shared" si="174"/>
        <v>0</v>
      </c>
      <c r="I1256" s="7">
        <f t="shared" si="175"/>
        <v>-1193.6806621873641</v>
      </c>
      <c r="J1256" s="8">
        <f t="shared" si="176"/>
        <v>49777.5</v>
      </c>
      <c r="K1256" s="7">
        <f t="shared" si="177"/>
        <v>-50971.180662187362</v>
      </c>
      <c r="L1256" s="4">
        <f>IF(A1256&gt;'Yield Curve'!A1870,L1255,(1+VLOOKUP(A1256,'Yield Curve'!A1249:B1871,2,FALSE))^(1/12)-1)</f>
        <v>7.9741404289037643E-3</v>
      </c>
      <c r="M1256" s="5">
        <f t="shared" si="178"/>
        <v>-2.5263029950790772</v>
      </c>
    </row>
    <row r="1257" spans="1:13" x14ac:dyDescent="0.25">
      <c r="A1257" s="4">
        <v>1249</v>
      </c>
      <c r="B1257" s="4">
        <f t="shared" si="171"/>
        <v>149</v>
      </c>
      <c r="C1257" s="4">
        <f t="shared" si="172"/>
        <v>1264</v>
      </c>
      <c r="D1257" s="4">
        <f>IF(B1257&gt;'Mortality Table'!$A$118,D1256,VLOOKUP(B1257,'Mortality Table'!$A$2:$B$118,2,FALSE))</f>
        <v>0.59733000000000003</v>
      </c>
      <c r="E1257" s="4">
        <f>IF(INT((C1257-1)/12)+1&gt;'Lapse Table'!$A$11,E1256,VLOOKUP(INT((C1257-1)/12)+1,'Lapse Table'!$A$2:$B$11,2,FALSE))/12</f>
        <v>0</v>
      </c>
      <c r="F1257" s="5">
        <f t="shared" si="179"/>
        <v>-35.86019736562092</v>
      </c>
      <c r="G1257" s="6">
        <f t="shared" si="173"/>
        <v>4.9777500000000002E-2</v>
      </c>
      <c r="H1257" s="6">
        <f t="shared" si="174"/>
        <v>0</v>
      </c>
      <c r="I1257" s="7">
        <f t="shared" si="175"/>
        <v>-1195.339912187364</v>
      </c>
      <c r="J1257" s="8">
        <f t="shared" si="176"/>
        <v>49777.5</v>
      </c>
      <c r="K1257" s="7">
        <f t="shared" si="177"/>
        <v>-50972.839912187366</v>
      </c>
      <c r="L1257" s="4">
        <f>IF(A1257&gt;'Yield Curve'!A1871,L1256,(1+VLOOKUP(A1257,'Yield Curve'!A1250:B1872,2,FALSE))^(1/12)-1)</f>
        <v>7.9741404289037643E-3</v>
      </c>
      <c r="M1257" s="5">
        <f t="shared" si="178"/>
        <v>-2.5063988566311326</v>
      </c>
    </row>
    <row r="1258" spans="1:13" x14ac:dyDescent="0.25">
      <c r="A1258" s="4">
        <v>1250</v>
      </c>
      <c r="B1258" s="4">
        <f t="shared" si="171"/>
        <v>149</v>
      </c>
      <c r="C1258" s="4">
        <f t="shared" si="172"/>
        <v>1265</v>
      </c>
      <c r="D1258" s="4">
        <f>IF(B1258&gt;'Mortality Table'!$A$118,D1257,VLOOKUP(B1258,'Mortality Table'!$A$2:$B$118,2,FALSE))</f>
        <v>0.59733000000000003</v>
      </c>
      <c r="E1258" s="4">
        <f>IF(INT((C1258-1)/12)+1&gt;'Lapse Table'!$A$11,E1257,VLOOKUP(INT((C1258-1)/12)+1,'Lapse Table'!$A$2:$B$11,2,FALSE))/12</f>
        <v>0</v>
      </c>
      <c r="F1258" s="5">
        <f t="shared" si="179"/>
        <v>-35.909974865620917</v>
      </c>
      <c r="G1258" s="6">
        <f t="shared" si="173"/>
        <v>4.9777500000000002E-2</v>
      </c>
      <c r="H1258" s="6">
        <f t="shared" si="174"/>
        <v>0</v>
      </c>
      <c r="I1258" s="7">
        <f t="shared" si="175"/>
        <v>-1196.9991621873639</v>
      </c>
      <c r="J1258" s="8">
        <f t="shared" si="176"/>
        <v>49777.5</v>
      </c>
      <c r="K1258" s="7">
        <f t="shared" si="177"/>
        <v>-50974.499162187363</v>
      </c>
      <c r="L1258" s="4">
        <f>IF(A1258&gt;'Yield Curve'!A1872,L1257,(1+VLOOKUP(A1258,'Yield Curve'!A1251:B1873,2,FALSE))^(1/12)-1)</f>
        <v>7.9741404289037643E-3</v>
      </c>
      <c r="M1258" s="5">
        <f t="shared" si="178"/>
        <v>-2.4866515355054242</v>
      </c>
    </row>
    <row r="1259" spans="1:13" x14ac:dyDescent="0.25">
      <c r="A1259" s="4">
        <v>1251</v>
      </c>
      <c r="B1259" s="4">
        <f t="shared" si="171"/>
        <v>149</v>
      </c>
      <c r="C1259" s="4">
        <f t="shared" si="172"/>
        <v>1266</v>
      </c>
      <c r="D1259" s="4">
        <f>IF(B1259&gt;'Mortality Table'!$A$118,D1258,VLOOKUP(B1259,'Mortality Table'!$A$2:$B$118,2,FALSE))</f>
        <v>0.59733000000000003</v>
      </c>
      <c r="E1259" s="4">
        <f>IF(INT((C1259-1)/12)+1&gt;'Lapse Table'!$A$11,E1258,VLOOKUP(INT((C1259-1)/12)+1,'Lapse Table'!$A$2:$B$11,2,FALSE))/12</f>
        <v>0</v>
      </c>
      <c r="F1259" s="5">
        <f t="shared" si="179"/>
        <v>-35.959752365620915</v>
      </c>
      <c r="G1259" s="6">
        <f t="shared" si="173"/>
        <v>4.9777500000000002E-2</v>
      </c>
      <c r="H1259" s="6">
        <f t="shared" si="174"/>
        <v>0</v>
      </c>
      <c r="I1259" s="7">
        <f t="shared" si="175"/>
        <v>-1198.6584121873639</v>
      </c>
      <c r="J1259" s="8">
        <f t="shared" si="176"/>
        <v>49777.5</v>
      </c>
      <c r="K1259" s="7">
        <f t="shared" si="177"/>
        <v>-50976.15841218736</v>
      </c>
      <c r="L1259" s="4">
        <f>IF(A1259&gt;'Yield Curve'!A1873,L1258,(1+VLOOKUP(A1259,'Yield Curve'!A1252:B1874,2,FALSE))^(1/12)-1)</f>
        <v>7.9741404289037643E-3</v>
      </c>
      <c r="M1259" s="5">
        <f t="shared" si="178"/>
        <v>-2.467059796217383</v>
      </c>
    </row>
    <row r="1260" spans="1:13" x14ac:dyDescent="0.25">
      <c r="A1260" s="4">
        <v>1252</v>
      </c>
      <c r="B1260" s="4">
        <f t="shared" si="171"/>
        <v>149</v>
      </c>
      <c r="C1260" s="4">
        <f t="shared" si="172"/>
        <v>1267</v>
      </c>
      <c r="D1260" s="4">
        <f>IF(B1260&gt;'Mortality Table'!$A$118,D1259,VLOOKUP(B1260,'Mortality Table'!$A$2:$B$118,2,FALSE))</f>
        <v>0.59733000000000003</v>
      </c>
      <c r="E1260" s="4">
        <f>IF(INT((C1260-1)/12)+1&gt;'Lapse Table'!$A$11,E1259,VLOOKUP(INT((C1260-1)/12)+1,'Lapse Table'!$A$2:$B$11,2,FALSE))/12</f>
        <v>0</v>
      </c>
      <c r="F1260" s="5">
        <f t="shared" si="179"/>
        <v>-36.009529865620912</v>
      </c>
      <c r="G1260" s="6">
        <f t="shared" si="173"/>
        <v>4.9777500000000002E-2</v>
      </c>
      <c r="H1260" s="6">
        <f t="shared" si="174"/>
        <v>0</v>
      </c>
      <c r="I1260" s="7">
        <f t="shared" si="175"/>
        <v>-1200.3176621873638</v>
      </c>
      <c r="J1260" s="8">
        <f t="shared" si="176"/>
        <v>49777.5</v>
      </c>
      <c r="K1260" s="7">
        <f t="shared" si="177"/>
        <v>-50977.817662187364</v>
      </c>
      <c r="L1260" s="4">
        <f>IF(A1260&gt;'Yield Curve'!A1874,L1259,(1+VLOOKUP(A1260,'Yield Curve'!A1253:B1875,2,FALSE))^(1/12)-1)</f>
        <v>7.9741404289037643E-3</v>
      </c>
      <c r="M1260" s="5">
        <f t="shared" si="178"/>
        <v>-2.4476224130160293</v>
      </c>
    </row>
    <row r="1261" spans="1:13" x14ac:dyDescent="0.25">
      <c r="A1261" s="4">
        <v>1253</v>
      </c>
      <c r="B1261" s="4">
        <f t="shared" si="171"/>
        <v>149</v>
      </c>
      <c r="C1261" s="4">
        <f t="shared" si="172"/>
        <v>1268</v>
      </c>
      <c r="D1261" s="4">
        <f>IF(B1261&gt;'Mortality Table'!$A$118,D1260,VLOOKUP(B1261,'Mortality Table'!$A$2:$B$118,2,FALSE))</f>
        <v>0.59733000000000003</v>
      </c>
      <c r="E1261" s="4">
        <f>IF(INT((C1261-1)/12)+1&gt;'Lapse Table'!$A$11,E1260,VLOOKUP(INT((C1261-1)/12)+1,'Lapse Table'!$A$2:$B$11,2,FALSE))/12</f>
        <v>0</v>
      </c>
      <c r="F1261" s="5">
        <f t="shared" si="179"/>
        <v>-36.05930736562091</v>
      </c>
      <c r="G1261" s="6">
        <f t="shared" si="173"/>
        <v>4.9777500000000002E-2</v>
      </c>
      <c r="H1261" s="6">
        <f t="shared" si="174"/>
        <v>0</v>
      </c>
      <c r="I1261" s="7">
        <f t="shared" si="175"/>
        <v>-1201.9769121873637</v>
      </c>
      <c r="J1261" s="8">
        <f t="shared" si="176"/>
        <v>49777.5</v>
      </c>
      <c r="K1261" s="7">
        <f t="shared" si="177"/>
        <v>-50979.476912187361</v>
      </c>
      <c r="L1261" s="4">
        <f>IF(A1261&gt;'Yield Curve'!A1875,L1260,(1+VLOOKUP(A1261,'Yield Curve'!A1254:B1876,2,FALSE))^(1/12)-1)</f>
        <v>7.9741404289037643E-3</v>
      </c>
      <c r="M1261" s="5">
        <f t="shared" si="178"/>
        <v>-2.4283381698072963</v>
      </c>
    </row>
    <row r="1262" spans="1:13" x14ac:dyDescent="0.25">
      <c r="A1262" s="4">
        <v>1254</v>
      </c>
      <c r="B1262" s="4">
        <f t="shared" si="171"/>
        <v>149</v>
      </c>
      <c r="C1262" s="4">
        <f t="shared" si="172"/>
        <v>1269</v>
      </c>
      <c r="D1262" s="4">
        <f>IF(B1262&gt;'Mortality Table'!$A$118,D1261,VLOOKUP(B1262,'Mortality Table'!$A$2:$B$118,2,FALSE))</f>
        <v>0.59733000000000003</v>
      </c>
      <c r="E1262" s="4">
        <f>IF(INT((C1262-1)/12)+1&gt;'Lapse Table'!$A$11,E1261,VLOOKUP(INT((C1262-1)/12)+1,'Lapse Table'!$A$2:$B$11,2,FALSE))/12</f>
        <v>0</v>
      </c>
      <c r="F1262" s="5">
        <f t="shared" si="179"/>
        <v>-36.109084865620908</v>
      </c>
      <c r="G1262" s="6">
        <f t="shared" si="173"/>
        <v>4.9777500000000002E-2</v>
      </c>
      <c r="H1262" s="6">
        <f t="shared" si="174"/>
        <v>0</v>
      </c>
      <c r="I1262" s="7">
        <f t="shared" si="175"/>
        <v>-1203.6361621873637</v>
      </c>
      <c r="J1262" s="8">
        <f t="shared" si="176"/>
        <v>49777.5</v>
      </c>
      <c r="K1262" s="7">
        <f t="shared" si="177"/>
        <v>-50981.136162187366</v>
      </c>
      <c r="L1262" s="4">
        <f>IF(A1262&gt;'Yield Curve'!A1876,L1261,(1+VLOOKUP(A1262,'Yield Curve'!A1255:B1877,2,FALSE))^(1/12)-1)</f>
        <v>7.9741404289037643E-3</v>
      </c>
      <c r="M1262" s="5">
        <f t="shared" si="178"/>
        <v>-2.4092058600779462</v>
      </c>
    </row>
    <row r="1263" spans="1:13" x14ac:dyDescent="0.25">
      <c r="A1263" s="4">
        <v>1255</v>
      </c>
      <c r="B1263" s="4">
        <f t="shared" si="171"/>
        <v>149</v>
      </c>
      <c r="C1263" s="4">
        <f t="shared" si="172"/>
        <v>1270</v>
      </c>
      <c r="D1263" s="4">
        <f>IF(B1263&gt;'Mortality Table'!$A$118,D1262,VLOOKUP(B1263,'Mortality Table'!$A$2:$B$118,2,FALSE))</f>
        <v>0.59733000000000003</v>
      </c>
      <c r="E1263" s="4">
        <f>IF(INT((C1263-1)/12)+1&gt;'Lapse Table'!$A$11,E1262,VLOOKUP(INT((C1263-1)/12)+1,'Lapse Table'!$A$2:$B$11,2,FALSE))/12</f>
        <v>0</v>
      </c>
      <c r="F1263" s="5">
        <f t="shared" si="179"/>
        <v>-36.158862365620905</v>
      </c>
      <c r="G1263" s="6">
        <f t="shared" si="173"/>
        <v>4.9777500000000002E-2</v>
      </c>
      <c r="H1263" s="6">
        <f t="shared" si="174"/>
        <v>0</v>
      </c>
      <c r="I1263" s="7">
        <f t="shared" si="175"/>
        <v>-1205.2954121873636</v>
      </c>
      <c r="J1263" s="8">
        <f t="shared" si="176"/>
        <v>49777.5</v>
      </c>
      <c r="K1263" s="7">
        <f t="shared" si="177"/>
        <v>-50982.795412187363</v>
      </c>
      <c r="L1263" s="4">
        <f>IF(A1263&gt;'Yield Curve'!A1877,L1262,(1+VLOOKUP(A1263,'Yield Curve'!A1256:B1878,2,FALSE))^(1/12)-1)</f>
        <v>7.9741404289037643E-3</v>
      </c>
      <c r="M1263" s="5">
        <f t="shared" si="178"/>
        <v>-2.3902242868200929</v>
      </c>
    </row>
    <row r="1264" spans="1:13" x14ac:dyDescent="0.25">
      <c r="A1264" s="4">
        <v>1256</v>
      </c>
      <c r="B1264" s="4">
        <f t="shared" si="171"/>
        <v>149</v>
      </c>
      <c r="C1264" s="4">
        <f t="shared" si="172"/>
        <v>1271</v>
      </c>
      <c r="D1264" s="4">
        <f>IF(B1264&gt;'Mortality Table'!$A$118,D1263,VLOOKUP(B1264,'Mortality Table'!$A$2:$B$118,2,FALSE))</f>
        <v>0.59733000000000003</v>
      </c>
      <c r="E1264" s="4">
        <f>IF(INT((C1264-1)/12)+1&gt;'Lapse Table'!$A$11,E1263,VLOOKUP(INT((C1264-1)/12)+1,'Lapse Table'!$A$2:$B$11,2,FALSE))/12</f>
        <v>0</v>
      </c>
      <c r="F1264" s="5">
        <f t="shared" si="179"/>
        <v>-36.208639865620903</v>
      </c>
      <c r="G1264" s="6">
        <f t="shared" si="173"/>
        <v>4.9777500000000002E-2</v>
      </c>
      <c r="H1264" s="6">
        <f t="shared" si="174"/>
        <v>0</v>
      </c>
      <c r="I1264" s="7">
        <f t="shared" si="175"/>
        <v>-1206.9546621873635</v>
      </c>
      <c r="J1264" s="8">
        <f t="shared" si="176"/>
        <v>49777.5</v>
      </c>
      <c r="K1264" s="7">
        <f t="shared" si="177"/>
        <v>-50984.454662187367</v>
      </c>
      <c r="L1264" s="4">
        <f>IF(A1264&gt;'Yield Curve'!A1878,L1263,(1+VLOOKUP(A1264,'Yield Curve'!A1257:B1879,2,FALSE))^(1/12)-1)</f>
        <v>7.9741404289037643E-3</v>
      </c>
      <c r="M1264" s="5">
        <f t="shared" si="178"/>
        <v>-2.3713922624563137</v>
      </c>
    </row>
    <row r="1265" spans="1:13" x14ac:dyDescent="0.25">
      <c r="A1265" s="4">
        <v>1257</v>
      </c>
      <c r="B1265" s="4">
        <f t="shared" si="171"/>
        <v>149</v>
      </c>
      <c r="C1265" s="4">
        <f t="shared" si="172"/>
        <v>1272</v>
      </c>
      <c r="D1265" s="4">
        <f>IF(B1265&gt;'Mortality Table'!$A$118,D1264,VLOOKUP(B1265,'Mortality Table'!$A$2:$B$118,2,FALSE))</f>
        <v>0.59733000000000003</v>
      </c>
      <c r="E1265" s="4">
        <f>IF(INT((C1265-1)/12)+1&gt;'Lapse Table'!$A$11,E1264,VLOOKUP(INT((C1265-1)/12)+1,'Lapse Table'!$A$2:$B$11,2,FALSE))/12</f>
        <v>0</v>
      </c>
      <c r="F1265" s="5">
        <f t="shared" si="179"/>
        <v>-36.2584173656209</v>
      </c>
      <c r="G1265" s="6">
        <f t="shared" si="173"/>
        <v>4.9777500000000002E-2</v>
      </c>
      <c r="H1265" s="6">
        <f t="shared" si="174"/>
        <v>0</v>
      </c>
      <c r="I1265" s="7">
        <f t="shared" si="175"/>
        <v>-1208.6139121873632</v>
      </c>
      <c r="J1265" s="8">
        <f t="shared" si="176"/>
        <v>49777.5</v>
      </c>
      <c r="K1265" s="7">
        <f t="shared" si="177"/>
        <v>-50986.113912187364</v>
      </c>
      <c r="L1265" s="4">
        <f>IF(A1265&gt;'Yield Curve'!A1879,L1264,(1+VLOOKUP(A1265,'Yield Curve'!A1258:B1880,2,FALSE))^(1/12)-1)</f>
        <v>7.9741404289037643E-3</v>
      </c>
      <c r="M1265" s="5">
        <f t="shared" si="178"/>
        <v>-2.3527086087653584</v>
      </c>
    </row>
    <row r="1266" spans="1:13" x14ac:dyDescent="0.25">
      <c r="A1266" s="4">
        <v>1258</v>
      </c>
      <c r="B1266" s="4">
        <f t="shared" si="171"/>
        <v>149</v>
      </c>
      <c r="C1266" s="4">
        <f t="shared" si="172"/>
        <v>1273</v>
      </c>
      <c r="D1266" s="4">
        <f>IF(B1266&gt;'Mortality Table'!$A$118,D1265,VLOOKUP(B1266,'Mortality Table'!$A$2:$B$118,2,FALSE))</f>
        <v>0.59733000000000003</v>
      </c>
      <c r="E1266" s="4">
        <f>IF(INT((C1266-1)/12)+1&gt;'Lapse Table'!$A$11,E1265,VLOOKUP(INT((C1266-1)/12)+1,'Lapse Table'!$A$2:$B$11,2,FALSE))/12</f>
        <v>0</v>
      </c>
      <c r="F1266" s="5">
        <f t="shared" si="179"/>
        <v>-36.308194865620898</v>
      </c>
      <c r="G1266" s="6">
        <f t="shared" si="173"/>
        <v>4.9777500000000002E-2</v>
      </c>
      <c r="H1266" s="6">
        <f t="shared" si="174"/>
        <v>0</v>
      </c>
      <c r="I1266" s="7">
        <f t="shared" si="175"/>
        <v>-1210.2731621873634</v>
      </c>
      <c r="J1266" s="8">
        <f t="shared" si="176"/>
        <v>49777.5</v>
      </c>
      <c r="K1266" s="7">
        <f t="shared" si="177"/>
        <v>-50987.773162187361</v>
      </c>
      <c r="L1266" s="4">
        <f>IF(A1266&gt;'Yield Curve'!A1880,L1265,(1+VLOOKUP(A1266,'Yield Curve'!A1259:B1881,2,FALSE))^(1/12)-1)</f>
        <v>7.9741404289037643E-3</v>
      </c>
      <c r="M1266" s="5">
        <f t="shared" si="178"/>
        <v>-2.3341721568084348</v>
      </c>
    </row>
    <row r="1267" spans="1:13" x14ac:dyDescent="0.25">
      <c r="A1267" s="4">
        <v>1259</v>
      </c>
      <c r="B1267" s="4">
        <f t="shared" si="171"/>
        <v>149</v>
      </c>
      <c r="C1267" s="4">
        <f t="shared" si="172"/>
        <v>1274</v>
      </c>
      <c r="D1267" s="4">
        <f>IF(B1267&gt;'Mortality Table'!$A$118,D1266,VLOOKUP(B1267,'Mortality Table'!$A$2:$B$118,2,FALSE))</f>
        <v>0.59733000000000003</v>
      </c>
      <c r="E1267" s="4">
        <f>IF(INT((C1267-1)/12)+1&gt;'Lapse Table'!$A$11,E1266,VLOOKUP(INT((C1267-1)/12)+1,'Lapse Table'!$A$2:$B$11,2,FALSE))/12</f>
        <v>0</v>
      </c>
      <c r="F1267" s="5">
        <f t="shared" si="179"/>
        <v>-36.357972365620896</v>
      </c>
      <c r="G1267" s="6">
        <f t="shared" si="173"/>
        <v>4.9777500000000002E-2</v>
      </c>
      <c r="H1267" s="6">
        <f t="shared" si="174"/>
        <v>0</v>
      </c>
      <c r="I1267" s="7">
        <f t="shared" si="175"/>
        <v>-1211.9324121873631</v>
      </c>
      <c r="J1267" s="8">
        <f t="shared" si="176"/>
        <v>49777.5</v>
      </c>
      <c r="K1267" s="7">
        <f t="shared" si="177"/>
        <v>-50989.432412187365</v>
      </c>
      <c r="L1267" s="4">
        <f>IF(A1267&gt;'Yield Curve'!A1881,L1266,(1+VLOOKUP(A1267,'Yield Curve'!A1260:B1882,2,FALSE))^(1/12)-1)</f>
        <v>7.9741404289037643E-3</v>
      </c>
      <c r="M1267" s="5">
        <f t="shared" si="178"/>
        <v>-2.3157817468560844</v>
      </c>
    </row>
    <row r="1268" spans="1:13" x14ac:dyDescent="0.25">
      <c r="A1268" s="4">
        <v>1260</v>
      </c>
      <c r="B1268" s="4">
        <f t="shared" si="171"/>
        <v>150</v>
      </c>
      <c r="C1268" s="4">
        <f t="shared" si="172"/>
        <v>1275</v>
      </c>
      <c r="D1268" s="4">
        <f>IF(B1268&gt;'Mortality Table'!$A$118,D1267,VLOOKUP(B1268,'Mortality Table'!$A$2:$B$118,2,FALSE))</f>
        <v>0.59733000000000003</v>
      </c>
      <c r="E1268" s="4">
        <f>IF(INT((C1268-1)/12)+1&gt;'Lapse Table'!$A$11,E1267,VLOOKUP(INT((C1268-1)/12)+1,'Lapse Table'!$A$2:$B$11,2,FALSE))/12</f>
        <v>0</v>
      </c>
      <c r="F1268" s="5">
        <f t="shared" si="179"/>
        <v>-36.407749865620893</v>
      </c>
      <c r="G1268" s="6">
        <f t="shared" si="173"/>
        <v>4.9777500000000002E-2</v>
      </c>
      <c r="H1268" s="6">
        <f t="shared" si="174"/>
        <v>0</v>
      </c>
      <c r="I1268" s="7">
        <f t="shared" si="175"/>
        <v>-1213.5916621873632</v>
      </c>
      <c r="J1268" s="8">
        <f t="shared" si="176"/>
        <v>49777.5</v>
      </c>
      <c r="K1268" s="7">
        <f t="shared" si="177"/>
        <v>-50991.091662187362</v>
      </c>
      <c r="L1268" s="4">
        <f>IF(A1268&gt;'Yield Curve'!A1882,L1267,(1+VLOOKUP(A1268,'Yield Curve'!A1261:B1883,2,FALSE))^(1/12)-1)</f>
        <v>7.9741404289037643E-3</v>
      </c>
      <c r="M1268" s="5">
        <f t="shared" si="178"/>
        <v>-2.2975362283156202</v>
      </c>
    </row>
    <row r="1269" spans="1:13" x14ac:dyDescent="0.25">
      <c r="A1269" s="4">
        <v>1261</v>
      </c>
      <c r="B1269" s="4">
        <f t="shared" si="171"/>
        <v>150</v>
      </c>
      <c r="C1269" s="4">
        <f t="shared" si="172"/>
        <v>1276</v>
      </c>
      <c r="D1269" s="4">
        <f>IF(B1269&gt;'Mortality Table'!$A$118,D1268,VLOOKUP(B1269,'Mortality Table'!$A$2:$B$118,2,FALSE))</f>
        <v>0.59733000000000003</v>
      </c>
      <c r="E1269" s="4">
        <f>IF(INT((C1269-1)/12)+1&gt;'Lapse Table'!$A$11,E1268,VLOOKUP(INT((C1269-1)/12)+1,'Lapse Table'!$A$2:$B$11,2,FALSE))/12</f>
        <v>0</v>
      </c>
      <c r="F1269" s="5">
        <f t="shared" si="179"/>
        <v>-36.457527365620891</v>
      </c>
      <c r="G1269" s="6">
        <f t="shared" si="173"/>
        <v>4.9777500000000002E-2</v>
      </c>
      <c r="H1269" s="6">
        <f t="shared" si="174"/>
        <v>0</v>
      </c>
      <c r="I1269" s="7">
        <f t="shared" si="175"/>
        <v>-1215.2509121873629</v>
      </c>
      <c r="J1269" s="8">
        <f t="shared" si="176"/>
        <v>49777.5</v>
      </c>
      <c r="K1269" s="7">
        <f t="shared" si="177"/>
        <v>-50992.750912187366</v>
      </c>
      <c r="L1269" s="4">
        <f>IF(A1269&gt;'Yield Curve'!A1883,L1268,(1+VLOOKUP(A1269,'Yield Curve'!A1262:B1884,2,FALSE))^(1/12)-1)</f>
        <v>7.9741404289037643E-3</v>
      </c>
      <c r="M1269" s="5">
        <f t="shared" si="178"/>
        <v>-2.2794344596591576</v>
      </c>
    </row>
    <row r="1270" spans="1:13" x14ac:dyDescent="0.25">
      <c r="A1270" s="4">
        <v>1262</v>
      </c>
      <c r="B1270" s="4">
        <f t="shared" si="171"/>
        <v>150</v>
      </c>
      <c r="C1270" s="4">
        <f t="shared" si="172"/>
        <v>1277</v>
      </c>
      <c r="D1270" s="4">
        <f>IF(B1270&gt;'Mortality Table'!$A$118,D1269,VLOOKUP(B1270,'Mortality Table'!$A$2:$B$118,2,FALSE))</f>
        <v>0.59733000000000003</v>
      </c>
      <c r="E1270" s="4">
        <f>IF(INT((C1270-1)/12)+1&gt;'Lapse Table'!$A$11,E1269,VLOOKUP(INT((C1270-1)/12)+1,'Lapse Table'!$A$2:$B$11,2,FALSE))/12</f>
        <v>0</v>
      </c>
      <c r="F1270" s="5">
        <f t="shared" si="179"/>
        <v>-36.507304865620888</v>
      </c>
      <c r="G1270" s="6">
        <f t="shared" si="173"/>
        <v>4.9777500000000002E-2</v>
      </c>
      <c r="H1270" s="6">
        <f t="shared" si="174"/>
        <v>0</v>
      </c>
      <c r="I1270" s="7">
        <f t="shared" si="175"/>
        <v>-1216.9101621873631</v>
      </c>
      <c r="J1270" s="8">
        <f t="shared" si="176"/>
        <v>49777.5</v>
      </c>
      <c r="K1270" s="7">
        <f t="shared" si="177"/>
        <v>-50994.410162187363</v>
      </c>
      <c r="L1270" s="4">
        <f>IF(A1270&gt;'Yield Curve'!A1884,L1269,(1+VLOOKUP(A1270,'Yield Curve'!A1263:B1885,2,FALSE))^(1/12)-1)</f>
        <v>7.9741404289037643E-3</v>
      </c>
      <c r="M1270" s="5">
        <f t="shared" si="178"/>
        <v>-2.2614753083521881</v>
      </c>
    </row>
    <row r="1271" spans="1:13" x14ac:dyDescent="0.25">
      <c r="A1271" s="4">
        <v>1263</v>
      </c>
      <c r="B1271" s="4">
        <f t="shared" si="171"/>
        <v>150</v>
      </c>
      <c r="C1271" s="4">
        <f t="shared" si="172"/>
        <v>1278</v>
      </c>
      <c r="D1271" s="4">
        <f>IF(B1271&gt;'Mortality Table'!$A$118,D1270,VLOOKUP(B1271,'Mortality Table'!$A$2:$B$118,2,FALSE))</f>
        <v>0.59733000000000003</v>
      </c>
      <c r="E1271" s="4">
        <f>IF(INT((C1271-1)/12)+1&gt;'Lapse Table'!$A$11,E1270,VLOOKUP(INT((C1271-1)/12)+1,'Lapse Table'!$A$2:$B$11,2,FALSE))/12</f>
        <v>0</v>
      </c>
      <c r="F1271" s="5">
        <f t="shared" si="179"/>
        <v>-36.557082365620886</v>
      </c>
      <c r="G1271" s="6">
        <f t="shared" si="173"/>
        <v>4.9777500000000002E-2</v>
      </c>
      <c r="H1271" s="6">
        <f t="shared" si="174"/>
        <v>0</v>
      </c>
      <c r="I1271" s="7">
        <f t="shared" si="175"/>
        <v>-1218.5694121873628</v>
      </c>
      <c r="J1271" s="8">
        <f t="shared" si="176"/>
        <v>49777.5</v>
      </c>
      <c r="K1271" s="7">
        <f t="shared" si="177"/>
        <v>-50996.06941218736</v>
      </c>
      <c r="L1271" s="4">
        <f>IF(A1271&gt;'Yield Curve'!A1885,L1270,(1+VLOOKUP(A1271,'Yield Curve'!A1264:B1886,2,FALSE))^(1/12)-1)</f>
        <v>7.9741404289037643E-3</v>
      </c>
      <c r="M1271" s="5">
        <f t="shared" si="178"/>
        <v>-2.2436576507827337</v>
      </c>
    </row>
    <row r="1272" spans="1:13" x14ac:dyDescent="0.25">
      <c r="A1272" s="4">
        <v>1264</v>
      </c>
      <c r="B1272" s="4">
        <f t="shared" si="171"/>
        <v>150</v>
      </c>
      <c r="C1272" s="4">
        <f t="shared" si="172"/>
        <v>1279</v>
      </c>
      <c r="D1272" s="4">
        <f>IF(B1272&gt;'Mortality Table'!$A$118,D1271,VLOOKUP(B1272,'Mortality Table'!$A$2:$B$118,2,FALSE))</f>
        <v>0.59733000000000003</v>
      </c>
      <c r="E1272" s="4">
        <f>IF(INT((C1272-1)/12)+1&gt;'Lapse Table'!$A$11,E1271,VLOOKUP(INT((C1272-1)/12)+1,'Lapse Table'!$A$2:$B$11,2,FALSE))/12</f>
        <v>0</v>
      </c>
      <c r="F1272" s="5">
        <f t="shared" si="179"/>
        <v>-36.606859865620883</v>
      </c>
      <c r="G1272" s="6">
        <f t="shared" si="173"/>
        <v>4.9777500000000002E-2</v>
      </c>
      <c r="H1272" s="6">
        <f t="shared" si="174"/>
        <v>0</v>
      </c>
      <c r="I1272" s="7">
        <f t="shared" si="175"/>
        <v>-1220.2286621873627</v>
      </c>
      <c r="J1272" s="8">
        <f t="shared" si="176"/>
        <v>49777.5</v>
      </c>
      <c r="K1272" s="7">
        <f t="shared" si="177"/>
        <v>-50997.728662187365</v>
      </c>
      <c r="L1272" s="4">
        <f>IF(A1272&gt;'Yield Curve'!A1886,L1271,(1+VLOOKUP(A1272,'Yield Curve'!A1265:B1887,2,FALSE))^(1/12)-1)</f>
        <v>7.9741404289037643E-3</v>
      </c>
      <c r="M1272" s="5">
        <f t="shared" si="178"/>
        <v>-2.2259803721910512</v>
      </c>
    </row>
    <row r="1273" spans="1:13" x14ac:dyDescent="0.25">
      <c r="A1273" s="4">
        <v>1265</v>
      </c>
      <c r="B1273" s="4">
        <f t="shared" si="171"/>
        <v>150</v>
      </c>
      <c r="C1273" s="4">
        <f t="shared" si="172"/>
        <v>1280</v>
      </c>
      <c r="D1273" s="4">
        <f>IF(B1273&gt;'Mortality Table'!$A$118,D1272,VLOOKUP(B1273,'Mortality Table'!$A$2:$B$118,2,FALSE))</f>
        <v>0.59733000000000003</v>
      </c>
      <c r="E1273" s="4">
        <f>IF(INT((C1273-1)/12)+1&gt;'Lapse Table'!$A$11,E1272,VLOOKUP(INT((C1273-1)/12)+1,'Lapse Table'!$A$2:$B$11,2,FALSE))/12</f>
        <v>0</v>
      </c>
      <c r="F1273" s="5">
        <f t="shared" si="179"/>
        <v>-36.656637365620881</v>
      </c>
      <c r="G1273" s="6">
        <f t="shared" si="173"/>
        <v>4.9777500000000002E-2</v>
      </c>
      <c r="H1273" s="6">
        <f t="shared" si="174"/>
        <v>0</v>
      </c>
      <c r="I1273" s="7">
        <f t="shared" si="175"/>
        <v>-1221.8879121873626</v>
      </c>
      <c r="J1273" s="8">
        <f t="shared" si="176"/>
        <v>49777.5</v>
      </c>
      <c r="K1273" s="7">
        <f t="shared" si="177"/>
        <v>-50999.387912187362</v>
      </c>
      <c r="L1273" s="4">
        <f>IF(A1273&gt;'Yield Curve'!A1887,L1272,(1+VLOOKUP(A1273,'Yield Curve'!A1266:B1888,2,FALSE))^(1/12)-1)</f>
        <v>7.9741404289037643E-3</v>
      </c>
      <c r="M1273" s="5">
        <f t="shared" si="178"/>
        <v>-2.2084423665998947</v>
      </c>
    </row>
    <row r="1274" spans="1:13" x14ac:dyDescent="0.25">
      <c r="A1274" s="4">
        <v>1266</v>
      </c>
      <c r="B1274" s="4">
        <f t="shared" si="171"/>
        <v>150</v>
      </c>
      <c r="C1274" s="4">
        <f t="shared" si="172"/>
        <v>1281</v>
      </c>
      <c r="D1274" s="4">
        <f>IF(B1274&gt;'Mortality Table'!$A$118,D1273,VLOOKUP(B1274,'Mortality Table'!$A$2:$B$118,2,FALSE))</f>
        <v>0.59733000000000003</v>
      </c>
      <c r="E1274" s="4">
        <f>IF(INT((C1274-1)/12)+1&gt;'Lapse Table'!$A$11,E1273,VLOOKUP(INT((C1274-1)/12)+1,'Lapse Table'!$A$2:$B$11,2,FALSE))/12</f>
        <v>0</v>
      </c>
      <c r="F1274" s="5">
        <f t="shared" si="179"/>
        <v>-36.706414865620879</v>
      </c>
      <c r="G1274" s="6">
        <f t="shared" si="173"/>
        <v>4.9777500000000002E-2</v>
      </c>
      <c r="H1274" s="6">
        <f t="shared" si="174"/>
        <v>0</v>
      </c>
      <c r="I1274" s="7">
        <f t="shared" si="175"/>
        <v>-1223.5471621873626</v>
      </c>
      <c r="J1274" s="8">
        <f t="shared" si="176"/>
        <v>49777.5</v>
      </c>
      <c r="K1274" s="7">
        <f t="shared" si="177"/>
        <v>-51001.047162187366</v>
      </c>
      <c r="L1274" s="4">
        <f>IF(A1274&gt;'Yield Curve'!A1888,L1273,(1+VLOOKUP(A1274,'Yield Curve'!A1267:B1889,2,FALSE))^(1/12)-1)</f>
        <v>7.9741404289037643E-3</v>
      </c>
      <c r="M1274" s="5">
        <f t="shared" si="178"/>
        <v>-2.1910425367453223</v>
      </c>
    </row>
    <row r="1275" spans="1:13" x14ac:dyDescent="0.25">
      <c r="A1275" s="4">
        <v>1267</v>
      </c>
      <c r="B1275" s="4">
        <f t="shared" si="171"/>
        <v>150</v>
      </c>
      <c r="C1275" s="4">
        <f t="shared" si="172"/>
        <v>1282</v>
      </c>
      <c r="D1275" s="4">
        <f>IF(B1275&gt;'Mortality Table'!$A$118,D1274,VLOOKUP(B1275,'Mortality Table'!$A$2:$B$118,2,FALSE))</f>
        <v>0.59733000000000003</v>
      </c>
      <c r="E1275" s="4">
        <f>IF(INT((C1275-1)/12)+1&gt;'Lapse Table'!$A$11,E1274,VLOOKUP(INT((C1275-1)/12)+1,'Lapse Table'!$A$2:$B$11,2,FALSE))/12</f>
        <v>0</v>
      </c>
      <c r="F1275" s="5">
        <f t="shared" si="179"/>
        <v>-36.756192365620876</v>
      </c>
      <c r="G1275" s="6">
        <f t="shared" si="173"/>
        <v>4.9777500000000002E-2</v>
      </c>
      <c r="H1275" s="6">
        <f t="shared" si="174"/>
        <v>0</v>
      </c>
      <c r="I1275" s="7">
        <f t="shared" si="175"/>
        <v>-1225.2064121873625</v>
      </c>
      <c r="J1275" s="8">
        <f t="shared" si="176"/>
        <v>49777.5</v>
      </c>
      <c r="K1275" s="7">
        <f t="shared" si="177"/>
        <v>-51002.706412187363</v>
      </c>
      <c r="L1275" s="4">
        <f>IF(A1275&gt;'Yield Curve'!A1889,L1274,(1+VLOOKUP(A1275,'Yield Curve'!A1268:B1890,2,FALSE))^(1/12)-1)</f>
        <v>7.9741404289037643E-3</v>
      </c>
      <c r="M1275" s="5">
        <f t="shared" si="178"/>
        <v>-2.1737797940080488</v>
      </c>
    </row>
    <row r="1276" spans="1:13" x14ac:dyDescent="0.25">
      <c r="A1276" s="4">
        <v>1268</v>
      </c>
      <c r="B1276" s="4">
        <f t="shared" si="171"/>
        <v>150</v>
      </c>
      <c r="C1276" s="4">
        <f t="shared" si="172"/>
        <v>1283</v>
      </c>
      <c r="D1276" s="4">
        <f>IF(B1276&gt;'Mortality Table'!$A$118,D1275,VLOOKUP(B1276,'Mortality Table'!$A$2:$B$118,2,FALSE))</f>
        <v>0.59733000000000003</v>
      </c>
      <c r="E1276" s="4">
        <f>IF(INT((C1276-1)/12)+1&gt;'Lapse Table'!$A$11,E1275,VLOOKUP(INT((C1276-1)/12)+1,'Lapse Table'!$A$2:$B$11,2,FALSE))/12</f>
        <v>0</v>
      </c>
      <c r="F1276" s="5">
        <f t="shared" si="179"/>
        <v>-36.805969865620874</v>
      </c>
      <c r="G1276" s="6">
        <f t="shared" si="173"/>
        <v>4.9777500000000002E-2</v>
      </c>
      <c r="H1276" s="6">
        <f t="shared" si="174"/>
        <v>0</v>
      </c>
      <c r="I1276" s="7">
        <f t="shared" si="175"/>
        <v>-1226.8656621873624</v>
      </c>
      <c r="J1276" s="8">
        <f t="shared" si="176"/>
        <v>49777.5</v>
      </c>
      <c r="K1276" s="7">
        <f t="shared" si="177"/>
        <v>-51004.36566218736</v>
      </c>
      <c r="L1276" s="4">
        <f>IF(A1276&gt;'Yield Curve'!A1890,L1275,(1+VLOOKUP(A1276,'Yield Curve'!A1269:B1891,2,FALSE))^(1/12)-1)</f>
        <v>7.9741404289037643E-3</v>
      </c>
      <c r="M1276" s="5">
        <f t="shared" si="178"/>
        <v>-2.1566530583453449</v>
      </c>
    </row>
    <row r="1277" spans="1:13" x14ac:dyDescent="0.25">
      <c r="A1277" s="4">
        <v>1269</v>
      </c>
      <c r="B1277" s="4">
        <f t="shared" si="171"/>
        <v>150</v>
      </c>
      <c r="C1277" s="4">
        <f t="shared" si="172"/>
        <v>1284</v>
      </c>
      <c r="D1277" s="4">
        <f>IF(B1277&gt;'Mortality Table'!$A$118,D1276,VLOOKUP(B1277,'Mortality Table'!$A$2:$B$118,2,FALSE))</f>
        <v>0.59733000000000003</v>
      </c>
      <c r="E1277" s="4">
        <f>IF(INT((C1277-1)/12)+1&gt;'Lapse Table'!$A$11,E1276,VLOOKUP(INT((C1277-1)/12)+1,'Lapse Table'!$A$2:$B$11,2,FALSE))/12</f>
        <v>0</v>
      </c>
      <c r="F1277" s="5">
        <f t="shared" si="179"/>
        <v>-36.855747365620871</v>
      </c>
      <c r="G1277" s="6">
        <f t="shared" si="173"/>
        <v>4.9777500000000002E-2</v>
      </c>
      <c r="H1277" s="6">
        <f t="shared" si="174"/>
        <v>0</v>
      </c>
      <c r="I1277" s="7">
        <f t="shared" si="175"/>
        <v>-1228.5249121873624</v>
      </c>
      <c r="J1277" s="8">
        <f t="shared" si="176"/>
        <v>49777.5</v>
      </c>
      <c r="K1277" s="7">
        <f t="shared" si="177"/>
        <v>-51006.024912187364</v>
      </c>
      <c r="L1277" s="4">
        <f>IF(A1277&gt;'Yield Curve'!A1891,L1276,(1+VLOOKUP(A1277,'Yield Curve'!A1270:B1892,2,FALSE))^(1/12)-1)</f>
        <v>7.9741404289037643E-3</v>
      </c>
      <c r="M1277" s="5">
        <f t="shared" si="178"/>
        <v>-2.1396612582234678</v>
      </c>
    </row>
    <row r="1278" spans="1:13" x14ac:dyDescent="0.25">
      <c r="A1278" s="4">
        <v>1270</v>
      </c>
      <c r="B1278" s="4">
        <f t="shared" si="171"/>
        <v>150</v>
      </c>
      <c r="C1278" s="4">
        <f t="shared" si="172"/>
        <v>1285</v>
      </c>
      <c r="D1278" s="4">
        <f>IF(B1278&gt;'Mortality Table'!$A$118,D1277,VLOOKUP(B1278,'Mortality Table'!$A$2:$B$118,2,FALSE))</f>
        <v>0.59733000000000003</v>
      </c>
      <c r="E1278" s="4">
        <f>IF(INT((C1278-1)/12)+1&gt;'Lapse Table'!$A$11,E1277,VLOOKUP(INT((C1278-1)/12)+1,'Lapse Table'!$A$2:$B$11,2,FALSE))/12</f>
        <v>0</v>
      </c>
      <c r="F1278" s="5">
        <f t="shared" si="179"/>
        <v>-36.905524865620869</v>
      </c>
      <c r="G1278" s="6">
        <f t="shared" si="173"/>
        <v>4.9777500000000002E-2</v>
      </c>
      <c r="H1278" s="6">
        <f t="shared" si="174"/>
        <v>0</v>
      </c>
      <c r="I1278" s="7">
        <f t="shared" si="175"/>
        <v>-1230.1841621873623</v>
      </c>
      <c r="J1278" s="8">
        <f t="shared" si="176"/>
        <v>49777.5</v>
      </c>
      <c r="K1278" s="7">
        <f t="shared" si="177"/>
        <v>-51007.684162187361</v>
      </c>
      <c r="L1278" s="4">
        <f>IF(A1278&gt;'Yield Curve'!A1892,L1277,(1+VLOOKUP(A1278,'Yield Curve'!A1271:B1893,2,FALSE))^(1/12)-1)</f>
        <v>7.9741404289037643E-3</v>
      </c>
      <c r="M1278" s="5">
        <f t="shared" si="178"/>
        <v>-2.1228033305506266</v>
      </c>
    </row>
    <row r="1279" spans="1:13" x14ac:dyDescent="0.25">
      <c r="A1279" s="4">
        <v>1271</v>
      </c>
      <c r="B1279" s="4">
        <f t="shared" si="171"/>
        <v>150</v>
      </c>
      <c r="C1279" s="4">
        <f t="shared" si="172"/>
        <v>1286</v>
      </c>
      <c r="D1279" s="4">
        <f>IF(B1279&gt;'Mortality Table'!$A$118,D1278,VLOOKUP(B1279,'Mortality Table'!$A$2:$B$118,2,FALSE))</f>
        <v>0.59733000000000003</v>
      </c>
      <c r="E1279" s="4">
        <f>IF(INT((C1279-1)/12)+1&gt;'Lapse Table'!$A$11,E1278,VLOOKUP(INT((C1279-1)/12)+1,'Lapse Table'!$A$2:$B$11,2,FALSE))/12</f>
        <v>0</v>
      </c>
      <c r="F1279" s="5">
        <f t="shared" si="179"/>
        <v>-36.955302365620867</v>
      </c>
      <c r="G1279" s="6">
        <f t="shared" si="173"/>
        <v>4.9777500000000002E-2</v>
      </c>
      <c r="H1279" s="6">
        <f t="shared" si="174"/>
        <v>0</v>
      </c>
      <c r="I1279" s="7">
        <f t="shared" si="175"/>
        <v>-1231.8434121873622</v>
      </c>
      <c r="J1279" s="8">
        <f t="shared" si="176"/>
        <v>49777.5</v>
      </c>
      <c r="K1279" s="7">
        <f t="shared" si="177"/>
        <v>-51009.343412187365</v>
      </c>
      <c r="L1279" s="4">
        <f>IF(A1279&gt;'Yield Curve'!A1893,L1278,(1+VLOOKUP(A1279,'Yield Curve'!A1272:B1894,2,FALSE))^(1/12)-1)</f>
        <v>7.9741404289037643E-3</v>
      </c>
      <c r="M1279" s="5">
        <f t="shared" si="178"/>
        <v>-2.10607822061047</v>
      </c>
    </row>
    <row r="1280" spans="1:13" x14ac:dyDescent="0.25">
      <c r="A1280" s="4">
        <v>1272</v>
      </c>
      <c r="B1280" s="4">
        <f t="shared" si="171"/>
        <v>151</v>
      </c>
      <c r="C1280" s="4">
        <f t="shared" si="172"/>
        <v>1287</v>
      </c>
      <c r="D1280" s="4">
        <f>IF(B1280&gt;'Mortality Table'!$A$118,D1279,VLOOKUP(B1280,'Mortality Table'!$A$2:$B$118,2,FALSE))</f>
        <v>0.59733000000000003</v>
      </c>
      <c r="E1280" s="4">
        <f>IF(INT((C1280-1)/12)+1&gt;'Lapse Table'!$A$11,E1279,VLOOKUP(INT((C1280-1)/12)+1,'Lapse Table'!$A$2:$B$11,2,FALSE))/12</f>
        <v>0</v>
      </c>
      <c r="F1280" s="5">
        <f t="shared" si="179"/>
        <v>-37.005079865620864</v>
      </c>
      <c r="G1280" s="6">
        <f t="shared" si="173"/>
        <v>4.9777500000000002E-2</v>
      </c>
      <c r="H1280" s="6">
        <f t="shared" si="174"/>
        <v>0</v>
      </c>
      <c r="I1280" s="7">
        <f t="shared" si="175"/>
        <v>-1233.5026621873621</v>
      </c>
      <c r="J1280" s="8">
        <f t="shared" si="176"/>
        <v>49777.5</v>
      </c>
      <c r="K1280" s="7">
        <f t="shared" si="177"/>
        <v>-51011.002662187362</v>
      </c>
      <c r="L1280" s="4">
        <f>IF(A1280&gt;'Yield Curve'!A1894,L1279,(1+VLOOKUP(A1280,'Yield Curve'!A1273:B1895,2,FALSE))^(1/12)-1)</f>
        <v>7.9741404289037643E-3</v>
      </c>
      <c r="M1280" s="5">
        <f t="shared" si="178"/>
        <v>-2.0894848819961052</v>
      </c>
    </row>
    <row r="1281" spans="1:13" x14ac:dyDescent="0.25">
      <c r="A1281" s="4">
        <v>1273</v>
      </c>
      <c r="B1281" s="4">
        <f t="shared" si="171"/>
        <v>151</v>
      </c>
      <c r="C1281" s="4">
        <f t="shared" si="172"/>
        <v>1288</v>
      </c>
      <c r="D1281" s="4">
        <f>IF(B1281&gt;'Mortality Table'!$A$118,D1280,VLOOKUP(B1281,'Mortality Table'!$A$2:$B$118,2,FALSE))</f>
        <v>0.59733000000000003</v>
      </c>
      <c r="E1281" s="4">
        <f>IF(INT((C1281-1)/12)+1&gt;'Lapse Table'!$A$11,E1280,VLOOKUP(INT((C1281-1)/12)+1,'Lapse Table'!$A$2:$B$11,2,FALSE))/12</f>
        <v>0</v>
      </c>
      <c r="F1281" s="5">
        <f t="shared" si="179"/>
        <v>-37.054857365620862</v>
      </c>
      <c r="G1281" s="6">
        <f t="shared" si="173"/>
        <v>4.9777500000000002E-2</v>
      </c>
      <c r="H1281" s="6">
        <f t="shared" si="174"/>
        <v>0</v>
      </c>
      <c r="I1281" s="7">
        <f t="shared" si="175"/>
        <v>-1235.1619121873621</v>
      </c>
      <c r="J1281" s="8">
        <f t="shared" si="176"/>
        <v>49777.5</v>
      </c>
      <c r="K1281" s="7">
        <f t="shared" si="177"/>
        <v>-51012.661912187359</v>
      </c>
      <c r="L1281" s="4">
        <f>IF(A1281&gt;'Yield Curve'!A1895,L1280,(1+VLOOKUP(A1281,'Yield Curve'!A1274:B1896,2,FALSE))^(1/12)-1)</f>
        <v>7.9741404289037643E-3</v>
      </c>
      <c r="M1281" s="5">
        <f t="shared" si="178"/>
        <v>-2.07302227654464</v>
      </c>
    </row>
    <row r="1282" spans="1:13" x14ac:dyDescent="0.25">
      <c r="A1282" s="4">
        <v>1274</v>
      </c>
      <c r="B1282" s="4">
        <f t="shared" si="171"/>
        <v>151</v>
      </c>
      <c r="C1282" s="4">
        <f t="shared" si="172"/>
        <v>1289</v>
      </c>
      <c r="D1282" s="4">
        <f>IF(B1282&gt;'Mortality Table'!$A$118,D1281,VLOOKUP(B1282,'Mortality Table'!$A$2:$B$118,2,FALSE))</f>
        <v>0.59733000000000003</v>
      </c>
      <c r="E1282" s="4">
        <f>IF(INT((C1282-1)/12)+1&gt;'Lapse Table'!$A$11,E1281,VLOOKUP(INT((C1282-1)/12)+1,'Lapse Table'!$A$2:$B$11,2,FALSE))/12</f>
        <v>0</v>
      </c>
      <c r="F1282" s="5">
        <f t="shared" si="179"/>
        <v>-37.104634865620859</v>
      </c>
      <c r="G1282" s="6">
        <f t="shared" si="173"/>
        <v>4.9777500000000002E-2</v>
      </c>
      <c r="H1282" s="6">
        <f t="shared" si="174"/>
        <v>0</v>
      </c>
      <c r="I1282" s="7">
        <f t="shared" si="175"/>
        <v>-1236.821162187362</v>
      </c>
      <c r="J1282" s="8">
        <f t="shared" si="176"/>
        <v>49777.5</v>
      </c>
      <c r="K1282" s="7">
        <f t="shared" si="177"/>
        <v>-51014.321162187363</v>
      </c>
      <c r="L1282" s="4">
        <f>IF(A1282&gt;'Yield Curve'!A1896,L1281,(1+VLOOKUP(A1282,'Yield Curve'!A1275:B1897,2,FALSE))^(1/12)-1)</f>
        <v>7.9741404289037643E-3</v>
      </c>
      <c r="M1282" s="5">
        <f t="shared" si="178"/>
        <v>-2.0566893742722216</v>
      </c>
    </row>
    <row r="1283" spans="1:13" x14ac:dyDescent="0.25">
      <c r="A1283" s="4">
        <v>1275</v>
      </c>
      <c r="B1283" s="4">
        <f t="shared" si="171"/>
        <v>151</v>
      </c>
      <c r="C1283" s="4">
        <f t="shared" si="172"/>
        <v>1290</v>
      </c>
      <c r="D1283" s="4">
        <f>IF(B1283&gt;'Mortality Table'!$A$118,D1282,VLOOKUP(B1283,'Mortality Table'!$A$2:$B$118,2,FALSE))</f>
        <v>0.59733000000000003</v>
      </c>
      <c r="E1283" s="4">
        <f>IF(INT((C1283-1)/12)+1&gt;'Lapse Table'!$A$11,E1282,VLOOKUP(INT((C1283-1)/12)+1,'Lapse Table'!$A$2:$B$11,2,FALSE))/12</f>
        <v>0</v>
      </c>
      <c r="F1283" s="5">
        <f t="shared" si="179"/>
        <v>-37.154412365620857</v>
      </c>
      <c r="G1283" s="6">
        <f t="shared" si="173"/>
        <v>4.9777500000000002E-2</v>
      </c>
      <c r="H1283" s="6">
        <f t="shared" si="174"/>
        <v>0</v>
      </c>
      <c r="I1283" s="7">
        <f t="shared" si="175"/>
        <v>-1238.4804121873619</v>
      </c>
      <c r="J1283" s="8">
        <f t="shared" si="176"/>
        <v>49777.5</v>
      </c>
      <c r="K1283" s="7">
        <f t="shared" si="177"/>
        <v>-51015.98041218736</v>
      </c>
      <c r="L1283" s="4">
        <f>IF(A1283&gt;'Yield Curve'!A1897,L1282,(1+VLOOKUP(A1283,'Yield Curve'!A1276:B1898,2,FALSE))^(1/12)-1)</f>
        <v>7.9741404289037643E-3</v>
      </c>
      <c r="M1283" s="5">
        <f t="shared" si="178"/>
        <v>-2.0404851533096111</v>
      </c>
    </row>
    <row r="1284" spans="1:13" x14ac:dyDescent="0.25">
      <c r="A1284" s="4">
        <v>1276</v>
      </c>
      <c r="B1284" s="4">
        <f t="shared" si="171"/>
        <v>151</v>
      </c>
      <c r="C1284" s="4">
        <f t="shared" si="172"/>
        <v>1291</v>
      </c>
      <c r="D1284" s="4">
        <f>IF(B1284&gt;'Mortality Table'!$A$118,D1283,VLOOKUP(B1284,'Mortality Table'!$A$2:$B$118,2,FALSE))</f>
        <v>0.59733000000000003</v>
      </c>
      <c r="E1284" s="4">
        <f>IF(INT((C1284-1)/12)+1&gt;'Lapse Table'!$A$11,E1283,VLOOKUP(INT((C1284-1)/12)+1,'Lapse Table'!$A$2:$B$11,2,FALSE))/12</f>
        <v>0</v>
      </c>
      <c r="F1284" s="5">
        <f t="shared" si="179"/>
        <v>-37.204189865620855</v>
      </c>
      <c r="G1284" s="6">
        <f t="shared" si="173"/>
        <v>4.9777500000000002E-2</v>
      </c>
      <c r="H1284" s="6">
        <f t="shared" si="174"/>
        <v>0</v>
      </c>
      <c r="I1284" s="7">
        <f t="shared" si="175"/>
        <v>-1240.1396621873619</v>
      </c>
      <c r="J1284" s="8">
        <f t="shared" si="176"/>
        <v>49777.5</v>
      </c>
      <c r="K1284" s="7">
        <f t="shared" si="177"/>
        <v>-51017.639662187365</v>
      </c>
      <c r="L1284" s="4">
        <f>IF(A1284&gt;'Yield Curve'!A1898,L1283,(1+VLOOKUP(A1284,'Yield Curve'!A1277:B1899,2,FALSE))^(1/12)-1)</f>
        <v>7.9741404289037643E-3</v>
      </c>
      <c r="M1284" s="5">
        <f t="shared" si="178"/>
        <v>-2.0244085998382513</v>
      </c>
    </row>
    <row r="1285" spans="1:13" x14ac:dyDescent="0.25">
      <c r="A1285" s="4">
        <v>1277</v>
      </c>
      <c r="B1285" s="4">
        <f t="shared" si="171"/>
        <v>151</v>
      </c>
      <c r="C1285" s="4">
        <f t="shared" si="172"/>
        <v>1292</v>
      </c>
      <c r="D1285" s="4">
        <f>IF(B1285&gt;'Mortality Table'!$A$118,D1284,VLOOKUP(B1285,'Mortality Table'!$A$2:$B$118,2,FALSE))</f>
        <v>0.59733000000000003</v>
      </c>
      <c r="E1285" s="4">
        <f>IF(INT((C1285-1)/12)+1&gt;'Lapse Table'!$A$11,E1284,VLOOKUP(INT((C1285-1)/12)+1,'Lapse Table'!$A$2:$B$11,2,FALSE))/12</f>
        <v>0</v>
      </c>
      <c r="F1285" s="5">
        <f t="shared" si="179"/>
        <v>-37.253967365620852</v>
      </c>
      <c r="G1285" s="6">
        <f t="shared" si="173"/>
        <v>4.9777500000000002E-2</v>
      </c>
      <c r="H1285" s="6">
        <f t="shared" si="174"/>
        <v>0</v>
      </c>
      <c r="I1285" s="7">
        <f t="shared" si="175"/>
        <v>-1241.7989121873618</v>
      </c>
      <c r="J1285" s="8">
        <f t="shared" si="176"/>
        <v>49777.5</v>
      </c>
      <c r="K1285" s="7">
        <f t="shared" si="177"/>
        <v>-51019.298912187362</v>
      </c>
      <c r="L1285" s="4">
        <f>IF(A1285&gt;'Yield Curve'!A1899,L1284,(1+VLOOKUP(A1285,'Yield Curve'!A1278:B1900,2,FALSE))^(1/12)-1)</f>
        <v>7.9741404289037643E-3</v>
      </c>
      <c r="M1285" s="5">
        <f t="shared" si="178"/>
        <v>-2.0084587080268377</v>
      </c>
    </row>
    <row r="1286" spans="1:13" x14ac:dyDescent="0.25">
      <c r="A1286" s="4">
        <v>1278</v>
      </c>
      <c r="B1286" s="4">
        <f t="shared" si="171"/>
        <v>151</v>
      </c>
      <c r="C1286" s="4">
        <f t="shared" si="172"/>
        <v>1293</v>
      </c>
      <c r="D1286" s="4">
        <f>IF(B1286&gt;'Mortality Table'!$A$118,D1285,VLOOKUP(B1286,'Mortality Table'!$A$2:$B$118,2,FALSE))</f>
        <v>0.59733000000000003</v>
      </c>
      <c r="E1286" s="4">
        <f>IF(INT((C1286-1)/12)+1&gt;'Lapse Table'!$A$11,E1285,VLOOKUP(INT((C1286-1)/12)+1,'Lapse Table'!$A$2:$B$11,2,FALSE))/12</f>
        <v>0</v>
      </c>
      <c r="F1286" s="5">
        <f t="shared" si="179"/>
        <v>-37.30374486562085</v>
      </c>
      <c r="G1286" s="6">
        <f t="shared" si="173"/>
        <v>4.9777500000000002E-2</v>
      </c>
      <c r="H1286" s="6">
        <f t="shared" si="174"/>
        <v>0</v>
      </c>
      <c r="I1286" s="7">
        <f t="shared" si="175"/>
        <v>-1243.4581621873617</v>
      </c>
      <c r="J1286" s="8">
        <f t="shared" si="176"/>
        <v>49777.5</v>
      </c>
      <c r="K1286" s="7">
        <f t="shared" si="177"/>
        <v>-51020.958162187359</v>
      </c>
      <c r="L1286" s="4">
        <f>IF(A1286&gt;'Yield Curve'!A1900,L1285,(1+VLOOKUP(A1286,'Yield Curve'!A1279:B1901,2,FALSE))^(1/12)-1)</f>
        <v>7.9741404289037643E-3</v>
      </c>
      <c r="M1286" s="5">
        <f t="shared" si="178"/>
        <v>-1.9926344799683995</v>
      </c>
    </row>
    <row r="1287" spans="1:13" x14ac:dyDescent="0.25">
      <c r="A1287" s="4">
        <v>1279</v>
      </c>
      <c r="B1287" s="4">
        <f t="shared" si="171"/>
        <v>151</v>
      </c>
      <c r="C1287" s="4">
        <f t="shared" si="172"/>
        <v>1294</v>
      </c>
      <c r="D1287" s="4">
        <f>IF(B1287&gt;'Mortality Table'!$A$118,D1286,VLOOKUP(B1287,'Mortality Table'!$A$2:$B$118,2,FALSE))</f>
        <v>0.59733000000000003</v>
      </c>
      <c r="E1287" s="4">
        <f>IF(INT((C1287-1)/12)+1&gt;'Lapse Table'!$A$11,E1286,VLOOKUP(INT((C1287-1)/12)+1,'Lapse Table'!$A$2:$B$11,2,FALSE))/12</f>
        <v>0</v>
      </c>
      <c r="F1287" s="5">
        <f t="shared" si="179"/>
        <v>-37.353522365620847</v>
      </c>
      <c r="G1287" s="6">
        <f t="shared" si="173"/>
        <v>4.9777500000000002E-2</v>
      </c>
      <c r="H1287" s="6">
        <f t="shared" si="174"/>
        <v>0</v>
      </c>
      <c r="I1287" s="7">
        <f t="shared" si="175"/>
        <v>-1245.1174121873617</v>
      </c>
      <c r="J1287" s="8">
        <f t="shared" si="176"/>
        <v>49777.5</v>
      </c>
      <c r="K1287" s="7">
        <f t="shared" si="177"/>
        <v>-51022.617412187363</v>
      </c>
      <c r="L1287" s="4">
        <f>IF(A1287&gt;'Yield Curve'!A1901,L1286,(1+VLOOKUP(A1287,'Yield Curve'!A1280:B1902,2,FALSE))^(1/12)-1)</f>
        <v>7.9741404289037643E-3</v>
      </c>
      <c r="M1287" s="5">
        <f t="shared" si="178"/>
        <v>-1.9769349256178634</v>
      </c>
    </row>
    <row r="1288" spans="1:13" x14ac:dyDescent="0.25">
      <c r="A1288" s="4">
        <v>1280</v>
      </c>
      <c r="B1288" s="4">
        <f t="shared" si="171"/>
        <v>151</v>
      </c>
      <c r="C1288" s="4">
        <f t="shared" si="172"/>
        <v>1295</v>
      </c>
      <c r="D1288" s="4">
        <f>IF(B1288&gt;'Mortality Table'!$A$118,D1287,VLOOKUP(B1288,'Mortality Table'!$A$2:$B$118,2,FALSE))</f>
        <v>0.59733000000000003</v>
      </c>
      <c r="E1288" s="4">
        <f>IF(INT((C1288-1)/12)+1&gt;'Lapse Table'!$A$11,E1287,VLOOKUP(INT((C1288-1)/12)+1,'Lapse Table'!$A$2:$B$11,2,FALSE))/12</f>
        <v>0</v>
      </c>
      <c r="F1288" s="5">
        <f t="shared" si="179"/>
        <v>-37.403299865620845</v>
      </c>
      <c r="G1288" s="6">
        <f t="shared" si="173"/>
        <v>4.9777500000000002E-2</v>
      </c>
      <c r="H1288" s="6">
        <f t="shared" si="174"/>
        <v>0</v>
      </c>
      <c r="I1288" s="7">
        <f t="shared" si="175"/>
        <v>-1246.7766621873614</v>
      </c>
      <c r="J1288" s="8">
        <f t="shared" si="176"/>
        <v>49777.5</v>
      </c>
      <c r="K1288" s="7">
        <f t="shared" si="177"/>
        <v>-51024.27666218736</v>
      </c>
      <c r="L1288" s="4">
        <f>IF(A1288&gt;'Yield Curve'!A1902,L1287,(1+VLOOKUP(A1288,'Yield Curve'!A1281:B1903,2,FALSE))^(1/12)-1)</f>
        <v>7.9741404289037643E-3</v>
      </c>
      <c r="M1288" s="5">
        <f t="shared" si="178"/>
        <v>-1.9613590627301201</v>
      </c>
    </row>
    <row r="1289" spans="1:13" x14ac:dyDescent="0.25">
      <c r="A1289" s="4">
        <v>1281</v>
      </c>
      <c r="B1289" s="4">
        <f t="shared" si="171"/>
        <v>151</v>
      </c>
      <c r="C1289" s="4">
        <f t="shared" si="172"/>
        <v>1296</v>
      </c>
      <c r="D1289" s="4">
        <f>IF(B1289&gt;'Mortality Table'!$A$118,D1288,VLOOKUP(B1289,'Mortality Table'!$A$2:$B$118,2,FALSE))</f>
        <v>0.59733000000000003</v>
      </c>
      <c r="E1289" s="4">
        <f>IF(INT((C1289-1)/12)+1&gt;'Lapse Table'!$A$11,E1288,VLOOKUP(INT((C1289-1)/12)+1,'Lapse Table'!$A$2:$B$11,2,FALSE))/12</f>
        <v>0</v>
      </c>
      <c r="F1289" s="5">
        <f t="shared" si="179"/>
        <v>-37.453077365620842</v>
      </c>
      <c r="G1289" s="6">
        <f t="shared" si="173"/>
        <v>4.9777500000000002E-2</v>
      </c>
      <c r="H1289" s="6">
        <f t="shared" si="174"/>
        <v>0</v>
      </c>
      <c r="I1289" s="7">
        <f t="shared" si="175"/>
        <v>-1248.4359121873615</v>
      </c>
      <c r="J1289" s="8">
        <f t="shared" si="176"/>
        <v>49777.5</v>
      </c>
      <c r="K1289" s="7">
        <f t="shared" si="177"/>
        <v>-51025.935912187364</v>
      </c>
      <c r="L1289" s="4">
        <f>IF(A1289&gt;'Yield Curve'!A1903,L1288,(1+VLOOKUP(A1289,'Yield Curve'!A1282:B1904,2,FALSE))^(1/12)-1)</f>
        <v>7.9741404289037643E-3</v>
      </c>
      <c r="M1289" s="5">
        <f t="shared" si="178"/>
        <v>-1.9459059167985722</v>
      </c>
    </row>
    <row r="1290" spans="1:13" x14ac:dyDescent="0.25">
      <c r="A1290" s="4">
        <v>1282</v>
      </c>
      <c r="B1290" s="4">
        <f t="shared" ref="B1290:B1353" si="180">INT($B$3+A1290/12)</f>
        <v>151</v>
      </c>
      <c r="C1290" s="4">
        <f t="shared" ref="C1290:C1353" si="181">$B$4+A1290</f>
        <v>1297</v>
      </c>
      <c r="D1290" s="4">
        <f>IF(B1290&gt;'Mortality Table'!$A$118,D1289,VLOOKUP(B1290,'Mortality Table'!$A$2:$B$118,2,FALSE))</f>
        <v>0.59733000000000003</v>
      </c>
      <c r="E1290" s="4">
        <f>IF(INT((C1290-1)/12)+1&gt;'Lapse Table'!$A$11,E1289,VLOOKUP(INT((C1290-1)/12)+1,'Lapse Table'!$A$2:$B$11,2,FALSE))/12</f>
        <v>0</v>
      </c>
      <c r="F1290" s="5">
        <f t="shared" si="179"/>
        <v>-37.50285486562084</v>
      </c>
      <c r="G1290" s="6">
        <f t="shared" ref="G1290:G1353" si="182">D1290/12*(1-0.5*E1290)</f>
        <v>4.9777500000000002E-2</v>
      </c>
      <c r="H1290" s="6">
        <f t="shared" ref="H1290:H1353" si="183">E1290*(1-0.5*D1290)</f>
        <v>0</v>
      </c>
      <c r="I1290" s="7">
        <f t="shared" ref="I1290:I1353" si="184">F1290*$B$5/12</f>
        <v>-1250.0951621873612</v>
      </c>
      <c r="J1290" s="8">
        <f t="shared" ref="J1290:J1353" si="185">$B$6*G1290</f>
        <v>49777.5</v>
      </c>
      <c r="K1290" s="7">
        <f t="shared" ref="K1290:K1353" si="186">I1290-J1290</f>
        <v>-51027.595162187361</v>
      </c>
      <c r="L1290" s="4">
        <f>IF(A1290&gt;'Yield Curve'!A1904,L1289,(1+VLOOKUP(A1290,'Yield Curve'!A1283:B1905,2,FALSE))^(1/12)-1)</f>
        <v>7.9741404289037643E-3</v>
      </c>
      <c r="M1290" s="5">
        <f t="shared" ref="M1290:M1353" si="187">K1290*(1+L1290)^-A1290</f>
        <v>-1.9305745209941678</v>
      </c>
    </row>
    <row r="1291" spans="1:13" x14ac:dyDescent="0.25">
      <c r="A1291" s="4">
        <v>1283</v>
      </c>
      <c r="B1291" s="4">
        <f t="shared" si="180"/>
        <v>151</v>
      </c>
      <c r="C1291" s="4">
        <f t="shared" si="181"/>
        <v>1298</v>
      </c>
      <c r="D1291" s="4">
        <f>IF(B1291&gt;'Mortality Table'!$A$118,D1290,VLOOKUP(B1291,'Mortality Table'!$A$2:$B$118,2,FALSE))</f>
        <v>0.59733000000000003</v>
      </c>
      <c r="E1291" s="4">
        <f>IF(INT((C1291-1)/12)+1&gt;'Lapse Table'!$A$11,E1290,VLOOKUP(INT((C1291-1)/12)+1,'Lapse Table'!$A$2:$B$11,2,FALSE))/12</f>
        <v>0</v>
      </c>
      <c r="F1291" s="5">
        <f t="shared" ref="F1291:F1354" si="188">F1290-G1291-H1291</f>
        <v>-37.552632365620838</v>
      </c>
      <c r="G1291" s="6">
        <f t="shared" si="182"/>
        <v>4.9777500000000002E-2</v>
      </c>
      <c r="H1291" s="6">
        <f t="shared" si="183"/>
        <v>0</v>
      </c>
      <c r="I1291" s="7">
        <f t="shared" si="184"/>
        <v>-1251.7544121873614</v>
      </c>
      <c r="J1291" s="8">
        <f t="shared" si="185"/>
        <v>49777.5</v>
      </c>
      <c r="K1291" s="7">
        <f t="shared" si="186"/>
        <v>-51029.254412187358</v>
      </c>
      <c r="L1291" s="4">
        <f>IF(A1291&gt;'Yield Curve'!A1905,L1290,(1+VLOOKUP(A1291,'Yield Curve'!A1284:B1906,2,FALSE))^(1/12)-1)</f>
        <v>7.9741404289037643E-3</v>
      </c>
      <c r="M1291" s="5">
        <f t="shared" si="187"/>
        <v>-1.9153639161049161</v>
      </c>
    </row>
    <row r="1292" spans="1:13" x14ac:dyDescent="0.25">
      <c r="A1292" s="4">
        <v>1284</v>
      </c>
      <c r="B1292" s="4">
        <f t="shared" si="180"/>
        <v>152</v>
      </c>
      <c r="C1292" s="4">
        <f t="shared" si="181"/>
        <v>1299</v>
      </c>
      <c r="D1292" s="4">
        <f>IF(B1292&gt;'Mortality Table'!$A$118,D1291,VLOOKUP(B1292,'Mortality Table'!$A$2:$B$118,2,FALSE))</f>
        <v>0.59733000000000003</v>
      </c>
      <c r="E1292" s="4">
        <f>IF(INT((C1292-1)/12)+1&gt;'Lapse Table'!$A$11,E1291,VLOOKUP(INT((C1292-1)/12)+1,'Lapse Table'!$A$2:$B$11,2,FALSE))/12</f>
        <v>0</v>
      </c>
      <c r="F1292" s="5">
        <f t="shared" si="188"/>
        <v>-37.602409865620835</v>
      </c>
      <c r="G1292" s="6">
        <f t="shared" si="182"/>
        <v>4.9777500000000002E-2</v>
      </c>
      <c r="H1292" s="6">
        <f t="shared" si="183"/>
        <v>0</v>
      </c>
      <c r="I1292" s="7">
        <f t="shared" si="184"/>
        <v>-1253.4136621873611</v>
      </c>
      <c r="J1292" s="8">
        <f t="shared" si="185"/>
        <v>49777.5</v>
      </c>
      <c r="K1292" s="7">
        <f t="shared" si="186"/>
        <v>-51030.913662187362</v>
      </c>
      <c r="L1292" s="4">
        <f>IF(A1292&gt;'Yield Curve'!A1906,L1291,(1+VLOOKUP(A1292,'Yield Curve'!A1285:B1907,2,FALSE))^(1/12)-1)</f>
        <v>7.9741404289037643E-3</v>
      </c>
      <c r="M1292" s="5">
        <f t="shared" si="187"/>
        <v>-1.9002731504758783</v>
      </c>
    </row>
    <row r="1293" spans="1:13" x14ac:dyDescent="0.25">
      <c r="A1293" s="4">
        <v>1285</v>
      </c>
      <c r="B1293" s="4">
        <f t="shared" si="180"/>
        <v>152</v>
      </c>
      <c r="C1293" s="4">
        <f t="shared" si="181"/>
        <v>1300</v>
      </c>
      <c r="D1293" s="4">
        <f>IF(B1293&gt;'Mortality Table'!$A$118,D1292,VLOOKUP(B1293,'Mortality Table'!$A$2:$B$118,2,FALSE))</f>
        <v>0.59733000000000003</v>
      </c>
      <c r="E1293" s="4">
        <f>IF(INT((C1293-1)/12)+1&gt;'Lapse Table'!$A$11,E1292,VLOOKUP(INT((C1293-1)/12)+1,'Lapse Table'!$A$2:$B$11,2,FALSE))/12</f>
        <v>0</v>
      </c>
      <c r="F1293" s="5">
        <f t="shared" si="188"/>
        <v>-37.652187365620833</v>
      </c>
      <c r="G1293" s="6">
        <f t="shared" si="182"/>
        <v>4.9777500000000002E-2</v>
      </c>
      <c r="H1293" s="6">
        <f t="shared" si="183"/>
        <v>0</v>
      </c>
      <c r="I1293" s="7">
        <f t="shared" si="184"/>
        <v>-1255.0729121873612</v>
      </c>
      <c r="J1293" s="8">
        <f t="shared" si="185"/>
        <v>49777.5</v>
      </c>
      <c r="K1293" s="7">
        <f t="shared" si="186"/>
        <v>-51032.572912187359</v>
      </c>
      <c r="L1293" s="4">
        <f>IF(A1293&gt;'Yield Curve'!A1907,L1292,(1+VLOOKUP(A1293,'Yield Curve'!A1286:B1908,2,FALSE))^(1/12)-1)</f>
        <v>7.9741404289037643E-3</v>
      </c>
      <c r="M1293" s="5">
        <f t="shared" si="187"/>
        <v>-1.885301279949628</v>
      </c>
    </row>
    <row r="1294" spans="1:13" x14ac:dyDescent="0.25">
      <c r="A1294" s="4">
        <v>1286</v>
      </c>
      <c r="B1294" s="4">
        <f t="shared" si="180"/>
        <v>152</v>
      </c>
      <c r="C1294" s="4">
        <f t="shared" si="181"/>
        <v>1301</v>
      </c>
      <c r="D1294" s="4">
        <f>IF(B1294&gt;'Mortality Table'!$A$118,D1293,VLOOKUP(B1294,'Mortality Table'!$A$2:$B$118,2,FALSE))</f>
        <v>0.59733000000000003</v>
      </c>
      <c r="E1294" s="4">
        <f>IF(INT((C1294-1)/12)+1&gt;'Lapse Table'!$A$11,E1293,VLOOKUP(INT((C1294-1)/12)+1,'Lapse Table'!$A$2:$B$11,2,FALSE))/12</f>
        <v>0</v>
      </c>
      <c r="F1294" s="5">
        <f t="shared" si="188"/>
        <v>-37.70196486562083</v>
      </c>
      <c r="G1294" s="6">
        <f t="shared" si="182"/>
        <v>4.9777500000000002E-2</v>
      </c>
      <c r="H1294" s="6">
        <f t="shared" si="183"/>
        <v>0</v>
      </c>
      <c r="I1294" s="7">
        <f t="shared" si="184"/>
        <v>-1256.7321621873609</v>
      </c>
      <c r="J1294" s="8">
        <f t="shared" si="185"/>
        <v>49777.5</v>
      </c>
      <c r="K1294" s="7">
        <f t="shared" si="186"/>
        <v>-51034.232162187363</v>
      </c>
      <c r="L1294" s="4">
        <f>IF(A1294&gt;'Yield Curve'!A1908,L1293,(1+VLOOKUP(A1294,'Yield Curve'!A1287:B1909,2,FALSE))^(1/12)-1)</f>
        <v>7.9741404289037643E-3</v>
      </c>
      <c r="M1294" s="5">
        <f t="shared" si="187"/>
        <v>-1.8704473678071905</v>
      </c>
    </row>
    <row r="1295" spans="1:13" x14ac:dyDescent="0.25">
      <c r="A1295" s="4">
        <v>1287</v>
      </c>
      <c r="B1295" s="4">
        <f t="shared" si="180"/>
        <v>152</v>
      </c>
      <c r="C1295" s="4">
        <f t="shared" si="181"/>
        <v>1302</v>
      </c>
      <c r="D1295" s="4">
        <f>IF(B1295&gt;'Mortality Table'!$A$118,D1294,VLOOKUP(B1295,'Mortality Table'!$A$2:$B$118,2,FALSE))</f>
        <v>0.59733000000000003</v>
      </c>
      <c r="E1295" s="4">
        <f>IF(INT((C1295-1)/12)+1&gt;'Lapse Table'!$A$11,E1294,VLOOKUP(INT((C1295-1)/12)+1,'Lapse Table'!$A$2:$B$11,2,FALSE))/12</f>
        <v>0</v>
      </c>
      <c r="F1295" s="5">
        <f t="shared" si="188"/>
        <v>-37.751742365620828</v>
      </c>
      <c r="G1295" s="6">
        <f t="shared" si="182"/>
        <v>4.9777500000000002E-2</v>
      </c>
      <c r="H1295" s="6">
        <f t="shared" si="183"/>
        <v>0</v>
      </c>
      <c r="I1295" s="7">
        <f t="shared" si="184"/>
        <v>-1258.3914121873611</v>
      </c>
      <c r="J1295" s="8">
        <f t="shared" si="185"/>
        <v>49777.5</v>
      </c>
      <c r="K1295" s="7">
        <f t="shared" si="186"/>
        <v>-51035.89141218736</v>
      </c>
      <c r="L1295" s="4">
        <f>IF(A1295&gt;'Yield Curve'!A1909,L1294,(1+VLOOKUP(A1295,'Yield Curve'!A1288:B1910,2,FALSE))^(1/12)-1)</f>
        <v>7.9741404289037643E-3</v>
      </c>
      <c r="M1295" s="5">
        <f t="shared" si="187"/>
        <v>-1.8557104847094319</v>
      </c>
    </row>
    <row r="1296" spans="1:13" x14ac:dyDescent="0.25">
      <c r="A1296" s="4">
        <v>1288</v>
      </c>
      <c r="B1296" s="4">
        <f t="shared" si="180"/>
        <v>152</v>
      </c>
      <c r="C1296" s="4">
        <f t="shared" si="181"/>
        <v>1303</v>
      </c>
      <c r="D1296" s="4">
        <f>IF(B1296&gt;'Mortality Table'!$A$118,D1295,VLOOKUP(B1296,'Mortality Table'!$A$2:$B$118,2,FALSE))</f>
        <v>0.59733000000000003</v>
      </c>
      <c r="E1296" s="4">
        <f>IF(INT((C1296-1)/12)+1&gt;'Lapse Table'!$A$11,E1295,VLOOKUP(INT((C1296-1)/12)+1,'Lapse Table'!$A$2:$B$11,2,FALSE))/12</f>
        <v>0</v>
      </c>
      <c r="F1296" s="5">
        <f t="shared" si="188"/>
        <v>-37.801519865620826</v>
      </c>
      <c r="G1296" s="6">
        <f t="shared" si="182"/>
        <v>4.9777500000000002E-2</v>
      </c>
      <c r="H1296" s="6">
        <f t="shared" si="183"/>
        <v>0</v>
      </c>
      <c r="I1296" s="7">
        <f t="shared" si="184"/>
        <v>-1260.0506621873608</v>
      </c>
      <c r="J1296" s="8">
        <f t="shared" si="185"/>
        <v>49777.5</v>
      </c>
      <c r="K1296" s="7">
        <f t="shared" si="186"/>
        <v>-51037.550662187357</v>
      </c>
      <c r="L1296" s="4">
        <f>IF(A1296&gt;'Yield Curve'!A1910,L1295,(1+VLOOKUP(A1296,'Yield Curve'!A1289:B1911,2,FALSE))^(1/12)-1)</f>
        <v>7.9741404289037643E-3</v>
      </c>
      <c r="M1296" s="5">
        <f t="shared" si="187"/>
        <v>-1.8410897086389264</v>
      </c>
    </row>
    <row r="1297" spans="1:13" x14ac:dyDescent="0.25">
      <c r="A1297" s="4">
        <v>1289</v>
      </c>
      <c r="B1297" s="4">
        <f t="shared" si="180"/>
        <v>152</v>
      </c>
      <c r="C1297" s="4">
        <f t="shared" si="181"/>
        <v>1304</v>
      </c>
      <c r="D1297" s="4">
        <f>IF(B1297&gt;'Mortality Table'!$A$118,D1296,VLOOKUP(B1297,'Mortality Table'!$A$2:$B$118,2,FALSE))</f>
        <v>0.59733000000000003</v>
      </c>
      <c r="E1297" s="4">
        <f>IF(INT((C1297-1)/12)+1&gt;'Lapse Table'!$A$11,E1296,VLOOKUP(INT((C1297-1)/12)+1,'Lapse Table'!$A$2:$B$11,2,FALSE))/12</f>
        <v>0</v>
      </c>
      <c r="F1297" s="5">
        <f t="shared" si="188"/>
        <v>-37.851297365620823</v>
      </c>
      <c r="G1297" s="6">
        <f t="shared" si="182"/>
        <v>4.9777500000000002E-2</v>
      </c>
      <c r="H1297" s="6">
        <f t="shared" si="183"/>
        <v>0</v>
      </c>
      <c r="I1297" s="7">
        <f t="shared" si="184"/>
        <v>-1261.7099121873607</v>
      </c>
      <c r="J1297" s="8">
        <f t="shared" si="185"/>
        <v>49777.5</v>
      </c>
      <c r="K1297" s="7">
        <f t="shared" si="186"/>
        <v>-51039.209912187362</v>
      </c>
      <c r="L1297" s="4">
        <f>IF(A1297&gt;'Yield Curve'!A1911,L1296,(1+VLOOKUP(A1297,'Yield Curve'!A1290:B1912,2,FALSE))^(1/12)-1)</f>
        <v>7.9741404289037643E-3</v>
      </c>
      <c r="M1297" s="5">
        <f t="shared" si="187"/>
        <v>-1.826584124842271</v>
      </c>
    </row>
    <row r="1298" spans="1:13" x14ac:dyDescent="0.25">
      <c r="A1298" s="4">
        <v>1290</v>
      </c>
      <c r="B1298" s="4">
        <f t="shared" si="180"/>
        <v>152</v>
      </c>
      <c r="C1298" s="4">
        <f t="shared" si="181"/>
        <v>1305</v>
      </c>
      <c r="D1298" s="4">
        <f>IF(B1298&gt;'Mortality Table'!$A$118,D1297,VLOOKUP(B1298,'Mortality Table'!$A$2:$B$118,2,FALSE))</f>
        <v>0.59733000000000003</v>
      </c>
      <c r="E1298" s="4">
        <f>IF(INT((C1298-1)/12)+1&gt;'Lapse Table'!$A$11,E1297,VLOOKUP(INT((C1298-1)/12)+1,'Lapse Table'!$A$2:$B$11,2,FALSE))/12</f>
        <v>0</v>
      </c>
      <c r="F1298" s="5">
        <f t="shared" si="188"/>
        <v>-37.901074865620821</v>
      </c>
      <c r="G1298" s="6">
        <f t="shared" si="182"/>
        <v>4.9777500000000002E-2</v>
      </c>
      <c r="H1298" s="6">
        <f t="shared" si="183"/>
        <v>0</v>
      </c>
      <c r="I1298" s="7">
        <f t="shared" si="184"/>
        <v>-1263.3691621873606</v>
      </c>
      <c r="J1298" s="8">
        <f t="shared" si="185"/>
        <v>49777.5</v>
      </c>
      <c r="K1298" s="7">
        <f t="shared" si="186"/>
        <v>-51040.869162187359</v>
      </c>
      <c r="L1298" s="4">
        <f>IF(A1298&gt;'Yield Curve'!A1912,L1297,(1+VLOOKUP(A1298,'Yield Curve'!A1291:B1913,2,FALSE))^(1/12)-1)</f>
        <v>7.9741404289037643E-3</v>
      </c>
      <c r="M1298" s="5">
        <f t="shared" si="187"/>
        <v>-1.8121928257728563</v>
      </c>
    </row>
    <row r="1299" spans="1:13" x14ac:dyDescent="0.25">
      <c r="A1299" s="4">
        <v>1291</v>
      </c>
      <c r="B1299" s="4">
        <f t="shared" si="180"/>
        <v>152</v>
      </c>
      <c r="C1299" s="4">
        <f t="shared" si="181"/>
        <v>1306</v>
      </c>
      <c r="D1299" s="4">
        <f>IF(B1299&gt;'Mortality Table'!$A$118,D1298,VLOOKUP(B1299,'Mortality Table'!$A$2:$B$118,2,FALSE))</f>
        <v>0.59733000000000003</v>
      </c>
      <c r="E1299" s="4">
        <f>IF(INT((C1299-1)/12)+1&gt;'Lapse Table'!$A$11,E1298,VLOOKUP(INT((C1299-1)/12)+1,'Lapse Table'!$A$2:$B$11,2,FALSE))/12</f>
        <v>0</v>
      </c>
      <c r="F1299" s="5">
        <f t="shared" si="188"/>
        <v>-37.950852365620818</v>
      </c>
      <c r="G1299" s="6">
        <f t="shared" si="182"/>
        <v>4.9777500000000002E-2</v>
      </c>
      <c r="H1299" s="6">
        <f t="shared" si="183"/>
        <v>0</v>
      </c>
      <c r="I1299" s="7">
        <f t="shared" si="184"/>
        <v>-1265.0284121873606</v>
      </c>
      <c r="J1299" s="8">
        <f t="shared" si="185"/>
        <v>49777.5</v>
      </c>
      <c r="K1299" s="7">
        <f t="shared" si="186"/>
        <v>-51042.528412187363</v>
      </c>
      <c r="L1299" s="4">
        <f>IF(A1299&gt;'Yield Curve'!A1913,L1298,(1+VLOOKUP(A1299,'Yield Curve'!A1292:B1914,2,FALSE))^(1/12)-1)</f>
        <v>7.9741404289037643E-3</v>
      </c>
      <c r="M1299" s="5">
        <f t="shared" si="187"/>
        <v>-1.797914911034092</v>
      </c>
    </row>
    <row r="1300" spans="1:13" x14ac:dyDescent="0.25">
      <c r="A1300" s="4">
        <v>1292</v>
      </c>
      <c r="B1300" s="4">
        <f t="shared" si="180"/>
        <v>152</v>
      </c>
      <c r="C1300" s="4">
        <f t="shared" si="181"/>
        <v>1307</v>
      </c>
      <c r="D1300" s="4">
        <f>IF(B1300&gt;'Mortality Table'!$A$118,D1299,VLOOKUP(B1300,'Mortality Table'!$A$2:$B$118,2,FALSE))</f>
        <v>0.59733000000000003</v>
      </c>
      <c r="E1300" s="4">
        <f>IF(INT((C1300-1)/12)+1&gt;'Lapse Table'!$A$11,E1299,VLOOKUP(INT((C1300-1)/12)+1,'Lapse Table'!$A$2:$B$11,2,FALSE))/12</f>
        <v>0</v>
      </c>
      <c r="F1300" s="5">
        <f t="shared" si="188"/>
        <v>-38.000629865620816</v>
      </c>
      <c r="G1300" s="6">
        <f t="shared" si="182"/>
        <v>4.9777500000000002E-2</v>
      </c>
      <c r="H1300" s="6">
        <f t="shared" si="183"/>
        <v>0</v>
      </c>
      <c r="I1300" s="7">
        <f t="shared" si="184"/>
        <v>-1266.6876621873605</v>
      </c>
      <c r="J1300" s="8">
        <f t="shared" si="185"/>
        <v>49777.5</v>
      </c>
      <c r="K1300" s="7">
        <f t="shared" si="186"/>
        <v>-51044.18766218736</v>
      </c>
      <c r="L1300" s="4">
        <f>IF(A1300&gt;'Yield Curve'!A1914,L1299,(1+VLOOKUP(A1300,'Yield Curve'!A1293:B1915,2,FALSE))^(1/12)-1)</f>
        <v>7.9741404289037643E-3</v>
      </c>
      <c r="M1300" s="5">
        <f t="shared" si="187"/>
        <v>-1.7837494873230739</v>
      </c>
    </row>
    <row r="1301" spans="1:13" x14ac:dyDescent="0.25">
      <c r="A1301" s="4">
        <v>1293</v>
      </c>
      <c r="B1301" s="4">
        <f t="shared" si="180"/>
        <v>152</v>
      </c>
      <c r="C1301" s="4">
        <f t="shared" si="181"/>
        <v>1308</v>
      </c>
      <c r="D1301" s="4">
        <f>IF(B1301&gt;'Mortality Table'!$A$118,D1300,VLOOKUP(B1301,'Mortality Table'!$A$2:$B$118,2,FALSE))</f>
        <v>0.59733000000000003</v>
      </c>
      <c r="E1301" s="4">
        <f>IF(INT((C1301-1)/12)+1&gt;'Lapse Table'!$A$11,E1300,VLOOKUP(INT((C1301-1)/12)+1,'Lapse Table'!$A$2:$B$11,2,FALSE))/12</f>
        <v>0</v>
      </c>
      <c r="F1301" s="5">
        <f t="shared" si="188"/>
        <v>-38.050407365620813</v>
      </c>
      <c r="G1301" s="6">
        <f t="shared" si="182"/>
        <v>4.9777500000000002E-2</v>
      </c>
      <c r="H1301" s="6">
        <f t="shared" si="183"/>
        <v>0</v>
      </c>
      <c r="I1301" s="7">
        <f t="shared" si="184"/>
        <v>-1268.3469121873604</v>
      </c>
      <c r="J1301" s="8">
        <f t="shared" si="185"/>
        <v>49777.5</v>
      </c>
      <c r="K1301" s="7">
        <f t="shared" si="186"/>
        <v>-51045.846912187364</v>
      </c>
      <c r="L1301" s="4">
        <f>IF(A1301&gt;'Yield Curve'!A1915,L1300,(1+VLOOKUP(A1301,'Yield Curve'!A1294:B1916,2,FALSE))^(1/12)-1)</f>
        <v>7.9741404289037643E-3</v>
      </c>
      <c r="M1301" s="5">
        <f t="shared" si="187"/>
        <v>-1.7696956683747029</v>
      </c>
    </row>
    <row r="1302" spans="1:13" x14ac:dyDescent="0.25">
      <c r="A1302" s="4">
        <v>1294</v>
      </c>
      <c r="B1302" s="4">
        <f t="shared" si="180"/>
        <v>152</v>
      </c>
      <c r="C1302" s="4">
        <f t="shared" si="181"/>
        <v>1309</v>
      </c>
      <c r="D1302" s="4">
        <f>IF(B1302&gt;'Mortality Table'!$A$118,D1301,VLOOKUP(B1302,'Mortality Table'!$A$2:$B$118,2,FALSE))</f>
        <v>0.59733000000000003</v>
      </c>
      <c r="E1302" s="4">
        <f>IF(INT((C1302-1)/12)+1&gt;'Lapse Table'!$A$11,E1301,VLOOKUP(INT((C1302-1)/12)+1,'Lapse Table'!$A$2:$B$11,2,FALSE))/12</f>
        <v>0</v>
      </c>
      <c r="F1302" s="5">
        <f t="shared" si="188"/>
        <v>-38.100184865620811</v>
      </c>
      <c r="G1302" s="6">
        <f t="shared" si="182"/>
        <v>4.9777500000000002E-2</v>
      </c>
      <c r="H1302" s="6">
        <f t="shared" si="183"/>
        <v>0</v>
      </c>
      <c r="I1302" s="7">
        <f t="shared" si="184"/>
        <v>-1270.0061621873604</v>
      </c>
      <c r="J1302" s="8">
        <f t="shared" si="185"/>
        <v>49777.5</v>
      </c>
      <c r="K1302" s="7">
        <f t="shared" si="186"/>
        <v>-51047.506162187361</v>
      </c>
      <c r="L1302" s="4">
        <f>IF(A1302&gt;'Yield Curve'!A1916,L1301,(1+VLOOKUP(A1302,'Yield Curve'!A1295:B1917,2,FALSE))^(1/12)-1)</f>
        <v>7.9741404289037643E-3</v>
      </c>
      <c r="M1302" s="5">
        <f t="shared" si="187"/>
        <v>-1.7557525749062339</v>
      </c>
    </row>
    <row r="1303" spans="1:13" x14ac:dyDescent="0.25">
      <c r="A1303" s="4">
        <v>1295</v>
      </c>
      <c r="B1303" s="4">
        <f t="shared" si="180"/>
        <v>152</v>
      </c>
      <c r="C1303" s="4">
        <f t="shared" si="181"/>
        <v>1310</v>
      </c>
      <c r="D1303" s="4">
        <f>IF(B1303&gt;'Mortality Table'!$A$118,D1302,VLOOKUP(B1303,'Mortality Table'!$A$2:$B$118,2,FALSE))</f>
        <v>0.59733000000000003</v>
      </c>
      <c r="E1303" s="4">
        <f>IF(INT((C1303-1)/12)+1&gt;'Lapse Table'!$A$11,E1302,VLOOKUP(INT((C1303-1)/12)+1,'Lapse Table'!$A$2:$B$11,2,FALSE))/12</f>
        <v>0</v>
      </c>
      <c r="F1303" s="5">
        <f t="shared" si="188"/>
        <v>-38.149962365620809</v>
      </c>
      <c r="G1303" s="6">
        <f t="shared" si="182"/>
        <v>4.9777500000000002E-2</v>
      </c>
      <c r="H1303" s="6">
        <f t="shared" si="183"/>
        <v>0</v>
      </c>
      <c r="I1303" s="7">
        <f t="shared" si="184"/>
        <v>-1271.6654121873603</v>
      </c>
      <c r="J1303" s="8">
        <f t="shared" si="185"/>
        <v>49777.5</v>
      </c>
      <c r="K1303" s="7">
        <f t="shared" si="186"/>
        <v>-51049.165412187358</v>
      </c>
      <c r="L1303" s="4">
        <f>IF(A1303&gt;'Yield Curve'!A1917,L1302,(1+VLOOKUP(A1303,'Yield Curve'!A1296:B1918,2,FALSE))^(1/12)-1)</f>
        <v>7.9741404289037643E-3</v>
      </c>
      <c r="M1303" s="5">
        <f t="shared" si="187"/>
        <v>-1.7419193345622701</v>
      </c>
    </row>
    <row r="1304" spans="1:13" x14ac:dyDescent="0.25">
      <c r="A1304" s="4">
        <v>1296</v>
      </c>
      <c r="B1304" s="4">
        <f t="shared" si="180"/>
        <v>153</v>
      </c>
      <c r="C1304" s="4">
        <f t="shared" si="181"/>
        <v>1311</v>
      </c>
      <c r="D1304" s="4">
        <f>IF(B1304&gt;'Mortality Table'!$A$118,D1303,VLOOKUP(B1304,'Mortality Table'!$A$2:$B$118,2,FALSE))</f>
        <v>0.59733000000000003</v>
      </c>
      <c r="E1304" s="4">
        <f>IF(INT((C1304-1)/12)+1&gt;'Lapse Table'!$A$11,E1303,VLOOKUP(INT((C1304-1)/12)+1,'Lapse Table'!$A$2:$B$11,2,FALSE))/12</f>
        <v>0</v>
      </c>
      <c r="F1304" s="5">
        <f t="shared" si="188"/>
        <v>-38.199739865620806</v>
      </c>
      <c r="G1304" s="6">
        <f t="shared" si="182"/>
        <v>4.9777500000000002E-2</v>
      </c>
      <c r="H1304" s="6">
        <f t="shared" si="183"/>
        <v>0</v>
      </c>
      <c r="I1304" s="7">
        <f t="shared" si="184"/>
        <v>-1273.3246621873602</v>
      </c>
      <c r="J1304" s="8">
        <f t="shared" si="185"/>
        <v>49777.5</v>
      </c>
      <c r="K1304" s="7">
        <f t="shared" si="186"/>
        <v>-51050.824662187362</v>
      </c>
      <c r="L1304" s="4">
        <f>IF(A1304&gt;'Yield Curve'!A1918,L1303,(1+VLOOKUP(A1304,'Yield Curve'!A1297:B1919,2,FALSE))^(1/12)-1)</f>
        <v>7.9741404289037643E-3</v>
      </c>
      <c r="M1304" s="5">
        <f t="shared" si="187"/>
        <v>-1.7281950818601861</v>
      </c>
    </row>
    <row r="1305" spans="1:13" x14ac:dyDescent="0.25">
      <c r="A1305" s="4">
        <v>1297</v>
      </c>
      <c r="B1305" s="4">
        <f t="shared" si="180"/>
        <v>153</v>
      </c>
      <c r="C1305" s="4">
        <f t="shared" si="181"/>
        <v>1312</v>
      </c>
      <c r="D1305" s="4">
        <f>IF(B1305&gt;'Mortality Table'!$A$118,D1304,VLOOKUP(B1305,'Mortality Table'!$A$2:$B$118,2,FALSE))</f>
        <v>0.59733000000000003</v>
      </c>
      <c r="E1305" s="4">
        <f>IF(INT((C1305-1)/12)+1&gt;'Lapse Table'!$A$11,E1304,VLOOKUP(INT((C1305-1)/12)+1,'Lapse Table'!$A$2:$B$11,2,FALSE))/12</f>
        <v>0</v>
      </c>
      <c r="F1305" s="5">
        <f t="shared" si="188"/>
        <v>-38.249517365620804</v>
      </c>
      <c r="G1305" s="6">
        <f t="shared" si="182"/>
        <v>4.9777500000000002E-2</v>
      </c>
      <c r="H1305" s="6">
        <f t="shared" si="183"/>
        <v>0</v>
      </c>
      <c r="I1305" s="7">
        <f t="shared" si="184"/>
        <v>-1274.9839121873601</v>
      </c>
      <c r="J1305" s="8">
        <f t="shared" si="185"/>
        <v>49777.5</v>
      </c>
      <c r="K1305" s="7">
        <f t="shared" si="186"/>
        <v>-51052.483912187359</v>
      </c>
      <c r="L1305" s="4">
        <f>IF(A1305&gt;'Yield Curve'!A1919,L1304,(1+VLOOKUP(A1305,'Yield Curve'!A1298:B1920,2,FALSE))^(1/12)-1)</f>
        <v>7.9741404289037643E-3</v>
      </c>
      <c r="M1305" s="5">
        <f t="shared" si="187"/>
        <v>-1.7145789581359849</v>
      </c>
    </row>
    <row r="1306" spans="1:13" x14ac:dyDescent="0.25">
      <c r="A1306" s="4">
        <v>1298</v>
      </c>
      <c r="B1306" s="4">
        <f t="shared" si="180"/>
        <v>153</v>
      </c>
      <c r="C1306" s="4">
        <f t="shared" si="181"/>
        <v>1313</v>
      </c>
      <c r="D1306" s="4">
        <f>IF(B1306&gt;'Mortality Table'!$A$118,D1305,VLOOKUP(B1306,'Mortality Table'!$A$2:$B$118,2,FALSE))</f>
        <v>0.59733000000000003</v>
      </c>
      <c r="E1306" s="4">
        <f>IF(INT((C1306-1)/12)+1&gt;'Lapse Table'!$A$11,E1305,VLOOKUP(INT((C1306-1)/12)+1,'Lapse Table'!$A$2:$B$11,2,FALSE))/12</f>
        <v>0</v>
      </c>
      <c r="F1306" s="5">
        <f t="shared" si="188"/>
        <v>-38.299294865620801</v>
      </c>
      <c r="G1306" s="6">
        <f t="shared" si="182"/>
        <v>4.9777500000000002E-2</v>
      </c>
      <c r="H1306" s="6">
        <f t="shared" si="183"/>
        <v>0</v>
      </c>
      <c r="I1306" s="7">
        <f t="shared" si="184"/>
        <v>-1276.6431621873601</v>
      </c>
      <c r="J1306" s="8">
        <f t="shared" si="185"/>
        <v>49777.5</v>
      </c>
      <c r="K1306" s="7">
        <f t="shared" si="186"/>
        <v>-51054.143162187363</v>
      </c>
      <c r="L1306" s="4">
        <f>IF(A1306&gt;'Yield Curve'!A1920,L1305,(1+VLOOKUP(A1306,'Yield Curve'!A1299:B1921,2,FALSE))^(1/12)-1)</f>
        <v>7.9741404289037643E-3</v>
      </c>
      <c r="M1306" s="5">
        <f t="shared" si="187"/>
        <v>-1.7010701114905755</v>
      </c>
    </row>
    <row r="1307" spans="1:13" x14ac:dyDescent="0.25">
      <c r="A1307" s="4">
        <v>1299</v>
      </c>
      <c r="B1307" s="4">
        <f t="shared" si="180"/>
        <v>153</v>
      </c>
      <c r="C1307" s="4">
        <f t="shared" si="181"/>
        <v>1314</v>
      </c>
      <c r="D1307" s="4">
        <f>IF(B1307&gt;'Mortality Table'!$A$118,D1306,VLOOKUP(B1307,'Mortality Table'!$A$2:$B$118,2,FALSE))</f>
        <v>0.59733000000000003</v>
      </c>
      <c r="E1307" s="4">
        <f>IF(INT((C1307-1)/12)+1&gt;'Lapse Table'!$A$11,E1306,VLOOKUP(INT((C1307-1)/12)+1,'Lapse Table'!$A$2:$B$11,2,FALSE))/12</f>
        <v>0</v>
      </c>
      <c r="F1307" s="5">
        <f t="shared" si="188"/>
        <v>-38.349072365620799</v>
      </c>
      <c r="G1307" s="6">
        <f t="shared" si="182"/>
        <v>4.9777500000000002E-2</v>
      </c>
      <c r="H1307" s="6">
        <f t="shared" si="183"/>
        <v>0</v>
      </c>
      <c r="I1307" s="7">
        <f t="shared" si="184"/>
        <v>-1278.30241218736</v>
      </c>
      <c r="J1307" s="8">
        <f t="shared" si="185"/>
        <v>49777.5</v>
      </c>
      <c r="K1307" s="7">
        <f t="shared" si="186"/>
        <v>-51055.80241218736</v>
      </c>
      <c r="L1307" s="4">
        <f>IF(A1307&gt;'Yield Curve'!A1921,L1306,(1+VLOOKUP(A1307,'Yield Curve'!A1300:B1922,2,FALSE))^(1/12)-1)</f>
        <v>7.9741404289037643E-3</v>
      </c>
      <c r="M1307" s="5">
        <f t="shared" si="187"/>
        <v>-1.6876676967364781</v>
      </c>
    </row>
    <row r="1308" spans="1:13" x14ac:dyDescent="0.25">
      <c r="A1308" s="4">
        <v>1300</v>
      </c>
      <c r="B1308" s="4">
        <f t="shared" si="180"/>
        <v>153</v>
      </c>
      <c r="C1308" s="4">
        <f t="shared" si="181"/>
        <v>1315</v>
      </c>
      <c r="D1308" s="4">
        <f>IF(B1308&gt;'Mortality Table'!$A$118,D1307,VLOOKUP(B1308,'Mortality Table'!$A$2:$B$118,2,FALSE))</f>
        <v>0.59733000000000003</v>
      </c>
      <c r="E1308" s="4">
        <f>IF(INT((C1308-1)/12)+1&gt;'Lapse Table'!$A$11,E1307,VLOOKUP(INT((C1308-1)/12)+1,'Lapse Table'!$A$2:$B$11,2,FALSE))/12</f>
        <v>0</v>
      </c>
      <c r="F1308" s="5">
        <f t="shared" si="188"/>
        <v>-38.398849865620797</v>
      </c>
      <c r="G1308" s="6">
        <f t="shared" si="182"/>
        <v>4.9777500000000002E-2</v>
      </c>
      <c r="H1308" s="6">
        <f t="shared" si="183"/>
        <v>0</v>
      </c>
      <c r="I1308" s="7">
        <f t="shared" si="184"/>
        <v>-1279.9616621873599</v>
      </c>
      <c r="J1308" s="8">
        <f t="shared" si="185"/>
        <v>49777.5</v>
      </c>
      <c r="K1308" s="7">
        <f t="shared" si="186"/>
        <v>-51057.461662187357</v>
      </c>
      <c r="L1308" s="4">
        <f>IF(A1308&gt;'Yield Curve'!A1922,L1307,(1+VLOOKUP(A1308,'Yield Curve'!A1301:B1923,2,FALSE))^(1/12)-1)</f>
        <v>7.9741404289037643E-3</v>
      </c>
      <c r="M1308" s="5">
        <f t="shared" si="187"/>
        <v>-1.674370875344948</v>
      </c>
    </row>
    <row r="1309" spans="1:13" x14ac:dyDescent="0.25">
      <c r="A1309" s="4">
        <v>1301</v>
      </c>
      <c r="B1309" s="4">
        <f t="shared" si="180"/>
        <v>153</v>
      </c>
      <c r="C1309" s="4">
        <f t="shared" si="181"/>
        <v>1316</v>
      </c>
      <c r="D1309" s="4">
        <f>IF(B1309&gt;'Mortality Table'!$A$118,D1308,VLOOKUP(B1309,'Mortality Table'!$A$2:$B$118,2,FALSE))</f>
        <v>0.59733000000000003</v>
      </c>
      <c r="E1309" s="4">
        <f>IF(INT((C1309-1)/12)+1&gt;'Lapse Table'!$A$11,E1308,VLOOKUP(INT((C1309-1)/12)+1,'Lapse Table'!$A$2:$B$11,2,FALSE))/12</f>
        <v>0</v>
      </c>
      <c r="F1309" s="5">
        <f t="shared" si="188"/>
        <v>-38.448627365620794</v>
      </c>
      <c r="G1309" s="6">
        <f t="shared" si="182"/>
        <v>4.9777500000000002E-2</v>
      </c>
      <c r="H1309" s="6">
        <f t="shared" si="183"/>
        <v>0</v>
      </c>
      <c r="I1309" s="7">
        <f t="shared" si="184"/>
        <v>-1281.6209121873599</v>
      </c>
      <c r="J1309" s="8">
        <f t="shared" si="185"/>
        <v>49777.5</v>
      </c>
      <c r="K1309" s="7">
        <f t="shared" si="186"/>
        <v>-51059.120912187362</v>
      </c>
      <c r="L1309" s="4">
        <f>IF(A1309&gt;'Yield Curve'!A1923,L1308,(1+VLOOKUP(A1309,'Yield Curve'!A1302:B1924,2,FALSE))^(1/12)-1)</f>
        <v>7.9741404289037643E-3</v>
      </c>
      <c r="M1309" s="5">
        <f t="shared" si="187"/>
        <v>-1.6611788153935187</v>
      </c>
    </row>
    <row r="1310" spans="1:13" x14ac:dyDescent="0.25">
      <c r="A1310" s="4">
        <v>1302</v>
      </c>
      <c r="B1310" s="4">
        <f t="shared" si="180"/>
        <v>153</v>
      </c>
      <c r="C1310" s="4">
        <f t="shared" si="181"/>
        <v>1317</v>
      </c>
      <c r="D1310" s="4">
        <f>IF(B1310&gt;'Mortality Table'!$A$118,D1309,VLOOKUP(B1310,'Mortality Table'!$A$2:$B$118,2,FALSE))</f>
        <v>0.59733000000000003</v>
      </c>
      <c r="E1310" s="4">
        <f>IF(INT((C1310-1)/12)+1&gt;'Lapse Table'!$A$11,E1309,VLOOKUP(INT((C1310-1)/12)+1,'Lapse Table'!$A$2:$B$11,2,FALSE))/12</f>
        <v>0</v>
      </c>
      <c r="F1310" s="5">
        <f t="shared" si="188"/>
        <v>-38.498404865620792</v>
      </c>
      <c r="G1310" s="6">
        <f t="shared" si="182"/>
        <v>4.9777500000000002E-2</v>
      </c>
      <c r="H1310" s="6">
        <f t="shared" si="183"/>
        <v>0</v>
      </c>
      <c r="I1310" s="7">
        <f t="shared" si="184"/>
        <v>-1283.2801621873598</v>
      </c>
      <c r="J1310" s="8">
        <f t="shared" si="185"/>
        <v>49777.5</v>
      </c>
      <c r="K1310" s="7">
        <f t="shared" si="186"/>
        <v>-51060.780162187359</v>
      </c>
      <c r="L1310" s="4">
        <f>IF(A1310&gt;'Yield Curve'!A1924,L1309,(1+VLOOKUP(A1310,'Yield Curve'!A1303:B1925,2,FALSE))^(1/12)-1)</f>
        <v>7.9741404289037643E-3</v>
      </c>
      <c r="M1310" s="5">
        <f t="shared" si="187"/>
        <v>-1.6480906915139542</v>
      </c>
    </row>
    <row r="1311" spans="1:13" x14ac:dyDescent="0.25">
      <c r="A1311" s="4">
        <v>1303</v>
      </c>
      <c r="B1311" s="4">
        <f t="shared" si="180"/>
        <v>153</v>
      </c>
      <c r="C1311" s="4">
        <f t="shared" si="181"/>
        <v>1318</v>
      </c>
      <c r="D1311" s="4">
        <f>IF(B1311&gt;'Mortality Table'!$A$118,D1310,VLOOKUP(B1311,'Mortality Table'!$A$2:$B$118,2,FALSE))</f>
        <v>0.59733000000000003</v>
      </c>
      <c r="E1311" s="4">
        <f>IF(INT((C1311-1)/12)+1&gt;'Lapse Table'!$A$11,E1310,VLOOKUP(INT((C1311-1)/12)+1,'Lapse Table'!$A$2:$B$11,2,FALSE))/12</f>
        <v>0</v>
      </c>
      <c r="F1311" s="5">
        <f t="shared" si="188"/>
        <v>-38.548182365620789</v>
      </c>
      <c r="G1311" s="6">
        <f t="shared" si="182"/>
        <v>4.9777500000000002E-2</v>
      </c>
      <c r="H1311" s="6">
        <f t="shared" si="183"/>
        <v>0</v>
      </c>
      <c r="I1311" s="7">
        <f t="shared" si="184"/>
        <v>-1284.9394121873595</v>
      </c>
      <c r="J1311" s="8">
        <f t="shared" si="185"/>
        <v>49777.5</v>
      </c>
      <c r="K1311" s="7">
        <f t="shared" si="186"/>
        <v>-51062.439412187363</v>
      </c>
      <c r="L1311" s="4">
        <f>IF(A1311&gt;'Yield Curve'!A1925,L1310,(1+VLOOKUP(A1311,'Yield Curve'!A1304:B1926,2,FALSE))^(1/12)-1)</f>
        <v>7.9741404289037643E-3</v>
      </c>
      <c r="M1311" s="5">
        <f t="shared" si="187"/>
        <v>-1.6351056848406105</v>
      </c>
    </row>
    <row r="1312" spans="1:13" x14ac:dyDescent="0.25">
      <c r="A1312" s="4">
        <v>1304</v>
      </c>
      <c r="B1312" s="4">
        <f t="shared" si="180"/>
        <v>153</v>
      </c>
      <c r="C1312" s="4">
        <f t="shared" si="181"/>
        <v>1319</v>
      </c>
      <c r="D1312" s="4">
        <f>IF(B1312&gt;'Mortality Table'!$A$118,D1311,VLOOKUP(B1312,'Mortality Table'!$A$2:$B$118,2,FALSE))</f>
        <v>0.59733000000000003</v>
      </c>
      <c r="E1312" s="4">
        <f>IF(INT((C1312-1)/12)+1&gt;'Lapse Table'!$A$11,E1311,VLOOKUP(INT((C1312-1)/12)+1,'Lapse Table'!$A$2:$B$11,2,FALSE))/12</f>
        <v>0</v>
      </c>
      <c r="F1312" s="5">
        <f t="shared" si="188"/>
        <v>-38.597959865620787</v>
      </c>
      <c r="G1312" s="6">
        <f t="shared" si="182"/>
        <v>4.9777500000000002E-2</v>
      </c>
      <c r="H1312" s="6">
        <f t="shared" si="183"/>
        <v>0</v>
      </c>
      <c r="I1312" s="7">
        <f t="shared" si="184"/>
        <v>-1286.5986621873597</v>
      </c>
      <c r="J1312" s="8">
        <f t="shared" si="185"/>
        <v>49777.5</v>
      </c>
      <c r="K1312" s="7">
        <f t="shared" si="186"/>
        <v>-51064.09866218736</v>
      </c>
      <c r="L1312" s="4">
        <f>IF(A1312&gt;'Yield Curve'!A1926,L1311,(1+VLOOKUP(A1312,'Yield Curve'!A1305:B1927,2,FALSE))^(1/12)-1)</f>
        <v>7.9741404289037643E-3</v>
      </c>
      <c r="M1312" s="5">
        <f t="shared" si="187"/>
        <v>-1.6222229829592085</v>
      </c>
    </row>
    <row r="1313" spans="1:13" x14ac:dyDescent="0.25">
      <c r="A1313" s="4">
        <v>1305</v>
      </c>
      <c r="B1313" s="4">
        <f t="shared" si="180"/>
        <v>153</v>
      </c>
      <c r="C1313" s="4">
        <f t="shared" si="181"/>
        <v>1320</v>
      </c>
      <c r="D1313" s="4">
        <f>IF(B1313&gt;'Mortality Table'!$A$118,D1312,VLOOKUP(B1313,'Mortality Table'!$A$2:$B$118,2,FALSE))</f>
        <v>0.59733000000000003</v>
      </c>
      <c r="E1313" s="4">
        <f>IF(INT((C1313-1)/12)+1&gt;'Lapse Table'!$A$11,E1312,VLOOKUP(INT((C1313-1)/12)+1,'Lapse Table'!$A$2:$B$11,2,FALSE))/12</f>
        <v>0</v>
      </c>
      <c r="F1313" s="5">
        <f t="shared" si="188"/>
        <v>-38.647737365620785</v>
      </c>
      <c r="G1313" s="6">
        <f t="shared" si="182"/>
        <v>4.9777500000000002E-2</v>
      </c>
      <c r="H1313" s="6">
        <f t="shared" si="183"/>
        <v>0</v>
      </c>
      <c r="I1313" s="7">
        <f t="shared" si="184"/>
        <v>-1288.2579121873594</v>
      </c>
      <c r="J1313" s="8">
        <f t="shared" si="185"/>
        <v>49777.5</v>
      </c>
      <c r="K1313" s="7">
        <f t="shared" si="186"/>
        <v>-51065.757912187357</v>
      </c>
      <c r="L1313" s="4">
        <f>IF(A1313&gt;'Yield Curve'!A1927,L1312,(1+VLOOKUP(A1313,'Yield Curve'!A1306:B1928,2,FALSE))^(1/12)-1)</f>
        <v>7.9741404289037643E-3</v>
      </c>
      <c r="M1313" s="5">
        <f t="shared" si="187"/>
        <v>-1.6094417798560112</v>
      </c>
    </row>
    <row r="1314" spans="1:13" x14ac:dyDescent="0.25">
      <c r="A1314" s="4">
        <v>1306</v>
      </c>
      <c r="B1314" s="4">
        <f t="shared" si="180"/>
        <v>153</v>
      </c>
      <c r="C1314" s="4">
        <f t="shared" si="181"/>
        <v>1321</v>
      </c>
      <c r="D1314" s="4">
        <f>IF(B1314&gt;'Mortality Table'!$A$118,D1313,VLOOKUP(B1314,'Mortality Table'!$A$2:$B$118,2,FALSE))</f>
        <v>0.59733000000000003</v>
      </c>
      <c r="E1314" s="4">
        <f>IF(INT((C1314-1)/12)+1&gt;'Lapse Table'!$A$11,E1313,VLOOKUP(INT((C1314-1)/12)+1,'Lapse Table'!$A$2:$B$11,2,FALSE))/12</f>
        <v>0</v>
      </c>
      <c r="F1314" s="5">
        <f t="shared" si="188"/>
        <v>-38.697514865620782</v>
      </c>
      <c r="G1314" s="6">
        <f t="shared" si="182"/>
        <v>4.9777500000000002E-2</v>
      </c>
      <c r="H1314" s="6">
        <f t="shared" si="183"/>
        <v>0</v>
      </c>
      <c r="I1314" s="7">
        <f t="shared" si="184"/>
        <v>-1289.9171621873595</v>
      </c>
      <c r="J1314" s="8">
        <f t="shared" si="185"/>
        <v>49777.5</v>
      </c>
      <c r="K1314" s="7">
        <f t="shared" si="186"/>
        <v>-51067.417162187361</v>
      </c>
      <c r="L1314" s="4">
        <f>IF(A1314&gt;'Yield Curve'!A1928,L1313,(1+VLOOKUP(A1314,'Yield Curve'!A1307:B1929,2,FALSE))^(1/12)-1)</f>
        <v>7.9741404289037643E-3</v>
      </c>
      <c r="M1314" s="5">
        <f t="shared" si="187"/>
        <v>-1.5967612758673932</v>
      </c>
    </row>
    <row r="1315" spans="1:13" x14ac:dyDescent="0.25">
      <c r="A1315" s="4">
        <v>1307</v>
      </c>
      <c r="B1315" s="4">
        <f t="shared" si="180"/>
        <v>153</v>
      </c>
      <c r="C1315" s="4">
        <f t="shared" si="181"/>
        <v>1322</v>
      </c>
      <c r="D1315" s="4">
        <f>IF(B1315&gt;'Mortality Table'!$A$118,D1314,VLOOKUP(B1315,'Mortality Table'!$A$2:$B$118,2,FALSE))</f>
        <v>0.59733000000000003</v>
      </c>
      <c r="E1315" s="4">
        <f>IF(INT((C1315-1)/12)+1&gt;'Lapse Table'!$A$11,E1314,VLOOKUP(INT((C1315-1)/12)+1,'Lapse Table'!$A$2:$B$11,2,FALSE))/12</f>
        <v>0</v>
      </c>
      <c r="F1315" s="5">
        <f t="shared" si="188"/>
        <v>-38.74729236562078</v>
      </c>
      <c r="G1315" s="6">
        <f t="shared" si="182"/>
        <v>4.9777500000000002E-2</v>
      </c>
      <c r="H1315" s="6">
        <f t="shared" si="183"/>
        <v>0</v>
      </c>
      <c r="I1315" s="7">
        <f t="shared" si="184"/>
        <v>-1291.5764121873592</v>
      </c>
      <c r="J1315" s="8">
        <f t="shared" si="185"/>
        <v>49777.5</v>
      </c>
      <c r="K1315" s="7">
        <f t="shared" si="186"/>
        <v>-51069.076412187358</v>
      </c>
      <c r="L1315" s="4">
        <f>IF(A1315&gt;'Yield Curve'!A1929,L1314,(1+VLOOKUP(A1315,'Yield Curve'!A1308:B1930,2,FALSE))^(1/12)-1)</f>
        <v>7.9741404289037643E-3</v>
      </c>
      <c r="M1315" s="5">
        <f t="shared" si="187"/>
        <v>-1.5841806776298157</v>
      </c>
    </row>
    <row r="1316" spans="1:13" x14ac:dyDescent="0.25">
      <c r="A1316" s="4">
        <v>1308</v>
      </c>
      <c r="B1316" s="4">
        <f t="shared" si="180"/>
        <v>154</v>
      </c>
      <c r="C1316" s="4">
        <f t="shared" si="181"/>
        <v>1323</v>
      </c>
      <c r="D1316" s="4">
        <f>IF(B1316&gt;'Mortality Table'!$A$118,D1315,VLOOKUP(B1316,'Mortality Table'!$A$2:$B$118,2,FALSE))</f>
        <v>0.59733000000000003</v>
      </c>
      <c r="E1316" s="4">
        <f>IF(INT((C1316-1)/12)+1&gt;'Lapse Table'!$A$11,E1315,VLOOKUP(INT((C1316-1)/12)+1,'Lapse Table'!$A$2:$B$11,2,FALSE))/12</f>
        <v>0</v>
      </c>
      <c r="F1316" s="5">
        <f t="shared" si="188"/>
        <v>-38.797069865620777</v>
      </c>
      <c r="G1316" s="6">
        <f t="shared" si="182"/>
        <v>4.9777500000000002E-2</v>
      </c>
      <c r="H1316" s="6">
        <f t="shared" si="183"/>
        <v>0</v>
      </c>
      <c r="I1316" s="7">
        <f t="shared" si="184"/>
        <v>-1293.2356621873594</v>
      </c>
      <c r="J1316" s="8">
        <f t="shared" si="185"/>
        <v>49777.5</v>
      </c>
      <c r="K1316" s="7">
        <f t="shared" si="186"/>
        <v>-51070.735662187362</v>
      </c>
      <c r="L1316" s="4">
        <f>IF(A1316&gt;'Yield Curve'!A1930,L1315,(1+VLOOKUP(A1316,'Yield Curve'!A1309:B1931,2,FALSE))^(1/12)-1)</f>
        <v>7.9741404289037643E-3</v>
      </c>
      <c r="M1316" s="5">
        <f t="shared" si="187"/>
        <v>-1.571699198030192</v>
      </c>
    </row>
    <row r="1317" spans="1:13" x14ac:dyDescent="0.25">
      <c r="A1317" s="4">
        <v>1309</v>
      </c>
      <c r="B1317" s="4">
        <f t="shared" si="180"/>
        <v>154</v>
      </c>
      <c r="C1317" s="4">
        <f t="shared" si="181"/>
        <v>1324</v>
      </c>
      <c r="D1317" s="4">
        <f>IF(B1317&gt;'Mortality Table'!$A$118,D1316,VLOOKUP(B1317,'Mortality Table'!$A$2:$B$118,2,FALSE))</f>
        <v>0.59733000000000003</v>
      </c>
      <c r="E1317" s="4">
        <f>IF(INT((C1317-1)/12)+1&gt;'Lapse Table'!$A$11,E1316,VLOOKUP(INT((C1317-1)/12)+1,'Lapse Table'!$A$2:$B$11,2,FALSE))/12</f>
        <v>0</v>
      </c>
      <c r="F1317" s="5">
        <f t="shared" si="188"/>
        <v>-38.846847365620775</v>
      </c>
      <c r="G1317" s="6">
        <f t="shared" si="182"/>
        <v>4.9777500000000002E-2</v>
      </c>
      <c r="H1317" s="6">
        <f t="shared" si="183"/>
        <v>0</v>
      </c>
      <c r="I1317" s="7">
        <f t="shared" si="184"/>
        <v>-1294.8949121873591</v>
      </c>
      <c r="J1317" s="8">
        <f t="shared" si="185"/>
        <v>49777.5</v>
      </c>
      <c r="K1317" s="7">
        <f t="shared" si="186"/>
        <v>-51072.394912187359</v>
      </c>
      <c r="L1317" s="4">
        <f>IF(A1317&gt;'Yield Curve'!A1931,L1316,(1+VLOOKUP(A1317,'Yield Curve'!A1310:B1932,2,FALSE))^(1/12)-1)</f>
        <v>7.9741404289037643E-3</v>
      </c>
      <c r="M1317" s="5">
        <f t="shared" si="187"/>
        <v>-1.5593160561566444</v>
      </c>
    </row>
    <row r="1318" spans="1:13" x14ac:dyDescent="0.25">
      <c r="A1318" s="4">
        <v>1310</v>
      </c>
      <c r="B1318" s="4">
        <f t="shared" si="180"/>
        <v>154</v>
      </c>
      <c r="C1318" s="4">
        <f t="shared" si="181"/>
        <v>1325</v>
      </c>
      <c r="D1318" s="4">
        <f>IF(B1318&gt;'Mortality Table'!$A$118,D1317,VLOOKUP(B1318,'Mortality Table'!$A$2:$B$118,2,FALSE))</f>
        <v>0.59733000000000003</v>
      </c>
      <c r="E1318" s="4">
        <f>IF(INT((C1318-1)/12)+1&gt;'Lapse Table'!$A$11,E1317,VLOOKUP(INT((C1318-1)/12)+1,'Lapse Table'!$A$2:$B$11,2,FALSE))/12</f>
        <v>0</v>
      </c>
      <c r="F1318" s="5">
        <f t="shared" si="188"/>
        <v>-38.896624865620772</v>
      </c>
      <c r="G1318" s="6">
        <f t="shared" si="182"/>
        <v>4.9777500000000002E-2</v>
      </c>
      <c r="H1318" s="6">
        <f t="shared" si="183"/>
        <v>0</v>
      </c>
      <c r="I1318" s="7">
        <f t="shared" si="184"/>
        <v>-1296.5541621873592</v>
      </c>
      <c r="J1318" s="8">
        <f t="shared" si="185"/>
        <v>49777.5</v>
      </c>
      <c r="K1318" s="7">
        <f t="shared" si="186"/>
        <v>-51074.054162187356</v>
      </c>
      <c r="L1318" s="4">
        <f>IF(A1318&gt;'Yield Curve'!A1932,L1317,(1+VLOOKUP(A1318,'Yield Curve'!A1311:B1933,2,FALSE))^(1/12)-1)</f>
        <v>7.9741404289037643E-3</v>
      </c>
      <c r="M1318" s="5">
        <f t="shared" si="187"/>
        <v>-1.5470304772496499</v>
      </c>
    </row>
    <row r="1319" spans="1:13" x14ac:dyDescent="0.25">
      <c r="A1319" s="4">
        <v>1311</v>
      </c>
      <c r="B1319" s="4">
        <f t="shared" si="180"/>
        <v>154</v>
      </c>
      <c r="C1319" s="4">
        <f t="shared" si="181"/>
        <v>1326</v>
      </c>
      <c r="D1319" s="4">
        <f>IF(B1319&gt;'Mortality Table'!$A$118,D1318,VLOOKUP(B1319,'Mortality Table'!$A$2:$B$118,2,FALSE))</f>
        <v>0.59733000000000003</v>
      </c>
      <c r="E1319" s="4">
        <f>IF(INT((C1319-1)/12)+1&gt;'Lapse Table'!$A$11,E1318,VLOOKUP(INT((C1319-1)/12)+1,'Lapse Table'!$A$2:$B$11,2,FALSE))/12</f>
        <v>0</v>
      </c>
      <c r="F1319" s="5">
        <f t="shared" si="188"/>
        <v>-38.94640236562077</v>
      </c>
      <c r="G1319" s="6">
        <f t="shared" si="182"/>
        <v>4.9777500000000002E-2</v>
      </c>
      <c r="H1319" s="6">
        <f t="shared" si="183"/>
        <v>0</v>
      </c>
      <c r="I1319" s="7">
        <f t="shared" si="184"/>
        <v>-1298.2134121873589</v>
      </c>
      <c r="J1319" s="8">
        <f t="shared" si="185"/>
        <v>49777.5</v>
      </c>
      <c r="K1319" s="7">
        <f t="shared" si="186"/>
        <v>-51075.713412187361</v>
      </c>
      <c r="L1319" s="4">
        <f>IF(A1319&gt;'Yield Curve'!A1933,L1318,(1+VLOOKUP(A1319,'Yield Curve'!A1312:B1934,2,FALSE))^(1/12)-1)</f>
        <v>7.9741404289037643E-3</v>
      </c>
      <c r="M1319" s="5">
        <f t="shared" si="187"/>
        <v>-1.53484169265357</v>
      </c>
    </row>
    <row r="1320" spans="1:13" x14ac:dyDescent="0.25">
      <c r="A1320" s="4">
        <v>1312</v>
      </c>
      <c r="B1320" s="4">
        <f t="shared" si="180"/>
        <v>154</v>
      </c>
      <c r="C1320" s="4">
        <f t="shared" si="181"/>
        <v>1327</v>
      </c>
      <c r="D1320" s="4">
        <f>IF(B1320&gt;'Mortality Table'!$A$118,D1319,VLOOKUP(B1320,'Mortality Table'!$A$2:$B$118,2,FALSE))</f>
        <v>0.59733000000000003</v>
      </c>
      <c r="E1320" s="4">
        <f>IF(INT((C1320-1)/12)+1&gt;'Lapse Table'!$A$11,E1319,VLOOKUP(INT((C1320-1)/12)+1,'Lapse Table'!$A$2:$B$11,2,FALSE))/12</f>
        <v>0</v>
      </c>
      <c r="F1320" s="5">
        <f t="shared" si="188"/>
        <v>-38.996179865620768</v>
      </c>
      <c r="G1320" s="6">
        <f t="shared" si="182"/>
        <v>4.9777500000000002E-2</v>
      </c>
      <c r="H1320" s="6">
        <f t="shared" si="183"/>
        <v>0</v>
      </c>
      <c r="I1320" s="7">
        <f t="shared" si="184"/>
        <v>-1299.8726621873589</v>
      </c>
      <c r="J1320" s="8">
        <f t="shared" si="185"/>
        <v>49777.5</v>
      </c>
      <c r="K1320" s="7">
        <f t="shared" si="186"/>
        <v>-51077.372662187357</v>
      </c>
      <c r="L1320" s="4">
        <f>IF(A1320&gt;'Yield Curve'!A1934,L1319,(1+VLOOKUP(A1320,'Yield Curve'!A1313:B1935,2,FALSE))^(1/12)-1)</f>
        <v>7.9741404289037643E-3</v>
      </c>
      <c r="M1320" s="5">
        <f t="shared" si="187"/>
        <v>-1.522748939768561</v>
      </c>
    </row>
    <row r="1321" spans="1:13" x14ac:dyDescent="0.25">
      <c r="A1321" s="4">
        <v>1313</v>
      </c>
      <c r="B1321" s="4">
        <f t="shared" si="180"/>
        <v>154</v>
      </c>
      <c r="C1321" s="4">
        <f t="shared" si="181"/>
        <v>1328</v>
      </c>
      <c r="D1321" s="4">
        <f>IF(B1321&gt;'Mortality Table'!$A$118,D1320,VLOOKUP(B1321,'Mortality Table'!$A$2:$B$118,2,FALSE))</f>
        <v>0.59733000000000003</v>
      </c>
      <c r="E1321" s="4">
        <f>IF(INT((C1321-1)/12)+1&gt;'Lapse Table'!$A$11,E1320,VLOOKUP(INT((C1321-1)/12)+1,'Lapse Table'!$A$2:$B$11,2,FALSE))/12</f>
        <v>0</v>
      </c>
      <c r="F1321" s="5">
        <f t="shared" si="188"/>
        <v>-39.045957365620765</v>
      </c>
      <c r="G1321" s="6">
        <f t="shared" si="182"/>
        <v>4.9777500000000002E-2</v>
      </c>
      <c r="H1321" s="6">
        <f t="shared" si="183"/>
        <v>0</v>
      </c>
      <c r="I1321" s="7">
        <f t="shared" si="184"/>
        <v>-1301.5319121873588</v>
      </c>
      <c r="J1321" s="8">
        <f t="shared" si="185"/>
        <v>49777.5</v>
      </c>
      <c r="K1321" s="7">
        <f t="shared" si="186"/>
        <v>-51079.031912187362</v>
      </c>
      <c r="L1321" s="4">
        <f>IF(A1321&gt;'Yield Curve'!A1935,L1320,(1+VLOOKUP(A1321,'Yield Curve'!A1314:B1936,2,FALSE))^(1/12)-1)</f>
        <v>7.9741404289037643E-3</v>
      </c>
      <c r="M1321" s="5">
        <f t="shared" si="187"/>
        <v>-1.5107514620028686</v>
      </c>
    </row>
    <row r="1322" spans="1:13" x14ac:dyDescent="0.25">
      <c r="A1322" s="4">
        <v>1314</v>
      </c>
      <c r="B1322" s="4">
        <f t="shared" si="180"/>
        <v>154</v>
      </c>
      <c r="C1322" s="4">
        <f t="shared" si="181"/>
        <v>1329</v>
      </c>
      <c r="D1322" s="4">
        <f>IF(B1322&gt;'Mortality Table'!$A$118,D1321,VLOOKUP(B1322,'Mortality Table'!$A$2:$B$118,2,FALSE))</f>
        <v>0.59733000000000003</v>
      </c>
      <c r="E1322" s="4">
        <f>IF(INT((C1322-1)/12)+1&gt;'Lapse Table'!$A$11,E1321,VLOOKUP(INT((C1322-1)/12)+1,'Lapse Table'!$A$2:$B$11,2,FALSE))/12</f>
        <v>0</v>
      </c>
      <c r="F1322" s="5">
        <f t="shared" si="188"/>
        <v>-39.095734865620763</v>
      </c>
      <c r="G1322" s="6">
        <f t="shared" si="182"/>
        <v>4.9777500000000002E-2</v>
      </c>
      <c r="H1322" s="6">
        <f t="shared" si="183"/>
        <v>0</v>
      </c>
      <c r="I1322" s="7">
        <f t="shared" si="184"/>
        <v>-1303.1911621873587</v>
      </c>
      <c r="J1322" s="8">
        <f t="shared" si="185"/>
        <v>49777.5</v>
      </c>
      <c r="K1322" s="7">
        <f t="shared" si="186"/>
        <v>-51080.691162187359</v>
      </c>
      <c r="L1322" s="4">
        <f>IF(A1322&gt;'Yield Curve'!A1936,L1321,(1+VLOOKUP(A1322,'Yield Curve'!A1315:B1937,2,FALSE))^(1/12)-1)</f>
        <v>7.9741404289037643E-3</v>
      </c>
      <c r="M1322" s="5">
        <f t="shared" si="187"/>
        <v>-1.4988485087254899</v>
      </c>
    </row>
    <row r="1323" spans="1:13" x14ac:dyDescent="0.25">
      <c r="A1323" s="4">
        <v>1315</v>
      </c>
      <c r="B1323" s="4">
        <f t="shared" si="180"/>
        <v>154</v>
      </c>
      <c r="C1323" s="4">
        <f t="shared" si="181"/>
        <v>1330</v>
      </c>
      <c r="D1323" s="4">
        <f>IF(B1323&gt;'Mortality Table'!$A$118,D1322,VLOOKUP(B1323,'Mortality Table'!$A$2:$B$118,2,FALSE))</f>
        <v>0.59733000000000003</v>
      </c>
      <c r="E1323" s="4">
        <f>IF(INT((C1323-1)/12)+1&gt;'Lapse Table'!$A$11,E1322,VLOOKUP(INT((C1323-1)/12)+1,'Lapse Table'!$A$2:$B$11,2,FALSE))/12</f>
        <v>0</v>
      </c>
      <c r="F1323" s="5">
        <f t="shared" si="188"/>
        <v>-39.14551236562076</v>
      </c>
      <c r="G1323" s="6">
        <f t="shared" si="182"/>
        <v>4.9777500000000002E-2</v>
      </c>
      <c r="H1323" s="6">
        <f t="shared" si="183"/>
        <v>0</v>
      </c>
      <c r="I1323" s="7">
        <f t="shared" si="184"/>
        <v>-1304.8504121873586</v>
      </c>
      <c r="J1323" s="8">
        <f t="shared" si="185"/>
        <v>49777.5</v>
      </c>
      <c r="K1323" s="7">
        <f t="shared" si="186"/>
        <v>-51082.350412187356</v>
      </c>
      <c r="L1323" s="4">
        <f>IF(A1323&gt;'Yield Curve'!A1937,L1322,(1+VLOOKUP(A1323,'Yield Curve'!A1316:B1938,2,FALSE))^(1/12)-1)</f>
        <v>7.9741404289037643E-3</v>
      </c>
      <c r="M1323" s="5">
        <f t="shared" si="187"/>
        <v>-1.4870393352192151</v>
      </c>
    </row>
    <row r="1324" spans="1:13" x14ac:dyDescent="0.25">
      <c r="A1324" s="4">
        <v>1316</v>
      </c>
      <c r="B1324" s="4">
        <f t="shared" si="180"/>
        <v>154</v>
      </c>
      <c r="C1324" s="4">
        <f t="shared" si="181"/>
        <v>1331</v>
      </c>
      <c r="D1324" s="4">
        <f>IF(B1324&gt;'Mortality Table'!$A$118,D1323,VLOOKUP(B1324,'Mortality Table'!$A$2:$B$118,2,FALSE))</f>
        <v>0.59733000000000003</v>
      </c>
      <c r="E1324" s="4">
        <f>IF(INT((C1324-1)/12)+1&gt;'Lapse Table'!$A$11,E1323,VLOOKUP(INT((C1324-1)/12)+1,'Lapse Table'!$A$2:$B$11,2,FALSE))/12</f>
        <v>0</v>
      </c>
      <c r="F1324" s="5">
        <f t="shared" si="188"/>
        <v>-39.195289865620758</v>
      </c>
      <c r="G1324" s="6">
        <f t="shared" si="182"/>
        <v>4.9777500000000002E-2</v>
      </c>
      <c r="H1324" s="6">
        <f t="shared" si="183"/>
        <v>0</v>
      </c>
      <c r="I1324" s="7">
        <f t="shared" si="184"/>
        <v>-1306.5096621873586</v>
      </c>
      <c r="J1324" s="8">
        <f t="shared" si="185"/>
        <v>49777.5</v>
      </c>
      <c r="K1324" s="7">
        <f t="shared" si="186"/>
        <v>-51084.00966218736</v>
      </c>
      <c r="L1324" s="4">
        <f>IF(A1324&gt;'Yield Curve'!A1938,L1323,(1+VLOOKUP(A1324,'Yield Curve'!A1317:B1939,2,FALSE))^(1/12)-1)</f>
        <v>7.9741404289037643E-3</v>
      </c>
      <c r="M1324" s="5">
        <f t="shared" si="187"/>
        <v>-1.4753232026340373</v>
      </c>
    </row>
    <row r="1325" spans="1:13" x14ac:dyDescent="0.25">
      <c r="A1325" s="4">
        <v>1317</v>
      </c>
      <c r="B1325" s="4">
        <f t="shared" si="180"/>
        <v>154</v>
      </c>
      <c r="C1325" s="4">
        <f t="shared" si="181"/>
        <v>1332</v>
      </c>
      <c r="D1325" s="4">
        <f>IF(B1325&gt;'Mortality Table'!$A$118,D1324,VLOOKUP(B1325,'Mortality Table'!$A$2:$B$118,2,FALSE))</f>
        <v>0.59733000000000003</v>
      </c>
      <c r="E1325" s="4">
        <f>IF(INT((C1325-1)/12)+1&gt;'Lapse Table'!$A$11,E1324,VLOOKUP(INT((C1325-1)/12)+1,'Lapse Table'!$A$2:$B$11,2,FALSE))/12</f>
        <v>0</v>
      </c>
      <c r="F1325" s="5">
        <f t="shared" si="188"/>
        <v>-39.245067365620756</v>
      </c>
      <c r="G1325" s="6">
        <f t="shared" si="182"/>
        <v>4.9777500000000002E-2</v>
      </c>
      <c r="H1325" s="6">
        <f t="shared" si="183"/>
        <v>0</v>
      </c>
      <c r="I1325" s="7">
        <f t="shared" si="184"/>
        <v>-1308.1689121873585</v>
      </c>
      <c r="J1325" s="8">
        <f t="shared" si="185"/>
        <v>49777.5</v>
      </c>
      <c r="K1325" s="7">
        <f t="shared" si="186"/>
        <v>-51085.668912187357</v>
      </c>
      <c r="L1325" s="4">
        <f>IF(A1325&gt;'Yield Curve'!A1939,L1324,(1+VLOOKUP(A1325,'Yield Curve'!A1318:B1940,2,FALSE))^(1/12)-1)</f>
        <v>7.9741404289037643E-3</v>
      </c>
      <c r="M1325" s="5">
        <f t="shared" si="187"/>
        <v>-1.4636993779409275</v>
      </c>
    </row>
    <row r="1326" spans="1:13" x14ac:dyDescent="0.25">
      <c r="A1326" s="4">
        <v>1318</v>
      </c>
      <c r="B1326" s="4">
        <f t="shared" si="180"/>
        <v>154</v>
      </c>
      <c r="C1326" s="4">
        <f t="shared" si="181"/>
        <v>1333</v>
      </c>
      <c r="D1326" s="4">
        <f>IF(B1326&gt;'Mortality Table'!$A$118,D1325,VLOOKUP(B1326,'Mortality Table'!$A$2:$B$118,2,FALSE))</f>
        <v>0.59733000000000003</v>
      </c>
      <c r="E1326" s="4">
        <f>IF(INT((C1326-1)/12)+1&gt;'Lapse Table'!$A$11,E1325,VLOOKUP(INT((C1326-1)/12)+1,'Lapse Table'!$A$2:$B$11,2,FALSE))/12</f>
        <v>0</v>
      </c>
      <c r="F1326" s="5">
        <f t="shared" si="188"/>
        <v>-39.294844865620753</v>
      </c>
      <c r="G1326" s="6">
        <f t="shared" si="182"/>
        <v>4.9777500000000002E-2</v>
      </c>
      <c r="H1326" s="6">
        <f t="shared" si="183"/>
        <v>0</v>
      </c>
      <c r="I1326" s="7">
        <f t="shared" si="184"/>
        <v>-1309.8281621873584</v>
      </c>
      <c r="J1326" s="8">
        <f t="shared" si="185"/>
        <v>49777.5</v>
      </c>
      <c r="K1326" s="7">
        <f t="shared" si="186"/>
        <v>-51087.328162187361</v>
      </c>
      <c r="L1326" s="4">
        <f>IF(A1326&gt;'Yield Curve'!A1940,L1325,(1+VLOOKUP(A1326,'Yield Curve'!A1319:B1941,2,FALSE))^(1/12)-1)</f>
        <v>7.9741404289037643E-3</v>
      </c>
      <c r="M1326" s="5">
        <f t="shared" si="187"/>
        <v>-1.452167133885977</v>
      </c>
    </row>
    <row r="1327" spans="1:13" x14ac:dyDescent="0.25">
      <c r="A1327" s="4">
        <v>1319</v>
      </c>
      <c r="B1327" s="4">
        <f t="shared" si="180"/>
        <v>154</v>
      </c>
      <c r="C1327" s="4">
        <f t="shared" si="181"/>
        <v>1334</v>
      </c>
      <c r="D1327" s="4">
        <f>IF(B1327&gt;'Mortality Table'!$A$118,D1326,VLOOKUP(B1327,'Mortality Table'!$A$2:$B$118,2,FALSE))</f>
        <v>0.59733000000000003</v>
      </c>
      <c r="E1327" s="4">
        <f>IF(INT((C1327-1)/12)+1&gt;'Lapse Table'!$A$11,E1326,VLOOKUP(INT((C1327-1)/12)+1,'Lapse Table'!$A$2:$B$11,2,FALSE))/12</f>
        <v>0</v>
      </c>
      <c r="F1327" s="5">
        <f t="shared" si="188"/>
        <v>-39.344622365620751</v>
      </c>
      <c r="G1327" s="6">
        <f t="shared" si="182"/>
        <v>4.9777500000000002E-2</v>
      </c>
      <c r="H1327" s="6">
        <f t="shared" si="183"/>
        <v>0</v>
      </c>
      <c r="I1327" s="7">
        <f t="shared" si="184"/>
        <v>-1311.4874121873584</v>
      </c>
      <c r="J1327" s="8">
        <f t="shared" si="185"/>
        <v>49777.5</v>
      </c>
      <c r="K1327" s="7">
        <f t="shared" si="186"/>
        <v>-51088.987412187358</v>
      </c>
      <c r="L1327" s="4">
        <f>IF(A1327&gt;'Yield Curve'!A1941,L1326,(1+VLOOKUP(A1327,'Yield Curve'!A1320:B1942,2,FALSE))^(1/12)-1)</f>
        <v>7.9741404289037643E-3</v>
      </c>
      <c r="M1327" s="5">
        <f t="shared" si="187"/>
        <v>-1.440725748944897</v>
      </c>
    </row>
    <row r="1328" spans="1:13" x14ac:dyDescent="0.25">
      <c r="A1328" s="4">
        <v>1320</v>
      </c>
      <c r="B1328" s="4">
        <f t="shared" si="180"/>
        <v>155</v>
      </c>
      <c r="C1328" s="4">
        <f t="shared" si="181"/>
        <v>1335</v>
      </c>
      <c r="D1328" s="4">
        <f>IF(B1328&gt;'Mortality Table'!$A$118,D1327,VLOOKUP(B1328,'Mortality Table'!$A$2:$B$118,2,FALSE))</f>
        <v>0.59733000000000003</v>
      </c>
      <c r="E1328" s="4">
        <f>IF(INT((C1328-1)/12)+1&gt;'Lapse Table'!$A$11,E1327,VLOOKUP(INT((C1328-1)/12)+1,'Lapse Table'!$A$2:$B$11,2,FALSE))/12</f>
        <v>0</v>
      </c>
      <c r="F1328" s="5">
        <f t="shared" si="188"/>
        <v>-39.394399865620748</v>
      </c>
      <c r="G1328" s="6">
        <f t="shared" si="182"/>
        <v>4.9777500000000002E-2</v>
      </c>
      <c r="H1328" s="6">
        <f t="shared" si="183"/>
        <v>0</v>
      </c>
      <c r="I1328" s="7">
        <f t="shared" si="184"/>
        <v>-1313.1466621873583</v>
      </c>
      <c r="J1328" s="8">
        <f t="shared" si="185"/>
        <v>49777.5</v>
      </c>
      <c r="K1328" s="7">
        <f t="shared" si="186"/>
        <v>-51090.646662187355</v>
      </c>
      <c r="L1328" s="4">
        <f>IF(A1328&gt;'Yield Curve'!A1942,L1327,(1+VLOOKUP(A1328,'Yield Curve'!A1321:B1943,2,FALSE))^(1/12)-1)</f>
        <v>7.9741404289037643E-3</v>
      </c>
      <c r="M1328" s="5">
        <f t="shared" si="187"/>
        <v>-1.4293745072778807</v>
      </c>
    </row>
    <row r="1329" spans="1:13" x14ac:dyDescent="0.25">
      <c r="A1329" s="4">
        <v>1321</v>
      </c>
      <c r="B1329" s="4">
        <f t="shared" si="180"/>
        <v>155</v>
      </c>
      <c r="C1329" s="4">
        <f t="shared" si="181"/>
        <v>1336</v>
      </c>
      <c r="D1329" s="4">
        <f>IF(B1329&gt;'Mortality Table'!$A$118,D1328,VLOOKUP(B1329,'Mortality Table'!$A$2:$B$118,2,FALSE))</f>
        <v>0.59733000000000003</v>
      </c>
      <c r="E1329" s="4">
        <f>IF(INT((C1329-1)/12)+1&gt;'Lapse Table'!$A$11,E1328,VLOOKUP(INT((C1329-1)/12)+1,'Lapse Table'!$A$2:$B$11,2,FALSE))/12</f>
        <v>0</v>
      </c>
      <c r="F1329" s="5">
        <f t="shared" si="188"/>
        <v>-39.444177365620746</v>
      </c>
      <c r="G1329" s="6">
        <f t="shared" si="182"/>
        <v>4.9777500000000002E-2</v>
      </c>
      <c r="H1329" s="6">
        <f t="shared" si="183"/>
        <v>0</v>
      </c>
      <c r="I1329" s="7">
        <f t="shared" si="184"/>
        <v>-1314.8059121873582</v>
      </c>
      <c r="J1329" s="8">
        <f t="shared" si="185"/>
        <v>49777.5</v>
      </c>
      <c r="K1329" s="7">
        <f t="shared" si="186"/>
        <v>-51092.305912187359</v>
      </c>
      <c r="L1329" s="4">
        <f>IF(A1329&gt;'Yield Curve'!A1943,L1328,(1+VLOOKUP(A1329,'Yield Curve'!A1322:B1944,2,FALSE))^(1/12)-1)</f>
        <v>7.9741404289037643E-3</v>
      </c>
      <c r="M1329" s="5">
        <f t="shared" si="187"/>
        <v>-1.4181126986848198</v>
      </c>
    </row>
    <row r="1330" spans="1:13" x14ac:dyDescent="0.25">
      <c r="A1330" s="4">
        <v>1322</v>
      </c>
      <c r="B1330" s="4">
        <f t="shared" si="180"/>
        <v>155</v>
      </c>
      <c r="C1330" s="4">
        <f t="shared" si="181"/>
        <v>1337</v>
      </c>
      <c r="D1330" s="4">
        <f>IF(B1330&gt;'Mortality Table'!$A$118,D1329,VLOOKUP(B1330,'Mortality Table'!$A$2:$B$118,2,FALSE))</f>
        <v>0.59733000000000003</v>
      </c>
      <c r="E1330" s="4">
        <f>IF(INT((C1330-1)/12)+1&gt;'Lapse Table'!$A$11,E1329,VLOOKUP(INT((C1330-1)/12)+1,'Lapse Table'!$A$2:$B$11,2,FALSE))/12</f>
        <v>0</v>
      </c>
      <c r="F1330" s="5">
        <f t="shared" si="188"/>
        <v>-39.493954865620744</v>
      </c>
      <c r="G1330" s="6">
        <f t="shared" si="182"/>
        <v>4.9777500000000002E-2</v>
      </c>
      <c r="H1330" s="6">
        <f t="shared" si="183"/>
        <v>0</v>
      </c>
      <c r="I1330" s="7">
        <f t="shared" si="184"/>
        <v>-1316.4651621873581</v>
      </c>
      <c r="J1330" s="8">
        <f t="shared" si="185"/>
        <v>49777.5</v>
      </c>
      <c r="K1330" s="7">
        <f t="shared" si="186"/>
        <v>-51093.965162187356</v>
      </c>
      <c r="L1330" s="4">
        <f>IF(A1330&gt;'Yield Curve'!A1944,L1329,(1+VLOOKUP(A1330,'Yield Curve'!A1323:B1945,2,FALSE))^(1/12)-1)</f>
        <v>7.9741404289037643E-3</v>
      </c>
      <c r="M1330" s="5">
        <f t="shared" si="187"/>
        <v>-1.4069396185608709</v>
      </c>
    </row>
    <row r="1331" spans="1:13" x14ac:dyDescent="0.25">
      <c r="A1331" s="4">
        <v>1323</v>
      </c>
      <c r="B1331" s="4">
        <f t="shared" si="180"/>
        <v>155</v>
      </c>
      <c r="C1331" s="4">
        <f t="shared" si="181"/>
        <v>1338</v>
      </c>
      <c r="D1331" s="4">
        <f>IF(B1331&gt;'Mortality Table'!$A$118,D1330,VLOOKUP(B1331,'Mortality Table'!$A$2:$B$118,2,FALSE))</f>
        <v>0.59733000000000003</v>
      </c>
      <c r="E1331" s="4">
        <f>IF(INT((C1331-1)/12)+1&gt;'Lapse Table'!$A$11,E1330,VLOOKUP(INT((C1331-1)/12)+1,'Lapse Table'!$A$2:$B$11,2,FALSE))/12</f>
        <v>0</v>
      </c>
      <c r="F1331" s="5">
        <f t="shared" si="188"/>
        <v>-39.543732365620741</v>
      </c>
      <c r="G1331" s="6">
        <f t="shared" si="182"/>
        <v>4.9777500000000002E-2</v>
      </c>
      <c r="H1331" s="6">
        <f t="shared" si="183"/>
        <v>0</v>
      </c>
      <c r="I1331" s="7">
        <f t="shared" si="184"/>
        <v>-1318.1244121873581</v>
      </c>
      <c r="J1331" s="8">
        <f t="shared" si="185"/>
        <v>49777.5</v>
      </c>
      <c r="K1331" s="7">
        <f t="shared" si="186"/>
        <v>-51095.624412187361</v>
      </c>
      <c r="L1331" s="4">
        <f>IF(A1331&gt;'Yield Curve'!A1945,L1330,(1+VLOOKUP(A1331,'Yield Curve'!A1324:B1946,2,FALSE))^(1/12)-1)</f>
        <v>7.9741404289037643E-3</v>
      </c>
      <c r="M1331" s="5">
        <f t="shared" si="187"/>
        <v>-1.3958545678523764</v>
      </c>
    </row>
    <row r="1332" spans="1:13" x14ac:dyDescent="0.25">
      <c r="A1332" s="4">
        <v>1324</v>
      </c>
      <c r="B1332" s="4">
        <f t="shared" si="180"/>
        <v>155</v>
      </c>
      <c r="C1332" s="4">
        <f t="shared" si="181"/>
        <v>1339</v>
      </c>
      <c r="D1332" s="4">
        <f>IF(B1332&gt;'Mortality Table'!$A$118,D1331,VLOOKUP(B1332,'Mortality Table'!$A$2:$B$118,2,FALSE))</f>
        <v>0.59733000000000003</v>
      </c>
      <c r="E1332" s="4">
        <f>IF(INT((C1332-1)/12)+1&gt;'Lapse Table'!$A$11,E1331,VLOOKUP(INT((C1332-1)/12)+1,'Lapse Table'!$A$2:$B$11,2,FALSE))/12</f>
        <v>0</v>
      </c>
      <c r="F1332" s="5">
        <f t="shared" si="188"/>
        <v>-39.593509865620739</v>
      </c>
      <c r="G1332" s="6">
        <f t="shared" si="182"/>
        <v>4.9777500000000002E-2</v>
      </c>
      <c r="H1332" s="6">
        <f t="shared" si="183"/>
        <v>0</v>
      </c>
      <c r="I1332" s="7">
        <f t="shared" si="184"/>
        <v>-1319.783662187358</v>
      </c>
      <c r="J1332" s="8">
        <f t="shared" si="185"/>
        <v>49777.5</v>
      </c>
      <c r="K1332" s="7">
        <f t="shared" si="186"/>
        <v>-51097.283662187358</v>
      </c>
      <c r="L1332" s="4">
        <f>IF(A1332&gt;'Yield Curve'!A1946,L1331,(1+VLOOKUP(A1332,'Yield Curve'!A1325:B1947,2,FALSE))^(1/12)-1)</f>
        <v>7.9741404289037643E-3</v>
      </c>
      <c r="M1332" s="5">
        <f t="shared" si="187"/>
        <v>-1.3848568530131293</v>
      </c>
    </row>
    <row r="1333" spans="1:13" x14ac:dyDescent="0.25">
      <c r="A1333" s="4">
        <v>1325</v>
      </c>
      <c r="B1333" s="4">
        <f t="shared" si="180"/>
        <v>155</v>
      </c>
      <c r="C1333" s="4">
        <f t="shared" si="181"/>
        <v>1340</v>
      </c>
      <c r="D1333" s="4">
        <f>IF(B1333&gt;'Mortality Table'!$A$118,D1332,VLOOKUP(B1333,'Mortality Table'!$A$2:$B$118,2,FALSE))</f>
        <v>0.59733000000000003</v>
      </c>
      <c r="E1333" s="4">
        <f>IF(INT((C1333-1)/12)+1&gt;'Lapse Table'!$A$11,E1332,VLOOKUP(INT((C1333-1)/12)+1,'Lapse Table'!$A$2:$B$11,2,FALSE))/12</f>
        <v>0</v>
      </c>
      <c r="F1333" s="5">
        <f t="shared" si="188"/>
        <v>-39.643287365620736</v>
      </c>
      <c r="G1333" s="6">
        <f t="shared" si="182"/>
        <v>4.9777500000000002E-2</v>
      </c>
      <c r="H1333" s="6">
        <f t="shared" si="183"/>
        <v>0</v>
      </c>
      <c r="I1333" s="7">
        <f t="shared" si="184"/>
        <v>-1321.4429121873579</v>
      </c>
      <c r="J1333" s="8">
        <f t="shared" si="185"/>
        <v>49777.5</v>
      </c>
      <c r="K1333" s="7">
        <f t="shared" si="186"/>
        <v>-51098.942912187355</v>
      </c>
      <c r="L1333" s="4">
        <f>IF(A1333&gt;'Yield Curve'!A1947,L1332,(1+VLOOKUP(A1333,'Yield Curve'!A1326:B1948,2,FALSE))^(1/12)-1)</f>
        <v>7.9741404289037643E-3</v>
      </c>
      <c r="M1333" s="5">
        <f t="shared" si="187"/>
        <v>-1.3739457859609849</v>
      </c>
    </row>
    <row r="1334" spans="1:13" x14ac:dyDescent="0.25">
      <c r="A1334" s="4">
        <v>1326</v>
      </c>
      <c r="B1334" s="4">
        <f t="shared" si="180"/>
        <v>155</v>
      </c>
      <c r="C1334" s="4">
        <f t="shared" si="181"/>
        <v>1341</v>
      </c>
      <c r="D1334" s="4">
        <f>IF(B1334&gt;'Mortality Table'!$A$118,D1333,VLOOKUP(B1334,'Mortality Table'!$A$2:$B$118,2,FALSE))</f>
        <v>0.59733000000000003</v>
      </c>
      <c r="E1334" s="4">
        <f>IF(INT((C1334-1)/12)+1&gt;'Lapse Table'!$A$11,E1333,VLOOKUP(INT((C1334-1)/12)+1,'Lapse Table'!$A$2:$B$11,2,FALSE))/12</f>
        <v>0</v>
      </c>
      <c r="F1334" s="5">
        <f t="shared" si="188"/>
        <v>-39.693064865620734</v>
      </c>
      <c r="G1334" s="6">
        <f t="shared" si="182"/>
        <v>4.9777500000000002E-2</v>
      </c>
      <c r="H1334" s="6">
        <f t="shared" si="183"/>
        <v>0</v>
      </c>
      <c r="I1334" s="7">
        <f t="shared" si="184"/>
        <v>-1323.1021621873579</v>
      </c>
      <c r="J1334" s="8">
        <f t="shared" si="185"/>
        <v>49777.5</v>
      </c>
      <c r="K1334" s="7">
        <f t="shared" si="186"/>
        <v>-51100.602162187359</v>
      </c>
      <c r="L1334" s="4">
        <f>IF(A1334&gt;'Yield Curve'!A1948,L1333,(1+VLOOKUP(A1334,'Yield Curve'!A1327:B1949,2,FALSE))^(1/12)-1)</f>
        <v>7.9741404289037643E-3</v>
      </c>
      <c r="M1334" s="5">
        <f t="shared" si="187"/>
        <v>-1.3631206840348131</v>
      </c>
    </row>
    <row r="1335" spans="1:13" x14ac:dyDescent="0.25">
      <c r="A1335" s="4">
        <v>1327</v>
      </c>
      <c r="B1335" s="4">
        <f t="shared" si="180"/>
        <v>155</v>
      </c>
      <c r="C1335" s="4">
        <f t="shared" si="181"/>
        <v>1342</v>
      </c>
      <c r="D1335" s="4">
        <f>IF(B1335&gt;'Mortality Table'!$A$118,D1334,VLOOKUP(B1335,'Mortality Table'!$A$2:$B$118,2,FALSE))</f>
        <v>0.59733000000000003</v>
      </c>
      <c r="E1335" s="4">
        <f>IF(INT((C1335-1)/12)+1&gt;'Lapse Table'!$A$11,E1334,VLOOKUP(INT((C1335-1)/12)+1,'Lapse Table'!$A$2:$B$11,2,FALSE))/12</f>
        <v>0</v>
      </c>
      <c r="F1335" s="5">
        <f t="shared" si="188"/>
        <v>-39.742842365620731</v>
      </c>
      <c r="G1335" s="6">
        <f t="shared" si="182"/>
        <v>4.9777500000000002E-2</v>
      </c>
      <c r="H1335" s="6">
        <f t="shared" si="183"/>
        <v>0</v>
      </c>
      <c r="I1335" s="7">
        <f t="shared" si="184"/>
        <v>-1324.7614121873578</v>
      </c>
      <c r="J1335" s="8">
        <f t="shared" si="185"/>
        <v>49777.5</v>
      </c>
      <c r="K1335" s="7">
        <f t="shared" si="186"/>
        <v>-51102.261412187356</v>
      </c>
      <c r="L1335" s="4">
        <f>IF(A1335&gt;'Yield Curve'!A1949,L1334,(1+VLOOKUP(A1335,'Yield Curve'!A1328:B1950,2,FALSE))^(1/12)-1)</f>
        <v>7.9741404289037643E-3</v>
      </c>
      <c r="M1335" s="5">
        <f t="shared" si="187"/>
        <v>-1.3523808699517881</v>
      </c>
    </row>
    <row r="1336" spans="1:13" x14ac:dyDescent="0.25">
      <c r="A1336" s="4">
        <v>1328</v>
      </c>
      <c r="B1336" s="4">
        <f t="shared" si="180"/>
        <v>155</v>
      </c>
      <c r="C1336" s="4">
        <f t="shared" si="181"/>
        <v>1343</v>
      </c>
      <c r="D1336" s="4">
        <f>IF(B1336&gt;'Mortality Table'!$A$118,D1335,VLOOKUP(B1336,'Mortality Table'!$A$2:$B$118,2,FALSE))</f>
        <v>0.59733000000000003</v>
      </c>
      <c r="E1336" s="4">
        <f>IF(INT((C1336-1)/12)+1&gt;'Lapse Table'!$A$11,E1335,VLOOKUP(INT((C1336-1)/12)+1,'Lapse Table'!$A$2:$B$11,2,FALSE))/12</f>
        <v>0</v>
      </c>
      <c r="F1336" s="5">
        <f t="shared" si="188"/>
        <v>-39.792619865620729</v>
      </c>
      <c r="G1336" s="6">
        <f t="shared" si="182"/>
        <v>4.9777500000000002E-2</v>
      </c>
      <c r="H1336" s="6">
        <f t="shared" si="183"/>
        <v>0</v>
      </c>
      <c r="I1336" s="7">
        <f t="shared" si="184"/>
        <v>-1326.4206621873575</v>
      </c>
      <c r="J1336" s="8">
        <f t="shared" si="185"/>
        <v>49777.5</v>
      </c>
      <c r="K1336" s="7">
        <f t="shared" si="186"/>
        <v>-51103.92066218736</v>
      </c>
      <c r="L1336" s="4">
        <f>IF(A1336&gt;'Yield Curve'!A1950,L1335,(1+VLOOKUP(A1336,'Yield Curve'!A1329:B1951,2,FALSE))^(1/12)-1)</f>
        <v>7.9741404289037643E-3</v>
      </c>
      <c r="M1336" s="5">
        <f t="shared" si="187"/>
        <v>-1.3417256717650194</v>
      </c>
    </row>
    <row r="1337" spans="1:13" x14ac:dyDescent="0.25">
      <c r="A1337" s="4">
        <v>1329</v>
      </c>
      <c r="B1337" s="4">
        <f t="shared" si="180"/>
        <v>155</v>
      </c>
      <c r="C1337" s="4">
        <f t="shared" si="181"/>
        <v>1344</v>
      </c>
      <c r="D1337" s="4">
        <f>IF(B1337&gt;'Mortality Table'!$A$118,D1336,VLOOKUP(B1337,'Mortality Table'!$A$2:$B$118,2,FALSE))</f>
        <v>0.59733000000000003</v>
      </c>
      <c r="E1337" s="4">
        <f>IF(INT((C1337-1)/12)+1&gt;'Lapse Table'!$A$11,E1336,VLOOKUP(INT((C1337-1)/12)+1,'Lapse Table'!$A$2:$B$11,2,FALSE))/12</f>
        <v>0</v>
      </c>
      <c r="F1337" s="5">
        <f t="shared" si="188"/>
        <v>-39.842397365620727</v>
      </c>
      <c r="G1337" s="6">
        <f t="shared" si="182"/>
        <v>4.9777500000000002E-2</v>
      </c>
      <c r="H1337" s="6">
        <f t="shared" si="183"/>
        <v>0</v>
      </c>
      <c r="I1337" s="7">
        <f t="shared" si="184"/>
        <v>-1328.0799121873576</v>
      </c>
      <c r="J1337" s="8">
        <f t="shared" si="185"/>
        <v>49777.5</v>
      </c>
      <c r="K1337" s="7">
        <f t="shared" si="186"/>
        <v>-51105.579912187357</v>
      </c>
      <c r="L1337" s="4">
        <f>IF(A1337&gt;'Yield Curve'!A1951,L1336,(1+VLOOKUP(A1337,'Yield Curve'!A1330:B1952,2,FALSE))^(1/12)-1)</f>
        <v>7.9741404289037643E-3</v>
      </c>
      <c r="M1337" s="5">
        <f t="shared" si="187"/>
        <v>-1.3311544228215118</v>
      </c>
    </row>
    <row r="1338" spans="1:13" x14ac:dyDescent="0.25">
      <c r="A1338" s="4">
        <v>1330</v>
      </c>
      <c r="B1338" s="4">
        <f t="shared" si="180"/>
        <v>155</v>
      </c>
      <c r="C1338" s="4">
        <f t="shared" si="181"/>
        <v>1345</v>
      </c>
      <c r="D1338" s="4">
        <f>IF(B1338&gt;'Mortality Table'!$A$118,D1337,VLOOKUP(B1338,'Mortality Table'!$A$2:$B$118,2,FALSE))</f>
        <v>0.59733000000000003</v>
      </c>
      <c r="E1338" s="4">
        <f>IF(INT((C1338-1)/12)+1&gt;'Lapse Table'!$A$11,E1337,VLOOKUP(INT((C1338-1)/12)+1,'Lapse Table'!$A$2:$B$11,2,FALSE))/12</f>
        <v>0</v>
      </c>
      <c r="F1338" s="5">
        <f t="shared" si="188"/>
        <v>-39.892174865620724</v>
      </c>
      <c r="G1338" s="6">
        <f t="shared" si="182"/>
        <v>4.9777500000000002E-2</v>
      </c>
      <c r="H1338" s="6">
        <f t="shared" si="183"/>
        <v>0</v>
      </c>
      <c r="I1338" s="7">
        <f t="shared" si="184"/>
        <v>-1329.7391621873574</v>
      </c>
      <c r="J1338" s="8">
        <f t="shared" si="185"/>
        <v>49777.5</v>
      </c>
      <c r="K1338" s="7">
        <f t="shared" si="186"/>
        <v>-51107.239162187354</v>
      </c>
      <c r="L1338" s="4">
        <f>IF(A1338&gt;'Yield Curve'!A1952,L1337,(1+VLOOKUP(A1338,'Yield Curve'!A1331:B1953,2,FALSE))^(1/12)-1)</f>
        <v>7.9741404289037643E-3</v>
      </c>
      <c r="M1338" s="5">
        <f t="shared" si="187"/>
        <v>-1.3206664617204589</v>
      </c>
    </row>
    <row r="1339" spans="1:13" x14ac:dyDescent="0.25">
      <c r="A1339" s="4">
        <v>1331</v>
      </c>
      <c r="B1339" s="4">
        <f t="shared" si="180"/>
        <v>155</v>
      </c>
      <c r="C1339" s="4">
        <f t="shared" si="181"/>
        <v>1346</v>
      </c>
      <c r="D1339" s="4">
        <f>IF(B1339&gt;'Mortality Table'!$A$118,D1338,VLOOKUP(B1339,'Mortality Table'!$A$2:$B$118,2,FALSE))</f>
        <v>0.59733000000000003</v>
      </c>
      <c r="E1339" s="4">
        <f>IF(INT((C1339-1)/12)+1&gt;'Lapse Table'!$A$11,E1338,VLOOKUP(INT((C1339-1)/12)+1,'Lapse Table'!$A$2:$B$11,2,FALSE))/12</f>
        <v>0</v>
      </c>
      <c r="F1339" s="5">
        <f t="shared" si="188"/>
        <v>-39.941952365620722</v>
      </c>
      <c r="G1339" s="6">
        <f t="shared" si="182"/>
        <v>4.9777500000000002E-2</v>
      </c>
      <c r="H1339" s="6">
        <f t="shared" si="183"/>
        <v>0</v>
      </c>
      <c r="I1339" s="7">
        <f t="shared" si="184"/>
        <v>-1331.3984121873575</v>
      </c>
      <c r="J1339" s="8">
        <f t="shared" si="185"/>
        <v>49777.5</v>
      </c>
      <c r="K1339" s="7">
        <f t="shared" si="186"/>
        <v>-51108.898412187358</v>
      </c>
      <c r="L1339" s="4">
        <f>IF(A1339&gt;'Yield Curve'!A1953,L1338,(1+VLOOKUP(A1339,'Yield Curve'!A1332:B1954,2,FALSE))^(1/12)-1)</f>
        <v>7.9741404289037643E-3</v>
      </c>
      <c r="M1339" s="5">
        <f t="shared" si="187"/>
        <v>-1.3102611322718654</v>
      </c>
    </row>
    <row r="1340" spans="1:13" x14ac:dyDescent="0.25">
      <c r="A1340" s="4">
        <v>1332</v>
      </c>
      <c r="B1340" s="4">
        <f t="shared" si="180"/>
        <v>156</v>
      </c>
      <c r="C1340" s="4">
        <f t="shared" si="181"/>
        <v>1347</v>
      </c>
      <c r="D1340" s="4">
        <f>IF(B1340&gt;'Mortality Table'!$A$118,D1339,VLOOKUP(B1340,'Mortality Table'!$A$2:$B$118,2,FALSE))</f>
        <v>0.59733000000000003</v>
      </c>
      <c r="E1340" s="4">
        <f>IF(INT((C1340-1)/12)+1&gt;'Lapse Table'!$A$11,E1339,VLOOKUP(INT((C1340-1)/12)+1,'Lapse Table'!$A$2:$B$11,2,FALSE))/12</f>
        <v>0</v>
      </c>
      <c r="F1340" s="5">
        <f t="shared" si="188"/>
        <v>-39.991729865620719</v>
      </c>
      <c r="G1340" s="6">
        <f t="shared" si="182"/>
        <v>4.9777500000000002E-2</v>
      </c>
      <c r="H1340" s="6">
        <f t="shared" si="183"/>
        <v>0</v>
      </c>
      <c r="I1340" s="7">
        <f t="shared" si="184"/>
        <v>-1333.0576621873572</v>
      </c>
      <c r="J1340" s="8">
        <f t="shared" si="185"/>
        <v>49777.5</v>
      </c>
      <c r="K1340" s="7">
        <f t="shared" si="186"/>
        <v>-51110.557662187355</v>
      </c>
      <c r="L1340" s="4">
        <f>IF(A1340&gt;'Yield Curve'!A1954,L1339,(1+VLOOKUP(A1340,'Yield Curve'!A1333:B1955,2,FALSE))^(1/12)-1)</f>
        <v>7.9741404289037643E-3</v>
      </c>
      <c r="M1340" s="5">
        <f t="shared" si="187"/>
        <v>-1.2999377834554924</v>
      </c>
    </row>
    <row r="1341" spans="1:13" x14ac:dyDescent="0.25">
      <c r="A1341" s="4">
        <v>1333</v>
      </c>
      <c r="B1341" s="4">
        <f t="shared" si="180"/>
        <v>156</v>
      </c>
      <c r="C1341" s="4">
        <f t="shared" si="181"/>
        <v>1348</v>
      </c>
      <c r="D1341" s="4">
        <f>IF(B1341&gt;'Mortality Table'!$A$118,D1340,VLOOKUP(B1341,'Mortality Table'!$A$2:$B$118,2,FALSE))</f>
        <v>0.59733000000000003</v>
      </c>
      <c r="E1341" s="4">
        <f>IF(INT((C1341-1)/12)+1&gt;'Lapse Table'!$A$11,E1340,VLOOKUP(INT((C1341-1)/12)+1,'Lapse Table'!$A$2:$B$11,2,FALSE))/12</f>
        <v>0</v>
      </c>
      <c r="F1341" s="5">
        <f t="shared" si="188"/>
        <v>-40.041507365620717</v>
      </c>
      <c r="G1341" s="6">
        <f t="shared" si="182"/>
        <v>4.9777500000000002E-2</v>
      </c>
      <c r="H1341" s="6">
        <f t="shared" si="183"/>
        <v>0</v>
      </c>
      <c r="I1341" s="7">
        <f t="shared" si="184"/>
        <v>-1334.7169121873574</v>
      </c>
      <c r="J1341" s="8">
        <f t="shared" si="185"/>
        <v>49777.5</v>
      </c>
      <c r="K1341" s="7">
        <f t="shared" si="186"/>
        <v>-51112.216912187359</v>
      </c>
      <c r="L1341" s="4">
        <f>IF(A1341&gt;'Yield Curve'!A1955,L1340,(1+VLOOKUP(A1341,'Yield Curve'!A1334:B1956,2,FALSE))^(1/12)-1)</f>
        <v>7.9741404289037643E-3</v>
      </c>
      <c r="M1341" s="5">
        <f t="shared" si="187"/>
        <v>-1.2896957693801314</v>
      </c>
    </row>
    <row r="1342" spans="1:13" x14ac:dyDescent="0.25">
      <c r="A1342" s="4">
        <v>1334</v>
      </c>
      <c r="B1342" s="4">
        <f t="shared" si="180"/>
        <v>156</v>
      </c>
      <c r="C1342" s="4">
        <f t="shared" si="181"/>
        <v>1349</v>
      </c>
      <c r="D1342" s="4">
        <f>IF(B1342&gt;'Mortality Table'!$A$118,D1341,VLOOKUP(B1342,'Mortality Table'!$A$2:$B$118,2,FALSE))</f>
        <v>0.59733000000000003</v>
      </c>
      <c r="E1342" s="4">
        <f>IF(INT((C1342-1)/12)+1&gt;'Lapse Table'!$A$11,E1341,VLOOKUP(INT((C1342-1)/12)+1,'Lapse Table'!$A$2:$B$11,2,FALSE))/12</f>
        <v>0</v>
      </c>
      <c r="F1342" s="5">
        <f t="shared" si="188"/>
        <v>-40.091284865620715</v>
      </c>
      <c r="G1342" s="6">
        <f t="shared" si="182"/>
        <v>4.9777500000000002E-2</v>
      </c>
      <c r="H1342" s="6">
        <f t="shared" si="183"/>
        <v>0</v>
      </c>
      <c r="I1342" s="7">
        <f t="shared" si="184"/>
        <v>-1336.3761621873571</v>
      </c>
      <c r="J1342" s="8">
        <f t="shared" si="185"/>
        <v>49777.5</v>
      </c>
      <c r="K1342" s="7">
        <f t="shared" si="186"/>
        <v>-51113.876162187356</v>
      </c>
      <c r="L1342" s="4">
        <f>IF(A1342&gt;'Yield Curve'!A1956,L1341,(1+VLOOKUP(A1342,'Yield Curve'!A1335:B1957,2,FALSE))^(1/12)-1)</f>
        <v>7.9741404289037643E-3</v>
      </c>
      <c r="M1342" s="5">
        <f t="shared" si="187"/>
        <v>-1.2795344492431955</v>
      </c>
    </row>
    <row r="1343" spans="1:13" x14ac:dyDescent="0.25">
      <c r="A1343" s="4">
        <v>1335</v>
      </c>
      <c r="B1343" s="4">
        <f t="shared" si="180"/>
        <v>156</v>
      </c>
      <c r="C1343" s="4">
        <f t="shared" si="181"/>
        <v>1350</v>
      </c>
      <c r="D1343" s="4">
        <f>IF(B1343&gt;'Mortality Table'!$A$118,D1342,VLOOKUP(B1343,'Mortality Table'!$A$2:$B$118,2,FALSE))</f>
        <v>0.59733000000000003</v>
      </c>
      <c r="E1343" s="4">
        <f>IF(INT((C1343-1)/12)+1&gt;'Lapse Table'!$A$11,E1342,VLOOKUP(INT((C1343-1)/12)+1,'Lapse Table'!$A$2:$B$11,2,FALSE))/12</f>
        <v>0</v>
      </c>
      <c r="F1343" s="5">
        <f t="shared" si="188"/>
        <v>-40.141062365620712</v>
      </c>
      <c r="G1343" s="6">
        <f t="shared" si="182"/>
        <v>4.9777500000000002E-2</v>
      </c>
      <c r="H1343" s="6">
        <f t="shared" si="183"/>
        <v>0</v>
      </c>
      <c r="I1343" s="7">
        <f t="shared" si="184"/>
        <v>-1338.035412187357</v>
      </c>
      <c r="J1343" s="8">
        <f t="shared" si="185"/>
        <v>49777.5</v>
      </c>
      <c r="K1343" s="7">
        <f t="shared" si="186"/>
        <v>-51115.535412187353</v>
      </c>
      <c r="L1343" s="4">
        <f>IF(A1343&gt;'Yield Curve'!A1957,L1342,(1+VLOOKUP(A1343,'Yield Curve'!A1336:B1958,2,FALSE))^(1/12)-1)</f>
        <v>7.9741404289037643E-3</v>
      </c>
      <c r="M1343" s="5">
        <f t="shared" si="187"/>
        <v>-1.2694531872906267</v>
      </c>
    </row>
    <row r="1344" spans="1:13" x14ac:dyDescent="0.25">
      <c r="A1344" s="4">
        <v>1336</v>
      </c>
      <c r="B1344" s="4">
        <f t="shared" si="180"/>
        <v>156</v>
      </c>
      <c r="C1344" s="4">
        <f t="shared" si="181"/>
        <v>1351</v>
      </c>
      <c r="D1344" s="4">
        <f>IF(B1344&gt;'Mortality Table'!$A$118,D1343,VLOOKUP(B1344,'Mortality Table'!$A$2:$B$118,2,FALSE))</f>
        <v>0.59733000000000003</v>
      </c>
      <c r="E1344" s="4">
        <f>IF(INT((C1344-1)/12)+1&gt;'Lapse Table'!$A$11,E1343,VLOOKUP(INT((C1344-1)/12)+1,'Lapse Table'!$A$2:$B$11,2,FALSE))/12</f>
        <v>0</v>
      </c>
      <c r="F1344" s="5">
        <f t="shared" si="188"/>
        <v>-40.19083986562071</v>
      </c>
      <c r="G1344" s="6">
        <f t="shared" si="182"/>
        <v>4.9777500000000002E-2</v>
      </c>
      <c r="H1344" s="6">
        <f t="shared" si="183"/>
        <v>0</v>
      </c>
      <c r="I1344" s="7">
        <f t="shared" si="184"/>
        <v>-1339.6946621873569</v>
      </c>
      <c r="J1344" s="8">
        <f t="shared" si="185"/>
        <v>49777.5</v>
      </c>
      <c r="K1344" s="7">
        <f t="shared" si="186"/>
        <v>-51117.194662187358</v>
      </c>
      <c r="L1344" s="4">
        <f>IF(A1344&gt;'Yield Curve'!A1958,L1343,(1+VLOOKUP(A1344,'Yield Curve'!A1337:B1959,2,FALSE))^(1/12)-1)</f>
        <v>7.9741404289037643E-3</v>
      </c>
      <c r="M1344" s="5">
        <f t="shared" si="187"/>
        <v>-1.2594513527771263</v>
      </c>
    </row>
    <row r="1345" spans="1:13" x14ac:dyDescent="0.25">
      <c r="A1345" s="4">
        <v>1337</v>
      </c>
      <c r="B1345" s="4">
        <f t="shared" si="180"/>
        <v>156</v>
      </c>
      <c r="C1345" s="4">
        <f t="shared" si="181"/>
        <v>1352</v>
      </c>
      <c r="D1345" s="4">
        <f>IF(B1345&gt;'Mortality Table'!$A$118,D1344,VLOOKUP(B1345,'Mortality Table'!$A$2:$B$118,2,FALSE))</f>
        <v>0.59733000000000003</v>
      </c>
      <c r="E1345" s="4">
        <f>IF(INT((C1345-1)/12)+1&gt;'Lapse Table'!$A$11,E1344,VLOOKUP(INT((C1345-1)/12)+1,'Lapse Table'!$A$2:$B$11,2,FALSE))/12</f>
        <v>0</v>
      </c>
      <c r="F1345" s="5">
        <f t="shared" si="188"/>
        <v>-40.240617365620707</v>
      </c>
      <c r="G1345" s="6">
        <f t="shared" si="182"/>
        <v>4.9777500000000002E-2</v>
      </c>
      <c r="H1345" s="6">
        <f t="shared" si="183"/>
        <v>0</v>
      </c>
      <c r="I1345" s="7">
        <f t="shared" si="184"/>
        <v>-1341.3539121873569</v>
      </c>
      <c r="J1345" s="8">
        <f t="shared" si="185"/>
        <v>49777.5</v>
      </c>
      <c r="K1345" s="7">
        <f t="shared" si="186"/>
        <v>-51118.853912187355</v>
      </c>
      <c r="L1345" s="4">
        <f>IF(A1345&gt;'Yield Curve'!A1959,L1344,(1+VLOOKUP(A1345,'Yield Curve'!A1338:B1960,2,FALSE))^(1/12)-1)</f>
        <v>7.9741404289037643E-3</v>
      </c>
      <c r="M1345" s="5">
        <f t="shared" si="187"/>
        <v>-1.2495283199266929</v>
      </c>
    </row>
    <row r="1346" spans="1:13" x14ac:dyDescent="0.25">
      <c r="A1346" s="4">
        <v>1338</v>
      </c>
      <c r="B1346" s="4">
        <f t="shared" si="180"/>
        <v>156</v>
      </c>
      <c r="C1346" s="4">
        <f t="shared" si="181"/>
        <v>1353</v>
      </c>
      <c r="D1346" s="4">
        <f>IF(B1346&gt;'Mortality Table'!$A$118,D1345,VLOOKUP(B1346,'Mortality Table'!$A$2:$B$118,2,FALSE))</f>
        <v>0.59733000000000003</v>
      </c>
      <c r="E1346" s="4">
        <f>IF(INT((C1346-1)/12)+1&gt;'Lapse Table'!$A$11,E1345,VLOOKUP(INT((C1346-1)/12)+1,'Lapse Table'!$A$2:$B$11,2,FALSE))/12</f>
        <v>0</v>
      </c>
      <c r="F1346" s="5">
        <f t="shared" si="188"/>
        <v>-40.290394865620705</v>
      </c>
      <c r="G1346" s="6">
        <f t="shared" si="182"/>
        <v>4.9777500000000002E-2</v>
      </c>
      <c r="H1346" s="6">
        <f t="shared" si="183"/>
        <v>0</v>
      </c>
      <c r="I1346" s="7">
        <f t="shared" si="184"/>
        <v>-1343.0131621873568</v>
      </c>
      <c r="J1346" s="8">
        <f t="shared" si="185"/>
        <v>49777.5</v>
      </c>
      <c r="K1346" s="7">
        <f t="shared" si="186"/>
        <v>-51120.513162187359</v>
      </c>
      <c r="L1346" s="4">
        <f>IF(A1346&gt;'Yield Curve'!A1960,L1345,(1+VLOOKUP(A1346,'Yield Curve'!A1339:B1961,2,FALSE))^(1/12)-1)</f>
        <v>7.9741404289037643E-3</v>
      </c>
      <c r="M1346" s="5">
        <f t="shared" si="187"/>
        <v>-1.2396834678934698</v>
      </c>
    </row>
    <row r="1347" spans="1:13" x14ac:dyDescent="0.25">
      <c r="A1347" s="4">
        <v>1339</v>
      </c>
      <c r="B1347" s="4">
        <f t="shared" si="180"/>
        <v>156</v>
      </c>
      <c r="C1347" s="4">
        <f t="shared" si="181"/>
        <v>1354</v>
      </c>
      <c r="D1347" s="4">
        <f>IF(B1347&gt;'Mortality Table'!$A$118,D1346,VLOOKUP(B1347,'Mortality Table'!$A$2:$B$118,2,FALSE))</f>
        <v>0.59733000000000003</v>
      </c>
      <c r="E1347" s="4">
        <f>IF(INT((C1347-1)/12)+1&gt;'Lapse Table'!$A$11,E1346,VLOOKUP(INT((C1347-1)/12)+1,'Lapse Table'!$A$2:$B$11,2,FALSE))/12</f>
        <v>0</v>
      </c>
      <c r="F1347" s="5">
        <f t="shared" si="188"/>
        <v>-40.340172365620703</v>
      </c>
      <c r="G1347" s="6">
        <f t="shared" si="182"/>
        <v>4.9777500000000002E-2</v>
      </c>
      <c r="H1347" s="6">
        <f t="shared" si="183"/>
        <v>0</v>
      </c>
      <c r="I1347" s="7">
        <f t="shared" si="184"/>
        <v>-1344.6724121873567</v>
      </c>
      <c r="J1347" s="8">
        <f t="shared" si="185"/>
        <v>49777.5</v>
      </c>
      <c r="K1347" s="7">
        <f t="shared" si="186"/>
        <v>-51122.172412187356</v>
      </c>
      <c r="L1347" s="4">
        <f>IF(A1347&gt;'Yield Curve'!A1961,L1346,(1+VLOOKUP(A1347,'Yield Curve'!A1340:B1962,2,FALSE))^(1/12)-1)</f>
        <v>7.9741404289037643E-3</v>
      </c>
      <c r="M1347" s="5">
        <f t="shared" si="187"/>
        <v>-1.2299161807229078</v>
      </c>
    </row>
    <row r="1348" spans="1:13" x14ac:dyDescent="0.25">
      <c r="A1348" s="4">
        <v>1340</v>
      </c>
      <c r="B1348" s="4">
        <f t="shared" si="180"/>
        <v>156</v>
      </c>
      <c r="C1348" s="4">
        <f t="shared" si="181"/>
        <v>1355</v>
      </c>
      <c r="D1348" s="4">
        <f>IF(B1348&gt;'Mortality Table'!$A$118,D1347,VLOOKUP(B1348,'Mortality Table'!$A$2:$B$118,2,FALSE))</f>
        <v>0.59733000000000003</v>
      </c>
      <c r="E1348" s="4">
        <f>IF(INT((C1348-1)/12)+1&gt;'Lapse Table'!$A$11,E1347,VLOOKUP(INT((C1348-1)/12)+1,'Lapse Table'!$A$2:$B$11,2,FALSE))/12</f>
        <v>0</v>
      </c>
      <c r="F1348" s="5">
        <f t="shared" si="188"/>
        <v>-40.3899498656207</v>
      </c>
      <c r="G1348" s="6">
        <f t="shared" si="182"/>
        <v>4.9777500000000002E-2</v>
      </c>
      <c r="H1348" s="6">
        <f t="shared" si="183"/>
        <v>0</v>
      </c>
      <c r="I1348" s="7">
        <f t="shared" si="184"/>
        <v>-1346.3316621873566</v>
      </c>
      <c r="J1348" s="8">
        <f t="shared" si="185"/>
        <v>49777.5</v>
      </c>
      <c r="K1348" s="7">
        <f t="shared" si="186"/>
        <v>-51123.83166218736</v>
      </c>
      <c r="L1348" s="4">
        <f>IF(A1348&gt;'Yield Curve'!A1962,L1347,(1+VLOOKUP(A1348,'Yield Curve'!A1341:B1963,2,FALSE))^(1/12)-1)</f>
        <v>7.9741404289037643E-3</v>
      </c>
      <c r="M1348" s="5">
        <f t="shared" si="187"/>
        <v>-1.2202258473132277</v>
      </c>
    </row>
    <row r="1349" spans="1:13" x14ac:dyDescent="0.25">
      <c r="A1349" s="4">
        <v>1341</v>
      </c>
      <c r="B1349" s="4">
        <f t="shared" si="180"/>
        <v>156</v>
      </c>
      <c r="C1349" s="4">
        <f t="shared" si="181"/>
        <v>1356</v>
      </c>
      <c r="D1349" s="4">
        <f>IF(B1349&gt;'Mortality Table'!$A$118,D1348,VLOOKUP(B1349,'Mortality Table'!$A$2:$B$118,2,FALSE))</f>
        <v>0.59733000000000003</v>
      </c>
      <c r="E1349" s="4">
        <f>IF(INT((C1349-1)/12)+1&gt;'Lapse Table'!$A$11,E1348,VLOOKUP(INT((C1349-1)/12)+1,'Lapse Table'!$A$2:$B$11,2,FALSE))/12</f>
        <v>0</v>
      </c>
      <c r="F1349" s="5">
        <f t="shared" si="188"/>
        <v>-40.439727365620698</v>
      </c>
      <c r="G1349" s="6">
        <f t="shared" si="182"/>
        <v>4.9777500000000002E-2</v>
      </c>
      <c r="H1349" s="6">
        <f t="shared" si="183"/>
        <v>0</v>
      </c>
      <c r="I1349" s="7">
        <f t="shared" si="184"/>
        <v>-1347.9909121873566</v>
      </c>
      <c r="J1349" s="8">
        <f t="shared" si="185"/>
        <v>49777.5</v>
      </c>
      <c r="K1349" s="7">
        <f t="shared" si="186"/>
        <v>-51125.490912187357</v>
      </c>
      <c r="L1349" s="4">
        <f>IF(A1349&gt;'Yield Curve'!A1963,L1348,(1+VLOOKUP(A1349,'Yield Curve'!A1342:B1964,2,FALSE))^(1/12)-1)</f>
        <v>7.9741404289037643E-3</v>
      </c>
      <c r="M1349" s="5">
        <f t="shared" si="187"/>
        <v>-1.2106118613771888</v>
      </c>
    </row>
    <row r="1350" spans="1:13" x14ac:dyDescent="0.25">
      <c r="A1350" s="4">
        <v>1342</v>
      </c>
      <c r="B1350" s="4">
        <f t="shared" si="180"/>
        <v>156</v>
      </c>
      <c r="C1350" s="4">
        <f t="shared" si="181"/>
        <v>1357</v>
      </c>
      <c r="D1350" s="4">
        <f>IF(B1350&gt;'Mortality Table'!$A$118,D1349,VLOOKUP(B1350,'Mortality Table'!$A$2:$B$118,2,FALSE))</f>
        <v>0.59733000000000003</v>
      </c>
      <c r="E1350" s="4">
        <f>IF(INT((C1350-1)/12)+1&gt;'Lapse Table'!$A$11,E1349,VLOOKUP(INT((C1350-1)/12)+1,'Lapse Table'!$A$2:$B$11,2,FALSE))/12</f>
        <v>0</v>
      </c>
      <c r="F1350" s="5">
        <f t="shared" si="188"/>
        <v>-40.489504865620695</v>
      </c>
      <c r="G1350" s="6">
        <f t="shared" si="182"/>
        <v>4.9777500000000002E-2</v>
      </c>
      <c r="H1350" s="6">
        <f t="shared" si="183"/>
        <v>0</v>
      </c>
      <c r="I1350" s="7">
        <f t="shared" si="184"/>
        <v>-1349.6501621873565</v>
      </c>
      <c r="J1350" s="8">
        <f t="shared" si="185"/>
        <v>49777.5</v>
      </c>
      <c r="K1350" s="7">
        <f t="shared" si="186"/>
        <v>-51127.150162187354</v>
      </c>
      <c r="L1350" s="4">
        <f>IF(A1350&gt;'Yield Curve'!A1964,L1349,(1+VLOOKUP(A1350,'Yield Curve'!A1343:B1965,2,FALSE))^(1/12)-1)</f>
        <v>7.9741404289037643E-3</v>
      </c>
      <c r="M1350" s="5">
        <f t="shared" si="187"/>
        <v>-1.2010736214041602</v>
      </c>
    </row>
    <row r="1351" spans="1:13" x14ac:dyDescent="0.25">
      <c r="A1351" s="4">
        <v>1343</v>
      </c>
      <c r="B1351" s="4">
        <f t="shared" si="180"/>
        <v>156</v>
      </c>
      <c r="C1351" s="4">
        <f t="shared" si="181"/>
        <v>1358</v>
      </c>
      <c r="D1351" s="4">
        <f>IF(B1351&gt;'Mortality Table'!$A$118,D1350,VLOOKUP(B1351,'Mortality Table'!$A$2:$B$118,2,FALSE))</f>
        <v>0.59733000000000003</v>
      </c>
      <c r="E1351" s="4">
        <f>IF(INT((C1351-1)/12)+1&gt;'Lapse Table'!$A$11,E1350,VLOOKUP(INT((C1351-1)/12)+1,'Lapse Table'!$A$2:$B$11,2,FALSE))/12</f>
        <v>0</v>
      </c>
      <c r="F1351" s="5">
        <f t="shared" si="188"/>
        <v>-40.539282365620693</v>
      </c>
      <c r="G1351" s="6">
        <f t="shared" si="182"/>
        <v>4.9777500000000002E-2</v>
      </c>
      <c r="H1351" s="6">
        <f t="shared" si="183"/>
        <v>0</v>
      </c>
      <c r="I1351" s="7">
        <f t="shared" si="184"/>
        <v>-1351.3094121873564</v>
      </c>
      <c r="J1351" s="8">
        <f t="shared" si="185"/>
        <v>49777.5</v>
      </c>
      <c r="K1351" s="7">
        <f t="shared" si="186"/>
        <v>-51128.809412187358</v>
      </c>
      <c r="L1351" s="4">
        <f>IF(A1351&gt;'Yield Curve'!A1965,L1350,(1+VLOOKUP(A1351,'Yield Curve'!A1344:B1966,2,FALSE))^(1/12)-1)</f>
        <v>7.9741404289037643E-3</v>
      </c>
      <c r="M1351" s="5">
        <f t="shared" si="187"/>
        <v>-1.1916105306224853</v>
      </c>
    </row>
    <row r="1352" spans="1:13" x14ac:dyDescent="0.25">
      <c r="A1352" s="4">
        <v>1344</v>
      </c>
      <c r="B1352" s="4">
        <f t="shared" si="180"/>
        <v>157</v>
      </c>
      <c r="C1352" s="4">
        <f t="shared" si="181"/>
        <v>1359</v>
      </c>
      <c r="D1352" s="4">
        <f>IF(B1352&gt;'Mortality Table'!$A$118,D1351,VLOOKUP(B1352,'Mortality Table'!$A$2:$B$118,2,FALSE))</f>
        <v>0.59733000000000003</v>
      </c>
      <c r="E1352" s="4">
        <f>IF(INT((C1352-1)/12)+1&gt;'Lapse Table'!$A$11,E1351,VLOOKUP(INT((C1352-1)/12)+1,'Lapse Table'!$A$2:$B$11,2,FALSE))/12</f>
        <v>0</v>
      </c>
      <c r="F1352" s="5">
        <f t="shared" si="188"/>
        <v>-40.58905986562069</v>
      </c>
      <c r="G1352" s="6">
        <f t="shared" si="182"/>
        <v>4.9777500000000002E-2</v>
      </c>
      <c r="H1352" s="6">
        <f t="shared" si="183"/>
        <v>0</v>
      </c>
      <c r="I1352" s="7">
        <f t="shared" si="184"/>
        <v>-1352.9686621873564</v>
      </c>
      <c r="J1352" s="8">
        <f t="shared" si="185"/>
        <v>49777.5</v>
      </c>
      <c r="K1352" s="7">
        <f t="shared" si="186"/>
        <v>-51130.468662187355</v>
      </c>
      <c r="L1352" s="4">
        <f>IF(A1352&gt;'Yield Curve'!A1966,L1351,(1+VLOOKUP(A1352,'Yield Curve'!A1345:B1967,2,FALSE))^(1/12)-1)</f>
        <v>7.9741404289037643E-3</v>
      </c>
      <c r="M1352" s="5">
        <f t="shared" si="187"/>
        <v>-1.1822219969621506</v>
      </c>
    </row>
    <row r="1353" spans="1:13" x14ac:dyDescent="0.25">
      <c r="A1353" s="4">
        <v>1345</v>
      </c>
      <c r="B1353" s="4">
        <f t="shared" si="180"/>
        <v>157</v>
      </c>
      <c r="C1353" s="4">
        <f t="shared" si="181"/>
        <v>1360</v>
      </c>
      <c r="D1353" s="4">
        <f>IF(B1353&gt;'Mortality Table'!$A$118,D1352,VLOOKUP(B1353,'Mortality Table'!$A$2:$B$118,2,FALSE))</f>
        <v>0.59733000000000003</v>
      </c>
      <c r="E1353" s="4">
        <f>IF(INT((C1353-1)/12)+1&gt;'Lapse Table'!$A$11,E1352,VLOOKUP(INT((C1353-1)/12)+1,'Lapse Table'!$A$2:$B$11,2,FALSE))/12</f>
        <v>0</v>
      </c>
      <c r="F1353" s="5">
        <f t="shared" si="188"/>
        <v>-40.638837365620688</v>
      </c>
      <c r="G1353" s="6">
        <f t="shared" si="182"/>
        <v>4.9777500000000002E-2</v>
      </c>
      <c r="H1353" s="6">
        <f t="shared" si="183"/>
        <v>0</v>
      </c>
      <c r="I1353" s="7">
        <f t="shared" si="184"/>
        <v>-1354.6279121873563</v>
      </c>
      <c r="J1353" s="8">
        <f t="shared" si="185"/>
        <v>49777.5</v>
      </c>
      <c r="K1353" s="7">
        <f t="shared" si="186"/>
        <v>-51132.127912187359</v>
      </c>
      <c r="L1353" s="4">
        <f>IF(A1353&gt;'Yield Curve'!A1967,L1352,(1+VLOOKUP(A1353,'Yield Curve'!A1346:B1968,2,FALSE))^(1/12)-1)</f>
        <v>7.9741404289037643E-3</v>
      </c>
      <c r="M1353" s="5">
        <f t="shared" si="187"/>
        <v>-1.1729074330177436</v>
      </c>
    </row>
    <row r="1354" spans="1:13" x14ac:dyDescent="0.25">
      <c r="A1354" s="4">
        <v>1346</v>
      </c>
      <c r="B1354" s="4">
        <f t="shared" ref="B1354:B1417" si="189">INT($B$3+A1354/12)</f>
        <v>157</v>
      </c>
      <c r="C1354" s="4">
        <f t="shared" ref="C1354:C1417" si="190">$B$4+A1354</f>
        <v>1361</v>
      </c>
      <c r="D1354" s="4">
        <f>IF(B1354&gt;'Mortality Table'!$A$118,D1353,VLOOKUP(B1354,'Mortality Table'!$A$2:$B$118,2,FALSE))</f>
        <v>0.59733000000000003</v>
      </c>
      <c r="E1354" s="4">
        <f>IF(INT((C1354-1)/12)+1&gt;'Lapse Table'!$A$11,E1353,VLOOKUP(INT((C1354-1)/12)+1,'Lapse Table'!$A$2:$B$11,2,FALSE))/12</f>
        <v>0</v>
      </c>
      <c r="F1354" s="5">
        <f t="shared" si="188"/>
        <v>-40.688614865620686</v>
      </c>
      <c r="G1354" s="6">
        <f t="shared" ref="G1354:G1417" si="191">D1354/12*(1-0.5*E1354)</f>
        <v>4.9777500000000002E-2</v>
      </c>
      <c r="H1354" s="6">
        <f t="shared" ref="H1354:H1417" si="192">E1354*(1-0.5*D1354)</f>
        <v>0</v>
      </c>
      <c r="I1354" s="7">
        <f t="shared" ref="I1354:I1417" si="193">F1354*$B$5/12</f>
        <v>-1356.2871621873562</v>
      </c>
      <c r="J1354" s="8">
        <f t="shared" ref="J1354:J1417" si="194">$B$6*G1354</f>
        <v>49777.5</v>
      </c>
      <c r="K1354" s="7">
        <f t="shared" ref="K1354:K1417" si="195">I1354-J1354</f>
        <v>-51133.787162187356</v>
      </c>
      <c r="L1354" s="4">
        <f>IF(A1354&gt;'Yield Curve'!A1968,L1353,(1+VLOOKUP(A1354,'Yield Curve'!A1347:B1969,2,FALSE))^(1/12)-1)</f>
        <v>7.9741404289037643E-3</v>
      </c>
      <c r="M1354" s="5">
        <f t="shared" ref="M1354:M1417" si="196">K1354*(1+L1354)^-A1354</f>
        <v>-1.1636662560117015</v>
      </c>
    </row>
    <row r="1355" spans="1:13" x14ac:dyDescent="0.25">
      <c r="A1355" s="4">
        <v>1347</v>
      </c>
      <c r="B1355" s="4">
        <f t="shared" si="189"/>
        <v>157</v>
      </c>
      <c r="C1355" s="4">
        <f t="shared" si="190"/>
        <v>1362</v>
      </c>
      <c r="D1355" s="4">
        <f>IF(B1355&gt;'Mortality Table'!$A$118,D1354,VLOOKUP(B1355,'Mortality Table'!$A$2:$B$118,2,FALSE))</f>
        <v>0.59733000000000003</v>
      </c>
      <c r="E1355" s="4">
        <f>IF(INT((C1355-1)/12)+1&gt;'Lapse Table'!$A$11,E1354,VLOOKUP(INT((C1355-1)/12)+1,'Lapse Table'!$A$2:$B$11,2,FALSE))/12</f>
        <v>0</v>
      </c>
      <c r="F1355" s="5">
        <f t="shared" ref="F1355:F1418" si="197">F1354-G1355-H1355</f>
        <v>-40.738392365620683</v>
      </c>
      <c r="G1355" s="6">
        <f t="shared" si="191"/>
        <v>4.9777500000000002E-2</v>
      </c>
      <c r="H1355" s="6">
        <f t="shared" si="192"/>
        <v>0</v>
      </c>
      <c r="I1355" s="7">
        <f t="shared" si="193"/>
        <v>-1357.9464121873561</v>
      </c>
      <c r="J1355" s="8">
        <f t="shared" si="194"/>
        <v>49777.5</v>
      </c>
      <c r="K1355" s="7">
        <f t="shared" si="195"/>
        <v>-51135.446412187353</v>
      </c>
      <c r="L1355" s="4">
        <f>IF(A1355&gt;'Yield Curve'!A1969,L1354,(1+VLOOKUP(A1355,'Yield Curve'!A1348:B1970,2,FALSE))^(1/12)-1)</f>
        <v>7.9741404289037643E-3</v>
      </c>
      <c r="M1355" s="5">
        <f t="shared" si="196"/>
        <v>-1.1544978877578533</v>
      </c>
    </row>
    <row r="1356" spans="1:13" x14ac:dyDescent="0.25">
      <c r="A1356" s="4">
        <v>1348</v>
      </c>
      <c r="B1356" s="4">
        <f t="shared" si="189"/>
        <v>157</v>
      </c>
      <c r="C1356" s="4">
        <f t="shared" si="190"/>
        <v>1363</v>
      </c>
      <c r="D1356" s="4">
        <f>IF(B1356&gt;'Mortality Table'!$A$118,D1355,VLOOKUP(B1356,'Mortality Table'!$A$2:$B$118,2,FALSE))</f>
        <v>0.59733000000000003</v>
      </c>
      <c r="E1356" s="4">
        <f>IF(INT((C1356-1)/12)+1&gt;'Lapse Table'!$A$11,E1355,VLOOKUP(INT((C1356-1)/12)+1,'Lapse Table'!$A$2:$B$11,2,FALSE))/12</f>
        <v>0</v>
      </c>
      <c r="F1356" s="5">
        <f t="shared" si="197"/>
        <v>-40.788169865620681</v>
      </c>
      <c r="G1356" s="6">
        <f t="shared" si="191"/>
        <v>4.9777500000000002E-2</v>
      </c>
      <c r="H1356" s="6">
        <f t="shared" si="192"/>
        <v>0</v>
      </c>
      <c r="I1356" s="7">
        <f t="shared" si="193"/>
        <v>-1359.6056621873561</v>
      </c>
      <c r="J1356" s="8">
        <f t="shared" si="194"/>
        <v>49777.5</v>
      </c>
      <c r="K1356" s="7">
        <f t="shared" si="195"/>
        <v>-51137.105662187358</v>
      </c>
      <c r="L1356" s="4">
        <f>IF(A1356&gt;'Yield Curve'!A1970,L1355,(1+VLOOKUP(A1356,'Yield Curve'!A1349:B1971,2,FALSE))^(1/12)-1)</f>
        <v>7.9741404289037643E-3</v>
      </c>
      <c r="M1356" s="5">
        <f t="shared" si="196"/>
        <v>-1.1454017546252475</v>
      </c>
    </row>
    <row r="1357" spans="1:13" x14ac:dyDescent="0.25">
      <c r="A1357" s="4">
        <v>1349</v>
      </c>
      <c r="B1357" s="4">
        <f t="shared" si="189"/>
        <v>157</v>
      </c>
      <c r="C1357" s="4">
        <f t="shared" si="190"/>
        <v>1364</v>
      </c>
      <c r="D1357" s="4">
        <f>IF(B1357&gt;'Mortality Table'!$A$118,D1356,VLOOKUP(B1357,'Mortality Table'!$A$2:$B$118,2,FALSE))</f>
        <v>0.59733000000000003</v>
      </c>
      <c r="E1357" s="4">
        <f>IF(INT((C1357-1)/12)+1&gt;'Lapse Table'!$A$11,E1356,VLOOKUP(INT((C1357-1)/12)+1,'Lapse Table'!$A$2:$B$11,2,FALSE))/12</f>
        <v>0</v>
      </c>
      <c r="F1357" s="5">
        <f t="shared" si="197"/>
        <v>-40.837947365620678</v>
      </c>
      <c r="G1357" s="6">
        <f t="shared" si="191"/>
        <v>4.9777500000000002E-2</v>
      </c>
      <c r="H1357" s="6">
        <f t="shared" si="192"/>
        <v>0</v>
      </c>
      <c r="I1357" s="7">
        <f t="shared" si="193"/>
        <v>-1361.264912187356</v>
      </c>
      <c r="J1357" s="8">
        <f t="shared" si="194"/>
        <v>49777.5</v>
      </c>
      <c r="K1357" s="7">
        <f t="shared" si="195"/>
        <v>-51138.764912187355</v>
      </c>
      <c r="L1357" s="4">
        <f>IF(A1357&gt;'Yield Curve'!A1971,L1356,(1+VLOOKUP(A1357,'Yield Curve'!A1350:B1972,2,FALSE))^(1/12)-1)</f>
        <v>7.9741404289037643E-3</v>
      </c>
      <c r="M1357" s="5">
        <f t="shared" si="196"/>
        <v>-1.1363772875022637</v>
      </c>
    </row>
    <row r="1358" spans="1:13" x14ac:dyDescent="0.25">
      <c r="A1358" s="4">
        <v>1350</v>
      </c>
      <c r="B1358" s="4">
        <f t="shared" si="189"/>
        <v>157</v>
      </c>
      <c r="C1358" s="4">
        <f t="shared" si="190"/>
        <v>1365</v>
      </c>
      <c r="D1358" s="4">
        <f>IF(B1358&gt;'Mortality Table'!$A$118,D1357,VLOOKUP(B1358,'Mortality Table'!$A$2:$B$118,2,FALSE))</f>
        <v>0.59733000000000003</v>
      </c>
      <c r="E1358" s="4">
        <f>IF(INT((C1358-1)/12)+1&gt;'Lapse Table'!$A$11,E1357,VLOOKUP(INT((C1358-1)/12)+1,'Lapse Table'!$A$2:$B$11,2,FALSE))/12</f>
        <v>0</v>
      </c>
      <c r="F1358" s="5">
        <f t="shared" si="197"/>
        <v>-40.887724865620676</v>
      </c>
      <c r="G1358" s="6">
        <f t="shared" si="191"/>
        <v>4.9777500000000002E-2</v>
      </c>
      <c r="H1358" s="6">
        <f t="shared" si="192"/>
        <v>0</v>
      </c>
      <c r="I1358" s="7">
        <f t="shared" si="193"/>
        <v>-1362.9241621873559</v>
      </c>
      <c r="J1358" s="8">
        <f t="shared" si="194"/>
        <v>49777.5</v>
      </c>
      <c r="K1358" s="7">
        <f t="shared" si="195"/>
        <v>-51140.424162187359</v>
      </c>
      <c r="L1358" s="4">
        <f>IF(A1358&gt;'Yield Curve'!A1972,L1357,(1+VLOOKUP(A1358,'Yield Curve'!A1351:B1973,2,FALSE))^(1/12)-1)</f>
        <v>7.9741404289037643E-3</v>
      </c>
      <c r="M1358" s="5">
        <f t="shared" si="196"/>
        <v>-1.1274239217610089</v>
      </c>
    </row>
    <row r="1359" spans="1:13" x14ac:dyDescent="0.25">
      <c r="A1359" s="4">
        <v>1351</v>
      </c>
      <c r="B1359" s="4">
        <f t="shared" si="189"/>
        <v>157</v>
      </c>
      <c r="C1359" s="4">
        <f t="shared" si="190"/>
        <v>1366</v>
      </c>
      <c r="D1359" s="4">
        <f>IF(B1359&gt;'Mortality Table'!$A$118,D1358,VLOOKUP(B1359,'Mortality Table'!$A$2:$B$118,2,FALSE))</f>
        <v>0.59733000000000003</v>
      </c>
      <c r="E1359" s="4">
        <f>IF(INT((C1359-1)/12)+1&gt;'Lapse Table'!$A$11,E1358,VLOOKUP(INT((C1359-1)/12)+1,'Lapse Table'!$A$2:$B$11,2,FALSE))/12</f>
        <v>0</v>
      </c>
      <c r="F1359" s="5">
        <f t="shared" si="197"/>
        <v>-40.937502365620674</v>
      </c>
      <c r="G1359" s="6">
        <f t="shared" si="191"/>
        <v>4.9777500000000002E-2</v>
      </c>
      <c r="H1359" s="6">
        <f t="shared" si="192"/>
        <v>0</v>
      </c>
      <c r="I1359" s="7">
        <f t="shared" si="193"/>
        <v>-1364.5834121873559</v>
      </c>
      <c r="J1359" s="8">
        <f t="shared" si="194"/>
        <v>49777.5</v>
      </c>
      <c r="K1359" s="7">
        <f t="shared" si="195"/>
        <v>-51142.083412187356</v>
      </c>
      <c r="L1359" s="4">
        <f>IF(A1359&gt;'Yield Curve'!A1973,L1358,(1+VLOOKUP(A1359,'Yield Curve'!A1352:B1974,2,FALSE))^(1/12)-1)</f>
        <v>7.9741404289037643E-3</v>
      </c>
      <c r="M1359" s="5">
        <f t="shared" si="196"/>
        <v>-1.1185410972219911</v>
      </c>
    </row>
    <row r="1360" spans="1:13" x14ac:dyDescent="0.25">
      <c r="A1360" s="4">
        <v>1352</v>
      </c>
      <c r="B1360" s="4">
        <f t="shared" si="189"/>
        <v>157</v>
      </c>
      <c r="C1360" s="4">
        <f t="shared" si="190"/>
        <v>1367</v>
      </c>
      <c r="D1360" s="4">
        <f>IF(B1360&gt;'Mortality Table'!$A$118,D1359,VLOOKUP(B1360,'Mortality Table'!$A$2:$B$118,2,FALSE))</f>
        <v>0.59733000000000003</v>
      </c>
      <c r="E1360" s="4">
        <f>IF(INT((C1360-1)/12)+1&gt;'Lapse Table'!$A$11,E1359,VLOOKUP(INT((C1360-1)/12)+1,'Lapse Table'!$A$2:$B$11,2,FALSE))/12</f>
        <v>0</v>
      </c>
      <c r="F1360" s="5">
        <f t="shared" si="197"/>
        <v>-40.987279865620671</v>
      </c>
      <c r="G1360" s="6">
        <f t="shared" si="191"/>
        <v>4.9777500000000002E-2</v>
      </c>
      <c r="H1360" s="6">
        <f t="shared" si="192"/>
        <v>0</v>
      </c>
      <c r="I1360" s="7">
        <f t="shared" si="193"/>
        <v>-1366.2426621873556</v>
      </c>
      <c r="J1360" s="8">
        <f t="shared" si="194"/>
        <v>49777.5</v>
      </c>
      <c r="K1360" s="7">
        <f t="shared" si="195"/>
        <v>-51143.742662187353</v>
      </c>
      <c r="L1360" s="4">
        <f>IF(A1360&gt;'Yield Curve'!A1974,L1359,(1+VLOOKUP(A1360,'Yield Curve'!A1353:B1975,2,FALSE))^(1/12)-1)</f>
        <v>7.9741404289037643E-3</v>
      </c>
      <c r="M1360" s="5">
        <f t="shared" si="196"/>
        <v>-1.1097282581190753</v>
      </c>
    </row>
    <row r="1361" spans="1:13" x14ac:dyDescent="0.25">
      <c r="A1361" s="4">
        <v>1353</v>
      </c>
      <c r="B1361" s="4">
        <f t="shared" si="189"/>
        <v>157</v>
      </c>
      <c r="C1361" s="4">
        <f t="shared" si="190"/>
        <v>1368</v>
      </c>
      <c r="D1361" s="4">
        <f>IF(B1361&gt;'Mortality Table'!$A$118,D1360,VLOOKUP(B1361,'Mortality Table'!$A$2:$B$118,2,FALSE))</f>
        <v>0.59733000000000003</v>
      </c>
      <c r="E1361" s="4">
        <f>IF(INT((C1361-1)/12)+1&gt;'Lapse Table'!$A$11,E1360,VLOOKUP(INT((C1361-1)/12)+1,'Lapse Table'!$A$2:$B$11,2,FALSE))/12</f>
        <v>0</v>
      </c>
      <c r="F1361" s="5">
        <f t="shared" si="197"/>
        <v>-41.037057365620669</v>
      </c>
      <c r="G1361" s="6">
        <f t="shared" si="191"/>
        <v>4.9777500000000002E-2</v>
      </c>
      <c r="H1361" s="6">
        <f t="shared" si="192"/>
        <v>0</v>
      </c>
      <c r="I1361" s="7">
        <f t="shared" si="193"/>
        <v>-1367.9019121873555</v>
      </c>
      <c r="J1361" s="8">
        <f t="shared" si="194"/>
        <v>49777.5</v>
      </c>
      <c r="K1361" s="7">
        <f t="shared" si="195"/>
        <v>-51145.401912187357</v>
      </c>
      <c r="L1361" s="4">
        <f>IF(A1361&gt;'Yield Curve'!A1975,L1360,(1+VLOOKUP(A1361,'Yield Curve'!A1354:B1976,2,FALSE))^(1/12)-1)</f>
        <v>7.9741404289037643E-3</v>
      </c>
      <c r="M1361" s="5">
        <f t="shared" si="196"/>
        <v>-1.1009848530647137</v>
      </c>
    </row>
    <row r="1362" spans="1:13" x14ac:dyDescent="0.25">
      <c r="A1362" s="4">
        <v>1354</v>
      </c>
      <c r="B1362" s="4">
        <f t="shared" si="189"/>
        <v>157</v>
      </c>
      <c r="C1362" s="4">
        <f t="shared" si="190"/>
        <v>1369</v>
      </c>
      <c r="D1362" s="4">
        <f>IF(B1362&gt;'Mortality Table'!$A$118,D1361,VLOOKUP(B1362,'Mortality Table'!$A$2:$B$118,2,FALSE))</f>
        <v>0.59733000000000003</v>
      </c>
      <c r="E1362" s="4">
        <f>IF(INT((C1362-1)/12)+1&gt;'Lapse Table'!$A$11,E1361,VLOOKUP(INT((C1362-1)/12)+1,'Lapse Table'!$A$2:$B$11,2,FALSE))/12</f>
        <v>0</v>
      </c>
      <c r="F1362" s="5">
        <f t="shared" si="197"/>
        <v>-41.086834865620666</v>
      </c>
      <c r="G1362" s="6">
        <f t="shared" si="191"/>
        <v>4.9777500000000002E-2</v>
      </c>
      <c r="H1362" s="6">
        <f t="shared" si="192"/>
        <v>0</v>
      </c>
      <c r="I1362" s="7">
        <f t="shared" si="193"/>
        <v>-1369.5611621873556</v>
      </c>
      <c r="J1362" s="8">
        <f t="shared" si="194"/>
        <v>49777.5</v>
      </c>
      <c r="K1362" s="7">
        <f t="shared" si="195"/>
        <v>-51147.061162187354</v>
      </c>
      <c r="L1362" s="4">
        <f>IF(A1362&gt;'Yield Curve'!A1976,L1361,(1+VLOOKUP(A1362,'Yield Curve'!A1355:B1977,2,FALSE))^(1/12)-1)</f>
        <v>7.9741404289037643E-3</v>
      </c>
      <c r="M1362" s="5">
        <f t="shared" si="196"/>
        <v>-1.0923103350154482</v>
      </c>
    </row>
    <row r="1363" spans="1:13" x14ac:dyDescent="0.25">
      <c r="A1363" s="4">
        <v>1355</v>
      </c>
      <c r="B1363" s="4">
        <f t="shared" si="189"/>
        <v>157</v>
      </c>
      <c r="C1363" s="4">
        <f t="shared" si="190"/>
        <v>1370</v>
      </c>
      <c r="D1363" s="4">
        <f>IF(B1363&gt;'Mortality Table'!$A$118,D1362,VLOOKUP(B1363,'Mortality Table'!$A$2:$B$118,2,FALSE))</f>
        <v>0.59733000000000003</v>
      </c>
      <c r="E1363" s="4">
        <f>IF(INT((C1363-1)/12)+1&gt;'Lapse Table'!$A$11,E1362,VLOOKUP(INT((C1363-1)/12)+1,'Lapse Table'!$A$2:$B$11,2,FALSE))/12</f>
        <v>0</v>
      </c>
      <c r="F1363" s="5">
        <f t="shared" si="197"/>
        <v>-41.136612365620664</v>
      </c>
      <c r="G1363" s="6">
        <f t="shared" si="191"/>
        <v>4.9777500000000002E-2</v>
      </c>
      <c r="H1363" s="6">
        <f t="shared" si="192"/>
        <v>0</v>
      </c>
      <c r="I1363" s="7">
        <f t="shared" si="193"/>
        <v>-1371.2204121873556</v>
      </c>
      <c r="J1363" s="8">
        <f t="shared" si="194"/>
        <v>49777.5</v>
      </c>
      <c r="K1363" s="7">
        <f t="shared" si="195"/>
        <v>-51148.720412187358</v>
      </c>
      <c r="L1363" s="4">
        <f>IF(A1363&gt;'Yield Curve'!A1977,L1362,(1+VLOOKUP(A1363,'Yield Curve'!A1356:B1978,2,FALSE))^(1/12)-1)</f>
        <v>7.9741404289037643E-3</v>
      </c>
      <c r="M1363" s="5">
        <f t="shared" si="196"/>
        <v>-1.0837041612376874</v>
      </c>
    </row>
    <row r="1364" spans="1:13" x14ac:dyDescent="0.25">
      <c r="A1364" s="4">
        <v>1356</v>
      </c>
      <c r="B1364" s="4">
        <f t="shared" si="189"/>
        <v>158</v>
      </c>
      <c r="C1364" s="4">
        <f t="shared" si="190"/>
        <v>1371</v>
      </c>
      <c r="D1364" s="4">
        <f>IF(B1364&gt;'Mortality Table'!$A$118,D1363,VLOOKUP(B1364,'Mortality Table'!$A$2:$B$118,2,FALSE))</f>
        <v>0.59733000000000003</v>
      </c>
      <c r="E1364" s="4">
        <f>IF(INT((C1364-1)/12)+1&gt;'Lapse Table'!$A$11,E1363,VLOOKUP(INT((C1364-1)/12)+1,'Lapse Table'!$A$2:$B$11,2,FALSE))/12</f>
        <v>0</v>
      </c>
      <c r="F1364" s="5">
        <f t="shared" si="197"/>
        <v>-41.186389865620662</v>
      </c>
      <c r="G1364" s="6">
        <f t="shared" si="191"/>
        <v>4.9777500000000002E-2</v>
      </c>
      <c r="H1364" s="6">
        <f t="shared" si="192"/>
        <v>0</v>
      </c>
      <c r="I1364" s="7">
        <f t="shared" si="193"/>
        <v>-1372.8796621873553</v>
      </c>
      <c r="J1364" s="8">
        <f t="shared" si="194"/>
        <v>49777.5</v>
      </c>
      <c r="K1364" s="7">
        <f t="shared" si="195"/>
        <v>-51150.379662187355</v>
      </c>
      <c r="L1364" s="4">
        <f>IF(A1364&gt;'Yield Curve'!A1978,L1363,(1+VLOOKUP(A1364,'Yield Curve'!A1357:B1979,2,FALSE))^(1/12)-1)</f>
        <v>7.9741404289037643E-3</v>
      </c>
      <c r="M1364" s="5">
        <f t="shared" si="196"/>
        <v>-1.0751657932737515</v>
      </c>
    </row>
    <row r="1365" spans="1:13" x14ac:dyDescent="0.25">
      <c r="A1365" s="4">
        <v>1357</v>
      </c>
      <c r="B1365" s="4">
        <f t="shared" si="189"/>
        <v>158</v>
      </c>
      <c r="C1365" s="4">
        <f t="shared" si="190"/>
        <v>1372</v>
      </c>
      <c r="D1365" s="4">
        <f>IF(B1365&gt;'Mortality Table'!$A$118,D1364,VLOOKUP(B1365,'Mortality Table'!$A$2:$B$118,2,FALSE))</f>
        <v>0.59733000000000003</v>
      </c>
      <c r="E1365" s="4">
        <f>IF(INT((C1365-1)/12)+1&gt;'Lapse Table'!$A$11,E1364,VLOOKUP(INT((C1365-1)/12)+1,'Lapse Table'!$A$2:$B$11,2,FALSE))/12</f>
        <v>0</v>
      </c>
      <c r="F1365" s="5">
        <f t="shared" si="197"/>
        <v>-41.236167365620659</v>
      </c>
      <c r="G1365" s="6">
        <f t="shared" si="191"/>
        <v>4.9777500000000002E-2</v>
      </c>
      <c r="H1365" s="6">
        <f t="shared" si="192"/>
        <v>0</v>
      </c>
      <c r="I1365" s="7">
        <f t="shared" si="193"/>
        <v>-1374.5389121873552</v>
      </c>
      <c r="J1365" s="8">
        <f t="shared" si="194"/>
        <v>49777.5</v>
      </c>
      <c r="K1365" s="7">
        <f t="shared" si="195"/>
        <v>-51152.038912187352</v>
      </c>
      <c r="L1365" s="4">
        <f>IF(A1365&gt;'Yield Curve'!A1979,L1364,(1+VLOOKUP(A1365,'Yield Curve'!A1358:B1980,2,FALSE))^(1/12)-1)</f>
        <v>7.9741404289037643E-3</v>
      </c>
      <c r="M1365" s="5">
        <f t="shared" si="196"/>
        <v>-1.0666946969081854</v>
      </c>
    </row>
    <row r="1366" spans="1:13" x14ac:dyDescent="0.25">
      <c r="A1366" s="4">
        <v>1358</v>
      </c>
      <c r="B1366" s="4">
        <f t="shared" si="189"/>
        <v>158</v>
      </c>
      <c r="C1366" s="4">
        <f t="shared" si="190"/>
        <v>1373</v>
      </c>
      <c r="D1366" s="4">
        <f>IF(B1366&gt;'Mortality Table'!$A$118,D1365,VLOOKUP(B1366,'Mortality Table'!$A$2:$B$118,2,FALSE))</f>
        <v>0.59733000000000003</v>
      </c>
      <c r="E1366" s="4">
        <f>IF(INT((C1366-1)/12)+1&gt;'Lapse Table'!$A$11,E1365,VLOOKUP(INT((C1366-1)/12)+1,'Lapse Table'!$A$2:$B$11,2,FALSE))/12</f>
        <v>0</v>
      </c>
      <c r="F1366" s="5">
        <f t="shared" si="197"/>
        <v>-41.285944865620657</v>
      </c>
      <c r="G1366" s="6">
        <f t="shared" si="191"/>
        <v>4.9777500000000002E-2</v>
      </c>
      <c r="H1366" s="6">
        <f t="shared" si="192"/>
        <v>0</v>
      </c>
      <c r="I1366" s="7">
        <f t="shared" si="193"/>
        <v>-1376.1981621873554</v>
      </c>
      <c r="J1366" s="8">
        <f t="shared" si="194"/>
        <v>49777.5</v>
      </c>
      <c r="K1366" s="7">
        <f t="shared" si="195"/>
        <v>-51153.698162187357</v>
      </c>
      <c r="L1366" s="4">
        <f>IF(A1366&gt;'Yield Curve'!A1980,L1365,(1+VLOOKUP(A1366,'Yield Curve'!A1359:B1981,2,FALSE))^(1/12)-1)</f>
        <v>7.9741404289037643E-3</v>
      </c>
      <c r="M1366" s="5">
        <f t="shared" si="196"/>
        <v>-1.0582903421343373</v>
      </c>
    </row>
    <row r="1367" spans="1:13" x14ac:dyDescent="0.25">
      <c r="A1367" s="4">
        <v>1359</v>
      </c>
      <c r="B1367" s="4">
        <f t="shared" si="189"/>
        <v>158</v>
      </c>
      <c r="C1367" s="4">
        <f t="shared" si="190"/>
        <v>1374</v>
      </c>
      <c r="D1367" s="4">
        <f>IF(B1367&gt;'Mortality Table'!$A$118,D1366,VLOOKUP(B1367,'Mortality Table'!$A$2:$B$118,2,FALSE))</f>
        <v>0.59733000000000003</v>
      </c>
      <c r="E1367" s="4">
        <f>IF(INT((C1367-1)/12)+1&gt;'Lapse Table'!$A$11,E1366,VLOOKUP(INT((C1367-1)/12)+1,'Lapse Table'!$A$2:$B$11,2,FALSE))/12</f>
        <v>0</v>
      </c>
      <c r="F1367" s="5">
        <f t="shared" si="197"/>
        <v>-41.335722365620654</v>
      </c>
      <c r="G1367" s="6">
        <f t="shared" si="191"/>
        <v>4.9777500000000002E-2</v>
      </c>
      <c r="H1367" s="6">
        <f t="shared" si="192"/>
        <v>0</v>
      </c>
      <c r="I1367" s="7">
        <f t="shared" si="193"/>
        <v>-1377.8574121873553</v>
      </c>
      <c r="J1367" s="8">
        <f t="shared" si="194"/>
        <v>49777.5</v>
      </c>
      <c r="K1367" s="7">
        <f t="shared" si="195"/>
        <v>-51155.357412187353</v>
      </c>
      <c r="L1367" s="4">
        <f>IF(A1367&gt;'Yield Curve'!A1981,L1366,(1+VLOOKUP(A1367,'Yield Curve'!A1360:B1982,2,FALSE))^(1/12)-1)</f>
        <v>7.9741404289037643E-3</v>
      </c>
      <c r="M1367" s="5">
        <f t="shared" si="196"/>
        <v>-1.049952203121199</v>
      </c>
    </row>
    <row r="1368" spans="1:13" x14ac:dyDescent="0.25">
      <c r="A1368" s="4">
        <v>1360</v>
      </c>
      <c r="B1368" s="4">
        <f t="shared" si="189"/>
        <v>158</v>
      </c>
      <c r="C1368" s="4">
        <f t="shared" si="190"/>
        <v>1375</v>
      </c>
      <c r="D1368" s="4">
        <f>IF(B1368&gt;'Mortality Table'!$A$118,D1367,VLOOKUP(B1368,'Mortality Table'!$A$2:$B$118,2,FALSE))</f>
        <v>0.59733000000000003</v>
      </c>
      <c r="E1368" s="4">
        <f>IF(INT((C1368-1)/12)+1&gt;'Lapse Table'!$A$11,E1367,VLOOKUP(INT((C1368-1)/12)+1,'Lapse Table'!$A$2:$B$11,2,FALSE))/12</f>
        <v>0</v>
      </c>
      <c r="F1368" s="5">
        <f t="shared" si="197"/>
        <v>-41.385499865620652</v>
      </c>
      <c r="G1368" s="6">
        <f t="shared" si="191"/>
        <v>4.9777500000000002E-2</v>
      </c>
      <c r="H1368" s="6">
        <f t="shared" si="192"/>
        <v>0</v>
      </c>
      <c r="I1368" s="7">
        <f t="shared" si="193"/>
        <v>-1379.516662187355</v>
      </c>
      <c r="J1368" s="8">
        <f t="shared" si="194"/>
        <v>49777.5</v>
      </c>
      <c r="K1368" s="7">
        <f t="shared" si="195"/>
        <v>-51157.016662187358</v>
      </c>
      <c r="L1368" s="4">
        <f>IF(A1368&gt;'Yield Curve'!A1982,L1367,(1+VLOOKUP(A1368,'Yield Curve'!A1361:B1983,2,FALSE))^(1/12)-1)</f>
        <v>7.9741404289037643E-3</v>
      </c>
      <c r="M1368" s="5">
        <f t="shared" si="196"/>
        <v>-1.0416797581805106</v>
      </c>
    </row>
    <row r="1369" spans="1:13" x14ac:dyDescent="0.25">
      <c r="A1369" s="4">
        <v>1361</v>
      </c>
      <c r="B1369" s="4">
        <f t="shared" si="189"/>
        <v>158</v>
      </c>
      <c r="C1369" s="4">
        <f t="shared" si="190"/>
        <v>1376</v>
      </c>
      <c r="D1369" s="4">
        <f>IF(B1369&gt;'Mortality Table'!$A$118,D1368,VLOOKUP(B1369,'Mortality Table'!$A$2:$B$118,2,FALSE))</f>
        <v>0.59733000000000003</v>
      </c>
      <c r="E1369" s="4">
        <f>IF(INT((C1369-1)/12)+1&gt;'Lapse Table'!$A$11,E1368,VLOOKUP(INT((C1369-1)/12)+1,'Lapse Table'!$A$2:$B$11,2,FALSE))/12</f>
        <v>0</v>
      </c>
      <c r="F1369" s="5">
        <f t="shared" si="197"/>
        <v>-41.435277365620649</v>
      </c>
      <c r="G1369" s="6">
        <f t="shared" si="191"/>
        <v>4.9777500000000002E-2</v>
      </c>
      <c r="H1369" s="6">
        <f t="shared" si="192"/>
        <v>0</v>
      </c>
      <c r="I1369" s="7">
        <f t="shared" si="193"/>
        <v>-1381.1759121873549</v>
      </c>
      <c r="J1369" s="8">
        <f t="shared" si="194"/>
        <v>49777.5</v>
      </c>
      <c r="K1369" s="7">
        <f t="shared" si="195"/>
        <v>-51158.675912187355</v>
      </c>
      <c r="L1369" s="4">
        <f>IF(A1369&gt;'Yield Curve'!A1983,L1368,(1+VLOOKUP(A1369,'Yield Curve'!A1362:B1984,2,FALSE))^(1/12)-1)</f>
        <v>7.9741404289037643E-3</v>
      </c>
      <c r="M1369" s="5">
        <f t="shared" si="196"/>
        <v>-1.0334724897341221</v>
      </c>
    </row>
    <row r="1370" spans="1:13" x14ac:dyDescent="0.25">
      <c r="A1370" s="4">
        <v>1362</v>
      </c>
      <c r="B1370" s="4">
        <f t="shared" si="189"/>
        <v>158</v>
      </c>
      <c r="C1370" s="4">
        <f t="shared" si="190"/>
        <v>1377</v>
      </c>
      <c r="D1370" s="4">
        <f>IF(B1370&gt;'Mortality Table'!$A$118,D1369,VLOOKUP(B1370,'Mortality Table'!$A$2:$B$118,2,FALSE))</f>
        <v>0.59733000000000003</v>
      </c>
      <c r="E1370" s="4">
        <f>IF(INT((C1370-1)/12)+1&gt;'Lapse Table'!$A$11,E1369,VLOOKUP(INT((C1370-1)/12)+1,'Lapse Table'!$A$2:$B$11,2,FALSE))/12</f>
        <v>0</v>
      </c>
      <c r="F1370" s="5">
        <f t="shared" si="197"/>
        <v>-41.485054865620647</v>
      </c>
      <c r="G1370" s="6">
        <f t="shared" si="191"/>
        <v>4.9777500000000002E-2</v>
      </c>
      <c r="H1370" s="6">
        <f t="shared" si="192"/>
        <v>0</v>
      </c>
      <c r="I1370" s="7">
        <f t="shared" si="193"/>
        <v>-1382.8351621873551</v>
      </c>
      <c r="J1370" s="8">
        <f t="shared" si="194"/>
        <v>49777.5</v>
      </c>
      <c r="K1370" s="7">
        <f t="shared" si="195"/>
        <v>-51160.335162187352</v>
      </c>
      <c r="L1370" s="4">
        <f>IF(A1370&gt;'Yield Curve'!A1984,L1369,(1+VLOOKUP(A1370,'Yield Curve'!A1363:B1985,2,FALSE))^(1/12)-1)</f>
        <v>7.9741404289037643E-3</v>
      </c>
      <c r="M1370" s="5">
        <f t="shared" si="196"/>
        <v>-1.0253298842816112</v>
      </c>
    </row>
    <row r="1371" spans="1:13" x14ac:dyDescent="0.25">
      <c r="A1371" s="4">
        <v>1363</v>
      </c>
      <c r="B1371" s="4">
        <f t="shared" si="189"/>
        <v>158</v>
      </c>
      <c r="C1371" s="4">
        <f t="shared" si="190"/>
        <v>1378</v>
      </c>
      <c r="D1371" s="4">
        <f>IF(B1371&gt;'Mortality Table'!$A$118,D1370,VLOOKUP(B1371,'Mortality Table'!$A$2:$B$118,2,FALSE))</f>
        <v>0.59733000000000003</v>
      </c>
      <c r="E1371" s="4">
        <f>IF(INT((C1371-1)/12)+1&gt;'Lapse Table'!$A$11,E1370,VLOOKUP(INT((C1371-1)/12)+1,'Lapse Table'!$A$2:$B$11,2,FALSE))/12</f>
        <v>0</v>
      </c>
      <c r="F1371" s="5">
        <f t="shared" si="197"/>
        <v>-41.534832365620645</v>
      </c>
      <c r="G1371" s="6">
        <f t="shared" si="191"/>
        <v>4.9777500000000002E-2</v>
      </c>
      <c r="H1371" s="6">
        <f t="shared" si="192"/>
        <v>0</v>
      </c>
      <c r="I1371" s="7">
        <f t="shared" si="193"/>
        <v>-1384.4944121873548</v>
      </c>
      <c r="J1371" s="8">
        <f t="shared" si="194"/>
        <v>49777.5</v>
      </c>
      <c r="K1371" s="7">
        <f t="shared" si="195"/>
        <v>-51161.994412187356</v>
      </c>
      <c r="L1371" s="4">
        <f>IF(A1371&gt;'Yield Curve'!A1985,L1370,(1+VLOOKUP(A1371,'Yield Curve'!A1364:B1986,2,FALSE))^(1/12)-1)</f>
        <v>7.9741404289037643E-3</v>
      </c>
      <c r="M1371" s="5">
        <f t="shared" si="196"/>
        <v>-1.017251432368159</v>
      </c>
    </row>
    <row r="1372" spans="1:13" x14ac:dyDescent="0.25">
      <c r="A1372" s="4">
        <v>1364</v>
      </c>
      <c r="B1372" s="4">
        <f t="shared" si="189"/>
        <v>158</v>
      </c>
      <c r="C1372" s="4">
        <f t="shared" si="190"/>
        <v>1379</v>
      </c>
      <c r="D1372" s="4">
        <f>IF(B1372&gt;'Mortality Table'!$A$118,D1371,VLOOKUP(B1372,'Mortality Table'!$A$2:$B$118,2,FALSE))</f>
        <v>0.59733000000000003</v>
      </c>
      <c r="E1372" s="4">
        <f>IF(INT((C1372-1)/12)+1&gt;'Lapse Table'!$A$11,E1371,VLOOKUP(INT((C1372-1)/12)+1,'Lapse Table'!$A$2:$B$11,2,FALSE))/12</f>
        <v>0</v>
      </c>
      <c r="F1372" s="5">
        <f t="shared" si="197"/>
        <v>-41.584609865620642</v>
      </c>
      <c r="G1372" s="6">
        <f t="shared" si="191"/>
        <v>4.9777500000000002E-2</v>
      </c>
      <c r="H1372" s="6">
        <f t="shared" si="192"/>
        <v>0</v>
      </c>
      <c r="I1372" s="7">
        <f t="shared" si="193"/>
        <v>-1386.1536621873547</v>
      </c>
      <c r="J1372" s="8">
        <f t="shared" si="194"/>
        <v>49777.5</v>
      </c>
      <c r="K1372" s="7">
        <f t="shared" si="195"/>
        <v>-51163.653662187353</v>
      </c>
      <c r="L1372" s="4">
        <f>IF(A1372&gt;'Yield Curve'!A1986,L1371,(1+VLOOKUP(A1372,'Yield Curve'!A1365:B1987,2,FALSE))^(1/12)-1)</f>
        <v>7.9741404289037643E-3</v>
      </c>
      <c r="M1372" s="5">
        <f t="shared" si="196"/>
        <v>-1.0092366285526762</v>
      </c>
    </row>
    <row r="1373" spans="1:13" x14ac:dyDescent="0.25">
      <c r="A1373" s="4">
        <v>1365</v>
      </c>
      <c r="B1373" s="4">
        <f t="shared" si="189"/>
        <v>158</v>
      </c>
      <c r="C1373" s="4">
        <f t="shared" si="190"/>
        <v>1380</v>
      </c>
      <c r="D1373" s="4">
        <f>IF(B1373&gt;'Mortality Table'!$A$118,D1372,VLOOKUP(B1373,'Mortality Table'!$A$2:$B$118,2,FALSE))</f>
        <v>0.59733000000000003</v>
      </c>
      <c r="E1373" s="4">
        <f>IF(INT((C1373-1)/12)+1&gt;'Lapse Table'!$A$11,E1372,VLOOKUP(INT((C1373-1)/12)+1,'Lapse Table'!$A$2:$B$11,2,FALSE))/12</f>
        <v>0</v>
      </c>
      <c r="F1373" s="5">
        <f t="shared" si="197"/>
        <v>-41.63438736562064</v>
      </c>
      <c r="G1373" s="6">
        <f t="shared" si="191"/>
        <v>4.9777500000000002E-2</v>
      </c>
      <c r="H1373" s="6">
        <f t="shared" si="192"/>
        <v>0</v>
      </c>
      <c r="I1373" s="7">
        <f t="shared" si="193"/>
        <v>-1387.8129121873546</v>
      </c>
      <c r="J1373" s="8">
        <f t="shared" si="194"/>
        <v>49777.5</v>
      </c>
      <c r="K1373" s="7">
        <f t="shared" si="195"/>
        <v>-51165.312912187357</v>
      </c>
      <c r="L1373" s="4">
        <f>IF(A1373&gt;'Yield Curve'!A1987,L1372,(1+VLOOKUP(A1373,'Yield Curve'!A1366:B1988,2,FALSE))^(1/12)-1)</f>
        <v>7.9741404289037643E-3</v>
      </c>
      <c r="M1373" s="5">
        <f t="shared" si="196"/>
        <v>-1.0012849713761829</v>
      </c>
    </row>
    <row r="1374" spans="1:13" x14ac:dyDescent="0.25">
      <c r="A1374" s="4">
        <v>1366</v>
      </c>
      <c r="B1374" s="4">
        <f t="shared" si="189"/>
        <v>158</v>
      </c>
      <c r="C1374" s="4">
        <f t="shared" si="190"/>
        <v>1381</v>
      </c>
      <c r="D1374" s="4">
        <f>IF(B1374&gt;'Mortality Table'!$A$118,D1373,VLOOKUP(B1374,'Mortality Table'!$A$2:$B$118,2,FALSE))</f>
        <v>0.59733000000000003</v>
      </c>
      <c r="E1374" s="4">
        <f>IF(INT((C1374-1)/12)+1&gt;'Lapse Table'!$A$11,E1373,VLOOKUP(INT((C1374-1)/12)+1,'Lapse Table'!$A$2:$B$11,2,FALSE))/12</f>
        <v>0</v>
      </c>
      <c r="F1374" s="5">
        <f t="shared" si="197"/>
        <v>-41.684164865620637</v>
      </c>
      <c r="G1374" s="6">
        <f t="shared" si="191"/>
        <v>4.9777500000000002E-2</v>
      </c>
      <c r="H1374" s="6">
        <f t="shared" si="192"/>
        <v>0</v>
      </c>
      <c r="I1374" s="7">
        <f t="shared" si="193"/>
        <v>-1389.4721621873548</v>
      </c>
      <c r="J1374" s="8">
        <f t="shared" si="194"/>
        <v>49777.5</v>
      </c>
      <c r="K1374" s="7">
        <f t="shared" si="195"/>
        <v>-51166.972162187354</v>
      </c>
      <c r="L1374" s="4">
        <f>IF(A1374&gt;'Yield Curve'!A1988,L1373,(1+VLOOKUP(A1374,'Yield Curve'!A1367:B1989,2,FALSE))^(1/12)-1)</f>
        <v>7.9741404289037643E-3</v>
      </c>
      <c r="M1374" s="5">
        <f t="shared" si="196"/>
        <v>-0.99339596333043523</v>
      </c>
    </row>
    <row r="1375" spans="1:13" x14ac:dyDescent="0.25">
      <c r="A1375" s="4">
        <v>1367</v>
      </c>
      <c r="B1375" s="4">
        <f t="shared" si="189"/>
        <v>158</v>
      </c>
      <c r="C1375" s="4">
        <f t="shared" si="190"/>
        <v>1382</v>
      </c>
      <c r="D1375" s="4">
        <f>IF(B1375&gt;'Mortality Table'!$A$118,D1374,VLOOKUP(B1375,'Mortality Table'!$A$2:$B$118,2,FALSE))</f>
        <v>0.59733000000000003</v>
      </c>
      <c r="E1375" s="4">
        <f>IF(INT((C1375-1)/12)+1&gt;'Lapse Table'!$A$11,E1374,VLOOKUP(INT((C1375-1)/12)+1,'Lapse Table'!$A$2:$B$11,2,FALSE))/12</f>
        <v>0</v>
      </c>
      <c r="F1375" s="5">
        <f t="shared" si="197"/>
        <v>-41.733942365620635</v>
      </c>
      <c r="G1375" s="6">
        <f t="shared" si="191"/>
        <v>4.9777500000000002E-2</v>
      </c>
      <c r="H1375" s="6">
        <f t="shared" si="192"/>
        <v>0</v>
      </c>
      <c r="I1375" s="7">
        <f t="shared" si="193"/>
        <v>-1391.1314121873545</v>
      </c>
      <c r="J1375" s="8">
        <f t="shared" si="194"/>
        <v>49777.5</v>
      </c>
      <c r="K1375" s="7">
        <f t="shared" si="195"/>
        <v>-51168.631412187351</v>
      </c>
      <c r="L1375" s="4">
        <f>IF(A1375&gt;'Yield Curve'!A1989,L1374,(1+VLOOKUP(A1375,'Yield Curve'!A1368:B1990,2,FALSE))^(1/12)-1)</f>
        <v>7.9741404289037643E-3</v>
      </c>
      <c r="M1375" s="5">
        <f t="shared" si="196"/>
        <v>-0.98556911082679965</v>
      </c>
    </row>
    <row r="1376" spans="1:13" x14ac:dyDescent="0.25">
      <c r="A1376" s="4">
        <v>1368</v>
      </c>
      <c r="B1376" s="4">
        <f t="shared" si="189"/>
        <v>159</v>
      </c>
      <c r="C1376" s="4">
        <f t="shared" si="190"/>
        <v>1383</v>
      </c>
      <c r="D1376" s="4">
        <f>IF(B1376&gt;'Mortality Table'!$A$118,D1375,VLOOKUP(B1376,'Mortality Table'!$A$2:$B$118,2,FALSE))</f>
        <v>0.59733000000000003</v>
      </c>
      <c r="E1376" s="4">
        <f>IF(INT((C1376-1)/12)+1&gt;'Lapse Table'!$A$11,E1375,VLOOKUP(INT((C1376-1)/12)+1,'Lapse Table'!$A$2:$B$11,2,FALSE))/12</f>
        <v>0</v>
      </c>
      <c r="F1376" s="5">
        <f t="shared" si="197"/>
        <v>-41.783719865620633</v>
      </c>
      <c r="G1376" s="6">
        <f t="shared" si="191"/>
        <v>4.9777500000000002E-2</v>
      </c>
      <c r="H1376" s="6">
        <f t="shared" si="192"/>
        <v>0</v>
      </c>
      <c r="I1376" s="7">
        <f t="shared" si="193"/>
        <v>-1392.7906621873544</v>
      </c>
      <c r="J1376" s="8">
        <f t="shared" si="194"/>
        <v>49777.5</v>
      </c>
      <c r="K1376" s="7">
        <f t="shared" si="195"/>
        <v>-51170.290662187355</v>
      </c>
      <c r="L1376" s="4">
        <f>IF(A1376&gt;'Yield Curve'!A1990,L1375,(1+VLOOKUP(A1376,'Yield Curve'!A1369:B1991,2,FALSE))^(1/12)-1)</f>
        <v>7.9741404289037643E-3</v>
      </c>
      <c r="M1376" s="5">
        <f t="shared" si="196"/>
        <v>-0.97780392416537409</v>
      </c>
    </row>
    <row r="1377" spans="1:13" x14ac:dyDescent="0.25">
      <c r="A1377" s="4">
        <v>1369</v>
      </c>
      <c r="B1377" s="4">
        <f t="shared" si="189"/>
        <v>159</v>
      </c>
      <c r="C1377" s="4">
        <f t="shared" si="190"/>
        <v>1384</v>
      </c>
      <c r="D1377" s="4">
        <f>IF(B1377&gt;'Mortality Table'!$A$118,D1376,VLOOKUP(B1377,'Mortality Table'!$A$2:$B$118,2,FALSE))</f>
        <v>0.59733000000000003</v>
      </c>
      <c r="E1377" s="4">
        <f>IF(INT((C1377-1)/12)+1&gt;'Lapse Table'!$A$11,E1376,VLOOKUP(INT((C1377-1)/12)+1,'Lapse Table'!$A$2:$B$11,2,FALSE))/12</f>
        <v>0</v>
      </c>
      <c r="F1377" s="5">
        <f t="shared" si="197"/>
        <v>-41.83349736562063</v>
      </c>
      <c r="G1377" s="6">
        <f t="shared" si="191"/>
        <v>4.9777500000000002E-2</v>
      </c>
      <c r="H1377" s="6">
        <f t="shared" si="192"/>
        <v>0</v>
      </c>
      <c r="I1377" s="7">
        <f t="shared" si="193"/>
        <v>-1394.4499121873544</v>
      </c>
      <c r="J1377" s="8">
        <f t="shared" si="194"/>
        <v>49777.5</v>
      </c>
      <c r="K1377" s="7">
        <f t="shared" si="195"/>
        <v>-51171.949912187352</v>
      </c>
      <c r="L1377" s="4">
        <f>IF(A1377&gt;'Yield Curve'!A1991,L1376,(1+VLOOKUP(A1377,'Yield Curve'!A1370:B1992,2,FALSE))^(1/12)-1)</f>
        <v>7.9741404289037643E-3</v>
      </c>
      <c r="M1377" s="5">
        <f t="shared" si="196"/>
        <v>-0.97009991750435054</v>
      </c>
    </row>
    <row r="1378" spans="1:13" x14ac:dyDescent="0.25">
      <c r="A1378" s="4">
        <v>1370</v>
      </c>
      <c r="B1378" s="4">
        <f t="shared" si="189"/>
        <v>159</v>
      </c>
      <c r="C1378" s="4">
        <f t="shared" si="190"/>
        <v>1385</v>
      </c>
      <c r="D1378" s="4">
        <f>IF(B1378&gt;'Mortality Table'!$A$118,D1377,VLOOKUP(B1378,'Mortality Table'!$A$2:$B$118,2,FALSE))</f>
        <v>0.59733000000000003</v>
      </c>
      <c r="E1378" s="4">
        <f>IF(INT((C1378-1)/12)+1&gt;'Lapse Table'!$A$11,E1377,VLOOKUP(INT((C1378-1)/12)+1,'Lapse Table'!$A$2:$B$11,2,FALSE))/12</f>
        <v>0</v>
      </c>
      <c r="F1378" s="5">
        <f t="shared" si="197"/>
        <v>-41.883274865620628</v>
      </c>
      <c r="G1378" s="6">
        <f t="shared" si="191"/>
        <v>4.9777500000000002E-2</v>
      </c>
      <c r="H1378" s="6">
        <f t="shared" si="192"/>
        <v>0</v>
      </c>
      <c r="I1378" s="7">
        <f t="shared" si="193"/>
        <v>-1396.1091621873541</v>
      </c>
      <c r="J1378" s="8">
        <f t="shared" si="194"/>
        <v>49777.5</v>
      </c>
      <c r="K1378" s="7">
        <f t="shared" si="195"/>
        <v>-51173.609162187357</v>
      </c>
      <c r="L1378" s="4">
        <f>IF(A1378&gt;'Yield Curve'!A1992,L1377,(1+VLOOKUP(A1378,'Yield Curve'!A1371:B1993,2,FALSE))^(1/12)-1)</f>
        <v>7.9741404289037643E-3</v>
      </c>
      <c r="M1378" s="5">
        <f t="shared" si="196"/>
        <v>-0.9624566088296197</v>
      </c>
    </row>
    <row r="1379" spans="1:13" x14ac:dyDescent="0.25">
      <c r="A1379" s="4">
        <v>1371</v>
      </c>
      <c r="B1379" s="4">
        <f t="shared" si="189"/>
        <v>159</v>
      </c>
      <c r="C1379" s="4">
        <f t="shared" si="190"/>
        <v>1386</v>
      </c>
      <c r="D1379" s="4">
        <f>IF(B1379&gt;'Mortality Table'!$A$118,D1378,VLOOKUP(B1379,'Mortality Table'!$A$2:$B$118,2,FALSE))</f>
        <v>0.59733000000000003</v>
      </c>
      <c r="E1379" s="4">
        <f>IF(INT((C1379-1)/12)+1&gt;'Lapse Table'!$A$11,E1378,VLOOKUP(INT((C1379-1)/12)+1,'Lapse Table'!$A$2:$B$11,2,FALSE))/12</f>
        <v>0</v>
      </c>
      <c r="F1379" s="5">
        <f t="shared" si="197"/>
        <v>-41.933052365620625</v>
      </c>
      <c r="G1379" s="6">
        <f t="shared" si="191"/>
        <v>4.9777500000000002E-2</v>
      </c>
      <c r="H1379" s="6">
        <f t="shared" si="192"/>
        <v>0</v>
      </c>
      <c r="I1379" s="7">
        <f t="shared" si="193"/>
        <v>-1397.7684121873542</v>
      </c>
      <c r="J1379" s="8">
        <f t="shared" si="194"/>
        <v>49777.5</v>
      </c>
      <c r="K1379" s="7">
        <f t="shared" si="195"/>
        <v>-51175.268412187354</v>
      </c>
      <c r="L1379" s="4">
        <f>IF(A1379&gt;'Yield Curve'!A1993,L1378,(1+VLOOKUP(A1379,'Yield Curve'!A1372:B1994,2,FALSE))^(1/12)-1)</f>
        <v>7.9741404289037643E-3</v>
      </c>
      <c r="M1379" s="5">
        <f t="shared" si="196"/>
        <v>-0.954873519924615</v>
      </c>
    </row>
    <row r="1380" spans="1:13" x14ac:dyDescent="0.25">
      <c r="A1380" s="4">
        <v>1372</v>
      </c>
      <c r="B1380" s="4">
        <f t="shared" si="189"/>
        <v>159</v>
      </c>
      <c r="C1380" s="4">
        <f t="shared" si="190"/>
        <v>1387</v>
      </c>
      <c r="D1380" s="4">
        <f>IF(B1380&gt;'Mortality Table'!$A$118,D1379,VLOOKUP(B1380,'Mortality Table'!$A$2:$B$118,2,FALSE))</f>
        <v>0.59733000000000003</v>
      </c>
      <c r="E1380" s="4">
        <f>IF(INT((C1380-1)/12)+1&gt;'Lapse Table'!$A$11,E1379,VLOOKUP(INT((C1380-1)/12)+1,'Lapse Table'!$A$2:$B$11,2,FALSE))/12</f>
        <v>0</v>
      </c>
      <c r="F1380" s="5">
        <f t="shared" si="197"/>
        <v>-41.982829865620623</v>
      </c>
      <c r="G1380" s="6">
        <f t="shared" si="191"/>
        <v>4.9777500000000002E-2</v>
      </c>
      <c r="H1380" s="6">
        <f t="shared" si="192"/>
        <v>0</v>
      </c>
      <c r="I1380" s="7">
        <f t="shared" si="193"/>
        <v>-1399.4276621873541</v>
      </c>
      <c r="J1380" s="8">
        <f t="shared" si="194"/>
        <v>49777.5</v>
      </c>
      <c r="K1380" s="7">
        <f t="shared" si="195"/>
        <v>-51176.927662187358</v>
      </c>
      <c r="L1380" s="4">
        <f>IF(A1380&gt;'Yield Curve'!A1994,L1379,(1+VLOOKUP(A1380,'Yield Curve'!A1373:B1995,2,FALSE))^(1/12)-1)</f>
        <v>7.9741404289037643E-3</v>
      </c>
      <c r="M1380" s="5">
        <f t="shared" si="196"/>
        <v>-0.94735017634039331</v>
      </c>
    </row>
    <row r="1381" spans="1:13" x14ac:dyDescent="0.25">
      <c r="A1381" s="4">
        <v>1373</v>
      </c>
      <c r="B1381" s="4">
        <f t="shared" si="189"/>
        <v>159</v>
      </c>
      <c r="C1381" s="4">
        <f t="shared" si="190"/>
        <v>1388</v>
      </c>
      <c r="D1381" s="4">
        <f>IF(B1381&gt;'Mortality Table'!$A$118,D1380,VLOOKUP(B1381,'Mortality Table'!$A$2:$B$118,2,FALSE))</f>
        <v>0.59733000000000003</v>
      </c>
      <c r="E1381" s="4">
        <f>IF(INT((C1381-1)/12)+1&gt;'Lapse Table'!$A$11,E1380,VLOOKUP(INT((C1381-1)/12)+1,'Lapse Table'!$A$2:$B$11,2,FALSE))/12</f>
        <v>0</v>
      </c>
      <c r="F1381" s="5">
        <f t="shared" si="197"/>
        <v>-42.03260736562062</v>
      </c>
      <c r="G1381" s="6">
        <f t="shared" si="191"/>
        <v>4.9777500000000002E-2</v>
      </c>
      <c r="H1381" s="6">
        <f t="shared" si="192"/>
        <v>0</v>
      </c>
      <c r="I1381" s="7">
        <f t="shared" si="193"/>
        <v>-1401.0869121873541</v>
      </c>
      <c r="J1381" s="8">
        <f t="shared" si="194"/>
        <v>49777.5</v>
      </c>
      <c r="K1381" s="7">
        <f t="shared" si="195"/>
        <v>-51178.586912187355</v>
      </c>
      <c r="L1381" s="4">
        <f>IF(A1381&gt;'Yield Curve'!A1995,L1380,(1+VLOOKUP(A1381,'Yield Curve'!A1374:B1996,2,FALSE))^(1/12)-1)</f>
        <v>7.9741404289037643E-3</v>
      </c>
      <c r="M1381" s="5">
        <f t="shared" si="196"/>
        <v>-0.93988610736595435</v>
      </c>
    </row>
    <row r="1382" spans="1:13" x14ac:dyDescent="0.25">
      <c r="A1382" s="4">
        <v>1374</v>
      </c>
      <c r="B1382" s="4">
        <f t="shared" si="189"/>
        <v>159</v>
      </c>
      <c r="C1382" s="4">
        <f t="shared" si="190"/>
        <v>1389</v>
      </c>
      <c r="D1382" s="4">
        <f>IF(B1382&gt;'Mortality Table'!$A$118,D1381,VLOOKUP(B1382,'Mortality Table'!$A$2:$B$118,2,FALSE))</f>
        <v>0.59733000000000003</v>
      </c>
      <c r="E1382" s="4">
        <f>IF(INT((C1382-1)/12)+1&gt;'Lapse Table'!$A$11,E1381,VLOOKUP(INT((C1382-1)/12)+1,'Lapse Table'!$A$2:$B$11,2,FALSE))/12</f>
        <v>0</v>
      </c>
      <c r="F1382" s="5">
        <f t="shared" si="197"/>
        <v>-42.082384865620618</v>
      </c>
      <c r="G1382" s="6">
        <f t="shared" si="191"/>
        <v>4.9777500000000002E-2</v>
      </c>
      <c r="H1382" s="6">
        <f t="shared" si="192"/>
        <v>0</v>
      </c>
      <c r="I1382" s="7">
        <f t="shared" si="193"/>
        <v>-1402.7461621873538</v>
      </c>
      <c r="J1382" s="8">
        <f t="shared" si="194"/>
        <v>49777.5</v>
      </c>
      <c r="K1382" s="7">
        <f t="shared" si="195"/>
        <v>-51180.246162187352</v>
      </c>
      <c r="L1382" s="4">
        <f>IF(A1382&gt;'Yield Curve'!A1996,L1381,(1+VLOOKUP(A1382,'Yield Curve'!A1375:B1997,2,FALSE))^(1/12)-1)</f>
        <v>7.9741404289037643E-3</v>
      </c>
      <c r="M1382" s="5">
        <f t="shared" si="196"/>
        <v>-0.93248084599879033</v>
      </c>
    </row>
    <row r="1383" spans="1:13" x14ac:dyDescent="0.25">
      <c r="A1383" s="4">
        <v>1375</v>
      </c>
      <c r="B1383" s="4">
        <f t="shared" si="189"/>
        <v>159</v>
      </c>
      <c r="C1383" s="4">
        <f t="shared" si="190"/>
        <v>1390</v>
      </c>
      <c r="D1383" s="4">
        <f>IF(B1383&gt;'Mortality Table'!$A$118,D1382,VLOOKUP(B1383,'Mortality Table'!$A$2:$B$118,2,FALSE))</f>
        <v>0.59733000000000003</v>
      </c>
      <c r="E1383" s="4">
        <f>IF(INT((C1383-1)/12)+1&gt;'Lapse Table'!$A$11,E1382,VLOOKUP(INT((C1383-1)/12)+1,'Lapse Table'!$A$2:$B$11,2,FALSE))/12</f>
        <v>0</v>
      </c>
      <c r="F1383" s="5">
        <f t="shared" si="197"/>
        <v>-42.132162365620616</v>
      </c>
      <c r="G1383" s="6">
        <f t="shared" si="191"/>
        <v>4.9777500000000002E-2</v>
      </c>
      <c r="H1383" s="6">
        <f t="shared" si="192"/>
        <v>0</v>
      </c>
      <c r="I1383" s="7">
        <f t="shared" si="193"/>
        <v>-1404.4054121873539</v>
      </c>
      <c r="J1383" s="8">
        <f t="shared" si="194"/>
        <v>49777.5</v>
      </c>
      <c r="K1383" s="7">
        <f t="shared" si="195"/>
        <v>-51181.905412187356</v>
      </c>
      <c r="L1383" s="4">
        <f>IF(A1383&gt;'Yield Curve'!A1997,L1382,(1+VLOOKUP(A1383,'Yield Curve'!A1376:B1998,2,FALSE))^(1/12)-1)</f>
        <v>7.9741404289037643E-3</v>
      </c>
      <c r="M1383" s="5">
        <f t="shared" si="196"/>
        <v>-0.92513392891566848</v>
      </c>
    </row>
    <row r="1384" spans="1:13" x14ac:dyDescent="0.25">
      <c r="A1384" s="4">
        <v>1376</v>
      </c>
      <c r="B1384" s="4">
        <f t="shared" si="189"/>
        <v>159</v>
      </c>
      <c r="C1384" s="4">
        <f t="shared" si="190"/>
        <v>1391</v>
      </c>
      <c r="D1384" s="4">
        <f>IF(B1384&gt;'Mortality Table'!$A$118,D1383,VLOOKUP(B1384,'Mortality Table'!$A$2:$B$118,2,FALSE))</f>
        <v>0.59733000000000003</v>
      </c>
      <c r="E1384" s="4">
        <f>IF(INT((C1384-1)/12)+1&gt;'Lapse Table'!$A$11,E1383,VLOOKUP(INT((C1384-1)/12)+1,'Lapse Table'!$A$2:$B$11,2,FALSE))/12</f>
        <v>0</v>
      </c>
      <c r="F1384" s="5">
        <f t="shared" si="197"/>
        <v>-42.181939865620613</v>
      </c>
      <c r="G1384" s="6">
        <f t="shared" si="191"/>
        <v>4.9777500000000002E-2</v>
      </c>
      <c r="H1384" s="6">
        <f t="shared" si="192"/>
        <v>0</v>
      </c>
      <c r="I1384" s="7">
        <f t="shared" si="193"/>
        <v>-1406.0646621873539</v>
      </c>
      <c r="J1384" s="8">
        <f t="shared" si="194"/>
        <v>49777.5</v>
      </c>
      <c r="K1384" s="7">
        <f t="shared" si="195"/>
        <v>-51183.564662187353</v>
      </c>
      <c r="L1384" s="4">
        <f>IF(A1384&gt;'Yield Curve'!A1998,L1383,(1+VLOOKUP(A1384,'Yield Curve'!A1377:B1999,2,FALSE))^(1/12)-1)</f>
        <v>7.9741404289037643E-3</v>
      </c>
      <c r="M1384" s="5">
        <f t="shared" si="196"/>
        <v>-0.91784489644364664</v>
      </c>
    </row>
    <row r="1385" spans="1:13" x14ac:dyDescent="0.25">
      <c r="A1385" s="4">
        <v>1377</v>
      </c>
      <c r="B1385" s="4">
        <f t="shared" si="189"/>
        <v>159</v>
      </c>
      <c r="C1385" s="4">
        <f t="shared" si="190"/>
        <v>1392</v>
      </c>
      <c r="D1385" s="4">
        <f>IF(B1385&gt;'Mortality Table'!$A$118,D1384,VLOOKUP(B1385,'Mortality Table'!$A$2:$B$118,2,FALSE))</f>
        <v>0.59733000000000003</v>
      </c>
      <c r="E1385" s="4">
        <f>IF(INT((C1385-1)/12)+1&gt;'Lapse Table'!$A$11,E1384,VLOOKUP(INT((C1385-1)/12)+1,'Lapse Table'!$A$2:$B$11,2,FALSE))/12</f>
        <v>0</v>
      </c>
      <c r="F1385" s="5">
        <f t="shared" si="197"/>
        <v>-42.231717365620611</v>
      </c>
      <c r="G1385" s="6">
        <f t="shared" si="191"/>
        <v>4.9777500000000002E-2</v>
      </c>
      <c r="H1385" s="6">
        <f t="shared" si="192"/>
        <v>0</v>
      </c>
      <c r="I1385" s="7">
        <f t="shared" si="193"/>
        <v>-1407.7239121873536</v>
      </c>
      <c r="J1385" s="8">
        <f t="shared" si="194"/>
        <v>49777.5</v>
      </c>
      <c r="K1385" s="7">
        <f t="shared" si="195"/>
        <v>-51185.223912187357</v>
      </c>
      <c r="L1385" s="4">
        <f>IF(A1385&gt;'Yield Curve'!A1999,L1384,(1+VLOOKUP(A1385,'Yield Curve'!A1378:B2000,2,FALSE))^(1/12)-1)</f>
        <v>7.9741404289037643E-3</v>
      </c>
      <c r="M1385" s="5">
        <f t="shared" si="196"/>
        <v>-0.91061329253131296</v>
      </c>
    </row>
    <row r="1386" spans="1:13" x14ac:dyDescent="0.25">
      <c r="A1386" s="4">
        <v>1378</v>
      </c>
      <c r="B1386" s="4">
        <f t="shared" si="189"/>
        <v>159</v>
      </c>
      <c r="C1386" s="4">
        <f t="shared" si="190"/>
        <v>1393</v>
      </c>
      <c r="D1386" s="4">
        <f>IF(B1386&gt;'Mortality Table'!$A$118,D1385,VLOOKUP(B1386,'Mortality Table'!$A$2:$B$118,2,FALSE))</f>
        <v>0.59733000000000003</v>
      </c>
      <c r="E1386" s="4">
        <f>IF(INT((C1386-1)/12)+1&gt;'Lapse Table'!$A$11,E1385,VLOOKUP(INT((C1386-1)/12)+1,'Lapse Table'!$A$2:$B$11,2,FALSE))/12</f>
        <v>0</v>
      </c>
      <c r="F1386" s="5">
        <f t="shared" si="197"/>
        <v>-42.281494865620608</v>
      </c>
      <c r="G1386" s="6">
        <f t="shared" si="191"/>
        <v>4.9777500000000002E-2</v>
      </c>
      <c r="H1386" s="6">
        <f t="shared" si="192"/>
        <v>0</v>
      </c>
      <c r="I1386" s="7">
        <f t="shared" si="193"/>
        <v>-1409.3831621873535</v>
      </c>
      <c r="J1386" s="8">
        <f t="shared" si="194"/>
        <v>49777.5</v>
      </c>
      <c r="K1386" s="7">
        <f t="shared" si="195"/>
        <v>-51186.883162187354</v>
      </c>
      <c r="L1386" s="4">
        <f>IF(A1386&gt;'Yield Curve'!A2000,L1385,(1+VLOOKUP(A1386,'Yield Curve'!A1379:B2001,2,FALSE))^(1/12)-1)</f>
        <v>7.9741404289037643E-3</v>
      </c>
      <c r="M1386" s="5">
        <f t="shared" si="196"/>
        <v>-0.90343866472025514</v>
      </c>
    </row>
    <row r="1387" spans="1:13" x14ac:dyDescent="0.25">
      <c r="A1387" s="4">
        <v>1379</v>
      </c>
      <c r="B1387" s="4">
        <f t="shared" si="189"/>
        <v>159</v>
      </c>
      <c r="C1387" s="4">
        <f t="shared" si="190"/>
        <v>1394</v>
      </c>
      <c r="D1387" s="4">
        <f>IF(B1387&gt;'Mortality Table'!$A$118,D1386,VLOOKUP(B1387,'Mortality Table'!$A$2:$B$118,2,FALSE))</f>
        <v>0.59733000000000003</v>
      </c>
      <c r="E1387" s="4">
        <f>IF(INT((C1387-1)/12)+1&gt;'Lapse Table'!$A$11,E1386,VLOOKUP(INT((C1387-1)/12)+1,'Lapse Table'!$A$2:$B$11,2,FALSE))/12</f>
        <v>0</v>
      </c>
      <c r="F1387" s="5">
        <f t="shared" si="197"/>
        <v>-42.331272365620606</v>
      </c>
      <c r="G1387" s="6">
        <f t="shared" si="191"/>
        <v>4.9777500000000002E-2</v>
      </c>
      <c r="H1387" s="6">
        <f t="shared" si="192"/>
        <v>0</v>
      </c>
      <c r="I1387" s="7">
        <f t="shared" si="193"/>
        <v>-1411.0424121873536</v>
      </c>
      <c r="J1387" s="8">
        <f t="shared" si="194"/>
        <v>49777.5</v>
      </c>
      <c r="K1387" s="7">
        <f t="shared" si="195"/>
        <v>-51188.542412187351</v>
      </c>
      <c r="L1387" s="4">
        <f>IF(A1387&gt;'Yield Curve'!A2001,L1386,(1+VLOOKUP(A1387,'Yield Curve'!A1380:B2002,2,FALSE))^(1/12)-1)</f>
        <v>7.9741404289037643E-3</v>
      </c>
      <c r="M1387" s="5">
        <f t="shared" si="196"/>
        <v>-0.8963205641167532</v>
      </c>
    </row>
    <row r="1388" spans="1:13" x14ac:dyDescent="0.25">
      <c r="A1388" s="4">
        <v>1380</v>
      </c>
      <c r="B1388" s="4">
        <f t="shared" si="189"/>
        <v>160</v>
      </c>
      <c r="C1388" s="4">
        <f t="shared" si="190"/>
        <v>1395</v>
      </c>
      <c r="D1388" s="4">
        <f>IF(B1388&gt;'Mortality Table'!$A$118,D1387,VLOOKUP(B1388,'Mortality Table'!$A$2:$B$118,2,FALSE))</f>
        <v>0.59733000000000003</v>
      </c>
      <c r="E1388" s="4">
        <f>IF(INT((C1388-1)/12)+1&gt;'Lapse Table'!$A$11,E1387,VLOOKUP(INT((C1388-1)/12)+1,'Lapse Table'!$A$2:$B$11,2,FALSE))/12</f>
        <v>0</v>
      </c>
      <c r="F1388" s="5">
        <f t="shared" si="197"/>
        <v>-42.381049865620604</v>
      </c>
      <c r="G1388" s="6">
        <f t="shared" si="191"/>
        <v>4.9777500000000002E-2</v>
      </c>
      <c r="H1388" s="6">
        <f t="shared" si="192"/>
        <v>0</v>
      </c>
      <c r="I1388" s="7">
        <f t="shared" si="193"/>
        <v>-1412.7016621873536</v>
      </c>
      <c r="J1388" s="8">
        <f t="shared" si="194"/>
        <v>49777.5</v>
      </c>
      <c r="K1388" s="7">
        <f t="shared" si="195"/>
        <v>-51190.201662187355</v>
      </c>
      <c r="L1388" s="4">
        <f>IF(A1388&gt;'Yield Curve'!A2002,L1387,(1+VLOOKUP(A1388,'Yield Curve'!A1381:B2003,2,FALSE))^(1/12)-1)</f>
        <v>7.9741404289037643E-3</v>
      </c>
      <c r="M1388" s="5">
        <f t="shared" si="196"/>
        <v>-0.8892585453636952</v>
      </c>
    </row>
    <row r="1389" spans="1:13" x14ac:dyDescent="0.25">
      <c r="A1389" s="4">
        <v>1381</v>
      </c>
      <c r="B1389" s="4">
        <f t="shared" si="189"/>
        <v>160</v>
      </c>
      <c r="C1389" s="4">
        <f t="shared" si="190"/>
        <v>1396</v>
      </c>
      <c r="D1389" s="4">
        <f>IF(B1389&gt;'Mortality Table'!$A$118,D1388,VLOOKUP(B1389,'Mortality Table'!$A$2:$B$118,2,FALSE))</f>
        <v>0.59733000000000003</v>
      </c>
      <c r="E1389" s="4">
        <f>IF(INT((C1389-1)/12)+1&gt;'Lapse Table'!$A$11,E1388,VLOOKUP(INT((C1389-1)/12)+1,'Lapse Table'!$A$2:$B$11,2,FALSE))/12</f>
        <v>0</v>
      </c>
      <c r="F1389" s="5">
        <f t="shared" si="197"/>
        <v>-42.430827365620601</v>
      </c>
      <c r="G1389" s="6">
        <f t="shared" si="191"/>
        <v>4.9777500000000002E-2</v>
      </c>
      <c r="H1389" s="6">
        <f t="shared" si="192"/>
        <v>0</v>
      </c>
      <c r="I1389" s="7">
        <f t="shared" si="193"/>
        <v>-1414.3609121873533</v>
      </c>
      <c r="J1389" s="8">
        <f t="shared" si="194"/>
        <v>49777.5</v>
      </c>
      <c r="K1389" s="7">
        <f t="shared" si="195"/>
        <v>-51191.860912187352</v>
      </c>
      <c r="L1389" s="4">
        <f>IF(A1389&gt;'Yield Curve'!A2003,L1388,(1+VLOOKUP(A1389,'Yield Curve'!A1382:B2004,2,FALSE))^(1/12)-1)</f>
        <v>7.9741404289037643E-3</v>
      </c>
      <c r="M1389" s="5">
        <f t="shared" si="196"/>
        <v>-0.88225216661271588</v>
      </c>
    </row>
    <row r="1390" spans="1:13" x14ac:dyDescent="0.25">
      <c r="A1390" s="4">
        <v>1382</v>
      </c>
      <c r="B1390" s="4">
        <f t="shared" si="189"/>
        <v>160</v>
      </c>
      <c r="C1390" s="4">
        <f t="shared" si="190"/>
        <v>1397</v>
      </c>
      <c r="D1390" s="4">
        <f>IF(B1390&gt;'Mortality Table'!$A$118,D1389,VLOOKUP(B1390,'Mortality Table'!$A$2:$B$118,2,FALSE))</f>
        <v>0.59733000000000003</v>
      </c>
      <c r="E1390" s="4">
        <f>IF(INT((C1390-1)/12)+1&gt;'Lapse Table'!$A$11,E1389,VLOOKUP(INT((C1390-1)/12)+1,'Lapse Table'!$A$2:$B$11,2,FALSE))/12</f>
        <v>0</v>
      </c>
      <c r="F1390" s="5">
        <f t="shared" si="197"/>
        <v>-42.480604865620599</v>
      </c>
      <c r="G1390" s="6">
        <f t="shared" si="191"/>
        <v>4.9777500000000002E-2</v>
      </c>
      <c r="H1390" s="6">
        <f t="shared" si="192"/>
        <v>0</v>
      </c>
      <c r="I1390" s="7">
        <f t="shared" si="193"/>
        <v>-1416.0201621873532</v>
      </c>
      <c r="J1390" s="8">
        <f t="shared" si="194"/>
        <v>49777.5</v>
      </c>
      <c r="K1390" s="7">
        <f t="shared" si="195"/>
        <v>-51193.520162187357</v>
      </c>
      <c r="L1390" s="4">
        <f>IF(A1390&gt;'Yield Curve'!A2004,L1389,(1+VLOOKUP(A1390,'Yield Curve'!A1383:B2005,2,FALSE))^(1/12)-1)</f>
        <v>7.9741404289037643E-3</v>
      </c>
      <c r="M1390" s="5">
        <f t="shared" si="196"/>
        <v>-0.87530098949655122</v>
      </c>
    </row>
    <row r="1391" spans="1:13" x14ac:dyDescent="0.25">
      <c r="A1391" s="4">
        <v>1383</v>
      </c>
      <c r="B1391" s="4">
        <f t="shared" si="189"/>
        <v>160</v>
      </c>
      <c r="C1391" s="4">
        <f t="shared" si="190"/>
        <v>1398</v>
      </c>
      <c r="D1391" s="4">
        <f>IF(B1391&gt;'Mortality Table'!$A$118,D1390,VLOOKUP(B1391,'Mortality Table'!$A$2:$B$118,2,FALSE))</f>
        <v>0.59733000000000003</v>
      </c>
      <c r="E1391" s="4">
        <f>IF(INT((C1391-1)/12)+1&gt;'Lapse Table'!$A$11,E1390,VLOOKUP(INT((C1391-1)/12)+1,'Lapse Table'!$A$2:$B$11,2,FALSE))/12</f>
        <v>0</v>
      </c>
      <c r="F1391" s="5">
        <f t="shared" si="197"/>
        <v>-42.530382365620596</v>
      </c>
      <c r="G1391" s="6">
        <f t="shared" si="191"/>
        <v>4.9777500000000002E-2</v>
      </c>
      <c r="H1391" s="6">
        <f t="shared" si="192"/>
        <v>0</v>
      </c>
      <c r="I1391" s="7">
        <f t="shared" si="193"/>
        <v>-1417.6794121873534</v>
      </c>
      <c r="J1391" s="8">
        <f t="shared" si="194"/>
        <v>49777.5</v>
      </c>
      <c r="K1391" s="7">
        <f t="shared" si="195"/>
        <v>-51195.179412187354</v>
      </c>
      <c r="L1391" s="4">
        <f>IF(A1391&gt;'Yield Curve'!A2005,L1390,(1+VLOOKUP(A1391,'Yield Curve'!A1384:B2006,2,FALSE))^(1/12)-1)</f>
        <v>7.9741404289037643E-3</v>
      </c>
      <c r="M1391" s="5">
        <f t="shared" si="196"/>
        <v>-0.86840457910161495</v>
      </c>
    </row>
    <row r="1392" spans="1:13" x14ac:dyDescent="0.25">
      <c r="A1392" s="4">
        <v>1384</v>
      </c>
      <c r="B1392" s="4">
        <f t="shared" si="189"/>
        <v>160</v>
      </c>
      <c r="C1392" s="4">
        <f t="shared" si="190"/>
        <v>1399</v>
      </c>
      <c r="D1392" s="4">
        <f>IF(B1392&gt;'Mortality Table'!$A$118,D1391,VLOOKUP(B1392,'Mortality Table'!$A$2:$B$118,2,FALSE))</f>
        <v>0.59733000000000003</v>
      </c>
      <c r="E1392" s="4">
        <f>IF(INT((C1392-1)/12)+1&gt;'Lapse Table'!$A$11,E1391,VLOOKUP(INT((C1392-1)/12)+1,'Lapse Table'!$A$2:$B$11,2,FALSE))/12</f>
        <v>0</v>
      </c>
      <c r="F1392" s="5">
        <f t="shared" si="197"/>
        <v>-42.580159865620594</v>
      </c>
      <c r="G1392" s="6">
        <f t="shared" si="191"/>
        <v>4.9777500000000002E-2</v>
      </c>
      <c r="H1392" s="6">
        <f t="shared" si="192"/>
        <v>0</v>
      </c>
      <c r="I1392" s="7">
        <f t="shared" si="193"/>
        <v>-1419.3386621873531</v>
      </c>
      <c r="J1392" s="8">
        <f t="shared" si="194"/>
        <v>49777.5</v>
      </c>
      <c r="K1392" s="7">
        <f t="shared" si="195"/>
        <v>-51196.838662187351</v>
      </c>
      <c r="L1392" s="4">
        <f>IF(A1392&gt;'Yield Curve'!A2006,L1391,(1+VLOOKUP(A1392,'Yield Curve'!A1385:B2007,2,FALSE))^(1/12)-1)</f>
        <v>7.9741404289037643E-3</v>
      </c>
      <c r="M1392" s="5">
        <f t="shared" si="196"/>
        <v>-0.86156250394078893</v>
      </c>
    </row>
    <row r="1393" spans="1:13" x14ac:dyDescent="0.25">
      <c r="A1393" s="4">
        <v>1385</v>
      </c>
      <c r="B1393" s="4">
        <f t="shared" si="189"/>
        <v>160</v>
      </c>
      <c r="C1393" s="4">
        <f t="shared" si="190"/>
        <v>1400</v>
      </c>
      <c r="D1393" s="4">
        <f>IF(B1393&gt;'Mortality Table'!$A$118,D1392,VLOOKUP(B1393,'Mortality Table'!$A$2:$B$118,2,FALSE))</f>
        <v>0.59733000000000003</v>
      </c>
      <c r="E1393" s="4">
        <f>IF(INT((C1393-1)/12)+1&gt;'Lapse Table'!$A$11,E1392,VLOOKUP(INT((C1393-1)/12)+1,'Lapse Table'!$A$2:$B$11,2,FALSE))/12</f>
        <v>0</v>
      </c>
      <c r="F1393" s="5">
        <f t="shared" si="197"/>
        <v>-42.629937365620592</v>
      </c>
      <c r="G1393" s="6">
        <f t="shared" si="191"/>
        <v>4.9777500000000002E-2</v>
      </c>
      <c r="H1393" s="6">
        <f t="shared" si="192"/>
        <v>0</v>
      </c>
      <c r="I1393" s="7">
        <f t="shared" si="193"/>
        <v>-1420.997912187353</v>
      </c>
      <c r="J1393" s="8">
        <f t="shared" si="194"/>
        <v>49777.5</v>
      </c>
      <c r="K1393" s="7">
        <f t="shared" si="195"/>
        <v>-51198.497912187355</v>
      </c>
      <c r="L1393" s="4">
        <f>IF(A1393&gt;'Yield Curve'!A2007,L1392,(1+VLOOKUP(A1393,'Yield Curve'!A1386:B2008,2,FALSE))^(1/12)-1)</f>
        <v>7.9741404289037643E-3</v>
      </c>
      <c r="M1393" s="5">
        <f t="shared" si="196"/>
        <v>-0.85477433592642782</v>
      </c>
    </row>
    <row r="1394" spans="1:13" x14ac:dyDescent="0.25">
      <c r="A1394" s="4">
        <v>1386</v>
      </c>
      <c r="B1394" s="4">
        <f t="shared" si="189"/>
        <v>160</v>
      </c>
      <c r="C1394" s="4">
        <f t="shared" si="190"/>
        <v>1401</v>
      </c>
      <c r="D1394" s="4">
        <f>IF(B1394&gt;'Mortality Table'!$A$118,D1393,VLOOKUP(B1394,'Mortality Table'!$A$2:$B$118,2,FALSE))</f>
        <v>0.59733000000000003</v>
      </c>
      <c r="E1394" s="4">
        <f>IF(INT((C1394-1)/12)+1&gt;'Lapse Table'!$A$11,E1393,VLOOKUP(INT((C1394-1)/12)+1,'Lapse Table'!$A$2:$B$11,2,FALSE))/12</f>
        <v>0</v>
      </c>
      <c r="F1394" s="5">
        <f t="shared" si="197"/>
        <v>-42.679714865620589</v>
      </c>
      <c r="G1394" s="6">
        <f t="shared" si="191"/>
        <v>4.9777500000000002E-2</v>
      </c>
      <c r="H1394" s="6">
        <f t="shared" si="192"/>
        <v>0</v>
      </c>
      <c r="I1394" s="7">
        <f t="shared" si="193"/>
        <v>-1422.6571621873529</v>
      </c>
      <c r="J1394" s="8">
        <f t="shared" si="194"/>
        <v>49777.5</v>
      </c>
      <c r="K1394" s="7">
        <f t="shared" si="195"/>
        <v>-51200.157162187352</v>
      </c>
      <c r="L1394" s="4">
        <f>IF(A1394&gt;'Yield Curve'!A2008,L1393,(1+VLOOKUP(A1394,'Yield Curve'!A1387:B2009,2,FALSE))^(1/12)-1)</f>
        <v>7.9741404289037643E-3</v>
      </c>
      <c r="M1394" s="5">
        <f t="shared" si="196"/>
        <v>-0.84803965034357576</v>
      </c>
    </row>
    <row r="1395" spans="1:13" x14ac:dyDescent="0.25">
      <c r="A1395" s="4">
        <v>1387</v>
      </c>
      <c r="B1395" s="4">
        <f t="shared" si="189"/>
        <v>160</v>
      </c>
      <c r="C1395" s="4">
        <f t="shared" si="190"/>
        <v>1402</v>
      </c>
      <c r="D1395" s="4">
        <f>IF(B1395&gt;'Mortality Table'!$A$118,D1394,VLOOKUP(B1395,'Mortality Table'!$A$2:$B$118,2,FALSE))</f>
        <v>0.59733000000000003</v>
      </c>
      <c r="E1395" s="4">
        <f>IF(INT((C1395-1)/12)+1&gt;'Lapse Table'!$A$11,E1394,VLOOKUP(INT((C1395-1)/12)+1,'Lapse Table'!$A$2:$B$11,2,FALSE))/12</f>
        <v>0</v>
      </c>
      <c r="F1395" s="5">
        <f t="shared" si="197"/>
        <v>-42.729492365620587</v>
      </c>
      <c r="G1395" s="6">
        <f t="shared" si="191"/>
        <v>4.9777500000000002E-2</v>
      </c>
      <c r="H1395" s="6">
        <f t="shared" si="192"/>
        <v>0</v>
      </c>
      <c r="I1395" s="7">
        <f t="shared" si="193"/>
        <v>-1424.3164121873531</v>
      </c>
      <c r="J1395" s="8">
        <f t="shared" si="194"/>
        <v>49777.5</v>
      </c>
      <c r="K1395" s="7">
        <f t="shared" si="195"/>
        <v>-51201.816412187356</v>
      </c>
      <c r="L1395" s="4">
        <f>IF(A1395&gt;'Yield Curve'!A2009,L1394,(1+VLOOKUP(A1395,'Yield Curve'!A1388:B2010,2,FALSE))^(1/12)-1)</f>
        <v>7.9741404289037643E-3</v>
      </c>
      <c r="M1395" s="5">
        <f t="shared" si="196"/>
        <v>-0.84135802582339803</v>
      </c>
    </row>
    <row r="1396" spans="1:13" x14ac:dyDescent="0.25">
      <c r="A1396" s="4">
        <v>1388</v>
      </c>
      <c r="B1396" s="4">
        <f t="shared" si="189"/>
        <v>160</v>
      </c>
      <c r="C1396" s="4">
        <f t="shared" si="190"/>
        <v>1403</v>
      </c>
      <c r="D1396" s="4">
        <f>IF(B1396&gt;'Mortality Table'!$A$118,D1395,VLOOKUP(B1396,'Mortality Table'!$A$2:$B$118,2,FALSE))</f>
        <v>0.59733000000000003</v>
      </c>
      <c r="E1396" s="4">
        <f>IF(INT((C1396-1)/12)+1&gt;'Lapse Table'!$A$11,E1395,VLOOKUP(INT((C1396-1)/12)+1,'Lapse Table'!$A$2:$B$11,2,FALSE))/12</f>
        <v>0</v>
      </c>
      <c r="F1396" s="5">
        <f t="shared" si="197"/>
        <v>-42.779269865620584</v>
      </c>
      <c r="G1396" s="6">
        <f t="shared" si="191"/>
        <v>4.9777500000000002E-2</v>
      </c>
      <c r="H1396" s="6">
        <f t="shared" si="192"/>
        <v>0</v>
      </c>
      <c r="I1396" s="7">
        <f t="shared" si="193"/>
        <v>-1425.9756621873528</v>
      </c>
      <c r="J1396" s="8">
        <f t="shared" si="194"/>
        <v>49777.5</v>
      </c>
      <c r="K1396" s="7">
        <f t="shared" si="195"/>
        <v>-51203.475662187353</v>
      </c>
      <c r="L1396" s="4">
        <f>IF(A1396&gt;'Yield Curve'!A2010,L1395,(1+VLOOKUP(A1396,'Yield Curve'!A1389:B2011,2,FALSE))^(1/12)-1)</f>
        <v>7.9741404289037643E-3</v>
      </c>
      <c r="M1396" s="5">
        <f t="shared" si="196"/>
        <v>-0.83472904431681494</v>
      </c>
    </row>
    <row r="1397" spans="1:13" x14ac:dyDescent="0.25">
      <c r="A1397" s="4">
        <v>1389</v>
      </c>
      <c r="B1397" s="4">
        <f t="shared" si="189"/>
        <v>160</v>
      </c>
      <c r="C1397" s="4">
        <f t="shared" si="190"/>
        <v>1404</v>
      </c>
      <c r="D1397" s="4">
        <f>IF(B1397&gt;'Mortality Table'!$A$118,D1396,VLOOKUP(B1397,'Mortality Table'!$A$2:$B$118,2,FALSE))</f>
        <v>0.59733000000000003</v>
      </c>
      <c r="E1397" s="4">
        <f>IF(INT((C1397-1)/12)+1&gt;'Lapse Table'!$A$11,E1396,VLOOKUP(INT((C1397-1)/12)+1,'Lapse Table'!$A$2:$B$11,2,FALSE))/12</f>
        <v>0</v>
      </c>
      <c r="F1397" s="5">
        <f t="shared" si="197"/>
        <v>-42.829047365620582</v>
      </c>
      <c r="G1397" s="6">
        <f t="shared" si="191"/>
        <v>4.9777500000000002E-2</v>
      </c>
      <c r="H1397" s="6">
        <f t="shared" si="192"/>
        <v>0</v>
      </c>
      <c r="I1397" s="7">
        <f t="shared" si="193"/>
        <v>-1427.6349121873527</v>
      </c>
      <c r="J1397" s="8">
        <f t="shared" si="194"/>
        <v>49777.5</v>
      </c>
      <c r="K1397" s="7">
        <f t="shared" si="195"/>
        <v>-51205.13491218735</v>
      </c>
      <c r="L1397" s="4">
        <f>IF(A1397&gt;'Yield Curve'!A2011,L1396,(1+VLOOKUP(A1397,'Yield Curve'!A1390:B2012,2,FALSE))^(1/12)-1)</f>
        <v>7.9741404289037643E-3</v>
      </c>
      <c r="M1397" s="5">
        <f t="shared" si="196"/>
        <v>-0.82815229106835175</v>
      </c>
    </row>
    <row r="1398" spans="1:13" x14ac:dyDescent="0.25">
      <c r="A1398" s="4">
        <v>1390</v>
      </c>
      <c r="B1398" s="4">
        <f t="shared" si="189"/>
        <v>160</v>
      </c>
      <c r="C1398" s="4">
        <f t="shared" si="190"/>
        <v>1405</v>
      </c>
      <c r="D1398" s="4">
        <f>IF(B1398&gt;'Mortality Table'!$A$118,D1397,VLOOKUP(B1398,'Mortality Table'!$A$2:$B$118,2,FALSE))</f>
        <v>0.59733000000000003</v>
      </c>
      <c r="E1398" s="4">
        <f>IF(INT((C1398-1)/12)+1&gt;'Lapse Table'!$A$11,E1397,VLOOKUP(INT((C1398-1)/12)+1,'Lapse Table'!$A$2:$B$11,2,FALSE))/12</f>
        <v>0</v>
      </c>
      <c r="F1398" s="5">
        <f t="shared" si="197"/>
        <v>-42.878824865620579</v>
      </c>
      <c r="G1398" s="6">
        <f t="shared" si="191"/>
        <v>4.9777500000000002E-2</v>
      </c>
      <c r="H1398" s="6">
        <f t="shared" si="192"/>
        <v>0</v>
      </c>
      <c r="I1398" s="7">
        <f t="shared" si="193"/>
        <v>-1429.2941621873526</v>
      </c>
      <c r="J1398" s="8">
        <f t="shared" si="194"/>
        <v>49777.5</v>
      </c>
      <c r="K1398" s="7">
        <f t="shared" si="195"/>
        <v>-51206.794162187354</v>
      </c>
      <c r="L1398" s="4">
        <f>IF(A1398&gt;'Yield Curve'!A2012,L1397,(1+VLOOKUP(A1398,'Yield Curve'!A1391:B2013,2,FALSE))^(1/12)-1)</f>
        <v>7.9741404289037643E-3</v>
      </c>
      <c r="M1398" s="5">
        <f t="shared" si="196"/>
        <v>-0.82162735459018732</v>
      </c>
    </row>
    <row r="1399" spans="1:13" x14ac:dyDescent="0.25">
      <c r="A1399" s="4">
        <v>1391</v>
      </c>
      <c r="B1399" s="4">
        <f t="shared" si="189"/>
        <v>160</v>
      </c>
      <c r="C1399" s="4">
        <f t="shared" si="190"/>
        <v>1406</v>
      </c>
      <c r="D1399" s="4">
        <f>IF(B1399&gt;'Mortality Table'!$A$118,D1398,VLOOKUP(B1399,'Mortality Table'!$A$2:$B$118,2,FALSE))</f>
        <v>0.59733000000000003</v>
      </c>
      <c r="E1399" s="4">
        <f>IF(INT((C1399-1)/12)+1&gt;'Lapse Table'!$A$11,E1398,VLOOKUP(INT((C1399-1)/12)+1,'Lapse Table'!$A$2:$B$11,2,FALSE))/12</f>
        <v>0</v>
      </c>
      <c r="F1399" s="5">
        <f t="shared" si="197"/>
        <v>-42.928602365620577</v>
      </c>
      <c r="G1399" s="6">
        <f t="shared" si="191"/>
        <v>4.9777500000000002E-2</v>
      </c>
      <c r="H1399" s="6">
        <f t="shared" si="192"/>
        <v>0</v>
      </c>
      <c r="I1399" s="7">
        <f t="shared" si="193"/>
        <v>-1430.9534121873523</v>
      </c>
      <c r="J1399" s="8">
        <f t="shared" si="194"/>
        <v>49777.5</v>
      </c>
      <c r="K1399" s="7">
        <f t="shared" si="195"/>
        <v>-51208.453412187351</v>
      </c>
      <c r="L1399" s="4">
        <f>IF(A1399&gt;'Yield Curve'!A2013,L1398,(1+VLOOKUP(A1399,'Yield Curve'!A1392:B2014,2,FALSE))^(1/12)-1)</f>
        <v>7.9741404289037643E-3</v>
      </c>
      <c r="M1399" s="5">
        <f t="shared" si="196"/>
        <v>-0.81515382663641134</v>
      </c>
    </row>
    <row r="1400" spans="1:13" x14ac:dyDescent="0.25">
      <c r="A1400" s="4">
        <v>1392</v>
      </c>
      <c r="B1400" s="4">
        <f t="shared" si="189"/>
        <v>161</v>
      </c>
      <c r="C1400" s="4">
        <f t="shared" si="190"/>
        <v>1407</v>
      </c>
      <c r="D1400" s="4">
        <f>IF(B1400&gt;'Mortality Table'!$A$118,D1399,VLOOKUP(B1400,'Mortality Table'!$A$2:$B$118,2,FALSE))</f>
        <v>0.59733000000000003</v>
      </c>
      <c r="E1400" s="4">
        <f>IF(INT((C1400-1)/12)+1&gt;'Lapse Table'!$A$11,E1399,VLOOKUP(INT((C1400-1)/12)+1,'Lapse Table'!$A$2:$B$11,2,FALSE))/12</f>
        <v>0</v>
      </c>
      <c r="F1400" s="5">
        <f t="shared" si="197"/>
        <v>-42.978379865620575</v>
      </c>
      <c r="G1400" s="6">
        <f t="shared" si="191"/>
        <v>4.9777500000000002E-2</v>
      </c>
      <c r="H1400" s="6">
        <f t="shared" si="192"/>
        <v>0</v>
      </c>
      <c r="I1400" s="7">
        <f t="shared" si="193"/>
        <v>-1432.6126621873525</v>
      </c>
      <c r="J1400" s="8">
        <f t="shared" si="194"/>
        <v>49777.5</v>
      </c>
      <c r="K1400" s="7">
        <f t="shared" si="195"/>
        <v>-51210.112662187355</v>
      </c>
      <c r="L1400" s="4">
        <f>IF(A1400&gt;'Yield Curve'!A2014,L1399,(1+VLOOKUP(A1400,'Yield Curve'!A1393:B2015,2,FALSE))^(1/12)-1)</f>
        <v>7.9741404289037643E-3</v>
      </c>
      <c r="M1400" s="5">
        <f t="shared" si="196"/>
        <v>-0.80873130217748423</v>
      </c>
    </row>
    <row r="1401" spans="1:13" x14ac:dyDescent="0.25">
      <c r="A1401" s="4">
        <v>1393</v>
      </c>
      <c r="B1401" s="4">
        <f t="shared" si="189"/>
        <v>161</v>
      </c>
      <c r="C1401" s="4">
        <f t="shared" si="190"/>
        <v>1408</v>
      </c>
      <c r="D1401" s="4">
        <f>IF(B1401&gt;'Mortality Table'!$A$118,D1400,VLOOKUP(B1401,'Mortality Table'!$A$2:$B$118,2,FALSE))</f>
        <v>0.59733000000000003</v>
      </c>
      <c r="E1401" s="4">
        <f>IF(INT((C1401-1)/12)+1&gt;'Lapse Table'!$A$11,E1400,VLOOKUP(INT((C1401-1)/12)+1,'Lapse Table'!$A$2:$B$11,2,FALSE))/12</f>
        <v>0</v>
      </c>
      <c r="F1401" s="5">
        <f t="shared" si="197"/>
        <v>-43.028157365620572</v>
      </c>
      <c r="G1401" s="6">
        <f t="shared" si="191"/>
        <v>4.9777500000000002E-2</v>
      </c>
      <c r="H1401" s="6">
        <f t="shared" si="192"/>
        <v>0</v>
      </c>
      <c r="I1401" s="7">
        <f t="shared" si="193"/>
        <v>-1434.2719121873524</v>
      </c>
      <c r="J1401" s="8">
        <f t="shared" si="194"/>
        <v>49777.5</v>
      </c>
      <c r="K1401" s="7">
        <f t="shared" si="195"/>
        <v>-51211.771912187352</v>
      </c>
      <c r="L1401" s="4">
        <f>IF(A1401&gt;'Yield Curve'!A2015,L1400,(1+VLOOKUP(A1401,'Yield Curve'!A1394:B2016,2,FALSE))^(1/12)-1)</f>
        <v>7.9741404289037643E-3</v>
      </c>
      <c r="M1401" s="5">
        <f t="shared" si="196"/>
        <v>-0.80235937937489565</v>
      </c>
    </row>
    <row r="1402" spans="1:13" x14ac:dyDescent="0.25">
      <c r="A1402" s="4">
        <v>1394</v>
      </c>
      <c r="B1402" s="4">
        <f t="shared" si="189"/>
        <v>161</v>
      </c>
      <c r="C1402" s="4">
        <f t="shared" si="190"/>
        <v>1409</v>
      </c>
      <c r="D1402" s="4">
        <f>IF(B1402&gt;'Mortality Table'!$A$118,D1401,VLOOKUP(B1402,'Mortality Table'!$A$2:$B$118,2,FALSE))</f>
        <v>0.59733000000000003</v>
      </c>
      <c r="E1402" s="4">
        <f>IF(INT((C1402-1)/12)+1&gt;'Lapse Table'!$A$11,E1401,VLOOKUP(INT((C1402-1)/12)+1,'Lapse Table'!$A$2:$B$11,2,FALSE))/12</f>
        <v>0</v>
      </c>
      <c r="F1402" s="5">
        <f t="shared" si="197"/>
        <v>-43.07793486562057</v>
      </c>
      <c r="G1402" s="6">
        <f t="shared" si="191"/>
        <v>4.9777500000000002E-2</v>
      </c>
      <c r="H1402" s="6">
        <f t="shared" si="192"/>
        <v>0</v>
      </c>
      <c r="I1402" s="7">
        <f t="shared" si="193"/>
        <v>-1435.9311621873524</v>
      </c>
      <c r="J1402" s="8">
        <f t="shared" si="194"/>
        <v>49777.5</v>
      </c>
      <c r="K1402" s="7">
        <f t="shared" si="195"/>
        <v>-51213.431162187349</v>
      </c>
      <c r="L1402" s="4">
        <f>IF(A1402&gt;'Yield Curve'!A2016,L1401,(1+VLOOKUP(A1402,'Yield Curve'!A1395:B2017,2,FALSE))^(1/12)-1)</f>
        <v>7.9741404289037643E-3</v>
      </c>
      <c r="M1402" s="5">
        <f t="shared" si="196"/>
        <v>-0.79603765955602657</v>
      </c>
    </row>
    <row r="1403" spans="1:13" x14ac:dyDescent="0.25">
      <c r="A1403" s="4">
        <v>1395</v>
      </c>
      <c r="B1403" s="4">
        <f t="shared" si="189"/>
        <v>161</v>
      </c>
      <c r="C1403" s="4">
        <f t="shared" si="190"/>
        <v>1410</v>
      </c>
      <c r="D1403" s="4">
        <f>IF(B1403&gt;'Mortality Table'!$A$118,D1402,VLOOKUP(B1403,'Mortality Table'!$A$2:$B$118,2,FALSE))</f>
        <v>0.59733000000000003</v>
      </c>
      <c r="E1403" s="4">
        <f>IF(INT((C1403-1)/12)+1&gt;'Lapse Table'!$A$11,E1402,VLOOKUP(INT((C1403-1)/12)+1,'Lapse Table'!$A$2:$B$11,2,FALSE))/12</f>
        <v>0</v>
      </c>
      <c r="F1403" s="5">
        <f t="shared" si="197"/>
        <v>-43.127712365620567</v>
      </c>
      <c r="G1403" s="6">
        <f t="shared" si="191"/>
        <v>4.9777500000000002E-2</v>
      </c>
      <c r="H1403" s="6">
        <f t="shared" si="192"/>
        <v>0</v>
      </c>
      <c r="I1403" s="7">
        <f t="shared" si="193"/>
        <v>-1437.5904121873521</v>
      </c>
      <c r="J1403" s="8">
        <f t="shared" si="194"/>
        <v>49777.5</v>
      </c>
      <c r="K1403" s="7">
        <f t="shared" si="195"/>
        <v>-51215.090412187354</v>
      </c>
      <c r="L1403" s="4">
        <f>IF(A1403&gt;'Yield Curve'!A2017,L1402,(1+VLOOKUP(A1403,'Yield Curve'!A1396:B2018,2,FALSE))^(1/12)-1)</f>
        <v>7.9741404289037643E-3</v>
      </c>
      <c r="M1403" s="5">
        <f t="shared" si="196"/>
        <v>-0.78976574718920478</v>
      </c>
    </row>
    <row r="1404" spans="1:13" x14ac:dyDescent="0.25">
      <c r="A1404" s="4">
        <v>1396</v>
      </c>
      <c r="B1404" s="4">
        <f t="shared" si="189"/>
        <v>161</v>
      </c>
      <c r="C1404" s="4">
        <f t="shared" si="190"/>
        <v>1411</v>
      </c>
      <c r="D1404" s="4">
        <f>IF(B1404&gt;'Mortality Table'!$A$118,D1403,VLOOKUP(B1404,'Mortality Table'!$A$2:$B$118,2,FALSE))</f>
        <v>0.59733000000000003</v>
      </c>
      <c r="E1404" s="4">
        <f>IF(INT((C1404-1)/12)+1&gt;'Lapse Table'!$A$11,E1403,VLOOKUP(INT((C1404-1)/12)+1,'Lapse Table'!$A$2:$B$11,2,FALSE))/12</f>
        <v>0</v>
      </c>
      <c r="F1404" s="5">
        <f t="shared" si="197"/>
        <v>-43.177489865620565</v>
      </c>
      <c r="G1404" s="6">
        <f t="shared" si="191"/>
        <v>4.9777500000000002E-2</v>
      </c>
      <c r="H1404" s="6">
        <f t="shared" si="192"/>
        <v>0</v>
      </c>
      <c r="I1404" s="7">
        <f t="shared" si="193"/>
        <v>-1439.2496621873522</v>
      </c>
      <c r="J1404" s="8">
        <f t="shared" si="194"/>
        <v>49777.5</v>
      </c>
      <c r="K1404" s="7">
        <f t="shared" si="195"/>
        <v>-51216.749662187351</v>
      </c>
      <c r="L1404" s="4">
        <f>IF(A1404&gt;'Yield Curve'!A2018,L1403,(1+VLOOKUP(A1404,'Yield Curve'!A1397:B2019,2,FALSE))^(1/12)-1)</f>
        <v>7.9741404289037643E-3</v>
      </c>
      <c r="M1404" s="5">
        <f t="shared" si="196"/>
        <v>-0.78354324985896062</v>
      </c>
    </row>
    <row r="1405" spans="1:13" x14ac:dyDescent="0.25">
      <c r="A1405" s="4">
        <v>1397</v>
      </c>
      <c r="B1405" s="4">
        <f t="shared" si="189"/>
        <v>161</v>
      </c>
      <c r="C1405" s="4">
        <f t="shared" si="190"/>
        <v>1412</v>
      </c>
      <c r="D1405" s="4">
        <f>IF(B1405&gt;'Mortality Table'!$A$118,D1404,VLOOKUP(B1405,'Mortality Table'!$A$2:$B$118,2,FALSE))</f>
        <v>0.59733000000000003</v>
      </c>
      <c r="E1405" s="4">
        <f>IF(INT((C1405-1)/12)+1&gt;'Lapse Table'!$A$11,E1404,VLOOKUP(INT((C1405-1)/12)+1,'Lapse Table'!$A$2:$B$11,2,FALSE))/12</f>
        <v>0</v>
      </c>
      <c r="F1405" s="5">
        <f t="shared" si="197"/>
        <v>-43.227267365620563</v>
      </c>
      <c r="G1405" s="6">
        <f t="shared" si="191"/>
        <v>4.9777500000000002E-2</v>
      </c>
      <c r="H1405" s="6">
        <f t="shared" si="192"/>
        <v>0</v>
      </c>
      <c r="I1405" s="7">
        <f t="shared" si="193"/>
        <v>-1440.9089121873521</v>
      </c>
      <c r="J1405" s="8">
        <f t="shared" si="194"/>
        <v>49777.5</v>
      </c>
      <c r="K1405" s="7">
        <f t="shared" si="195"/>
        <v>-51218.408912187355</v>
      </c>
      <c r="L1405" s="4">
        <f>IF(A1405&gt;'Yield Curve'!A2019,L1404,(1+VLOOKUP(A1405,'Yield Curve'!A1398:B2020,2,FALSE))^(1/12)-1)</f>
        <v>7.9741404289037643E-3</v>
      </c>
      <c r="M1405" s="5">
        <f t="shared" si="196"/>
        <v>-0.77736977824147624</v>
      </c>
    </row>
    <row r="1406" spans="1:13" x14ac:dyDescent="0.25">
      <c r="A1406" s="4">
        <v>1398</v>
      </c>
      <c r="B1406" s="4">
        <f t="shared" si="189"/>
        <v>161</v>
      </c>
      <c r="C1406" s="4">
        <f t="shared" si="190"/>
        <v>1413</v>
      </c>
      <c r="D1406" s="4">
        <f>IF(B1406&gt;'Mortality Table'!$A$118,D1405,VLOOKUP(B1406,'Mortality Table'!$A$2:$B$118,2,FALSE))</f>
        <v>0.59733000000000003</v>
      </c>
      <c r="E1406" s="4">
        <f>IF(INT((C1406-1)/12)+1&gt;'Lapse Table'!$A$11,E1405,VLOOKUP(INT((C1406-1)/12)+1,'Lapse Table'!$A$2:$B$11,2,FALSE))/12</f>
        <v>0</v>
      </c>
      <c r="F1406" s="5">
        <f t="shared" si="197"/>
        <v>-43.27704486562056</v>
      </c>
      <c r="G1406" s="6">
        <f t="shared" si="191"/>
        <v>4.9777500000000002E-2</v>
      </c>
      <c r="H1406" s="6">
        <f t="shared" si="192"/>
        <v>0</v>
      </c>
      <c r="I1406" s="7">
        <f t="shared" si="193"/>
        <v>-1442.5681621873521</v>
      </c>
      <c r="J1406" s="8">
        <f t="shared" si="194"/>
        <v>49777.5</v>
      </c>
      <c r="K1406" s="7">
        <f t="shared" si="195"/>
        <v>-51220.068162187352</v>
      </c>
      <c r="L1406" s="4">
        <f>IF(A1406&gt;'Yield Curve'!A2020,L1405,(1+VLOOKUP(A1406,'Yield Curve'!A1399:B2021,2,FALSE))^(1/12)-1)</f>
        <v>7.9741404289037643E-3</v>
      </c>
      <c r="M1406" s="5">
        <f t="shared" si="196"/>
        <v>-0.77124494608022898</v>
      </c>
    </row>
    <row r="1407" spans="1:13" x14ac:dyDescent="0.25">
      <c r="A1407" s="4">
        <v>1399</v>
      </c>
      <c r="B1407" s="4">
        <f t="shared" si="189"/>
        <v>161</v>
      </c>
      <c r="C1407" s="4">
        <f t="shared" si="190"/>
        <v>1414</v>
      </c>
      <c r="D1407" s="4">
        <f>IF(B1407&gt;'Mortality Table'!$A$118,D1406,VLOOKUP(B1407,'Mortality Table'!$A$2:$B$118,2,FALSE))</f>
        <v>0.59733000000000003</v>
      </c>
      <c r="E1407" s="4">
        <f>IF(INT((C1407-1)/12)+1&gt;'Lapse Table'!$A$11,E1406,VLOOKUP(INT((C1407-1)/12)+1,'Lapse Table'!$A$2:$B$11,2,FALSE))/12</f>
        <v>0</v>
      </c>
      <c r="F1407" s="5">
        <f t="shared" si="197"/>
        <v>-43.326822365620558</v>
      </c>
      <c r="G1407" s="6">
        <f t="shared" si="191"/>
        <v>4.9777500000000002E-2</v>
      </c>
      <c r="H1407" s="6">
        <f t="shared" si="192"/>
        <v>0</v>
      </c>
      <c r="I1407" s="7">
        <f t="shared" si="193"/>
        <v>-1444.2274121873518</v>
      </c>
      <c r="J1407" s="8">
        <f t="shared" si="194"/>
        <v>49777.5</v>
      </c>
      <c r="K1407" s="7">
        <f t="shared" si="195"/>
        <v>-51221.727412187349</v>
      </c>
      <c r="L1407" s="4">
        <f>IF(A1407&gt;'Yield Curve'!A2021,L1406,(1+VLOOKUP(A1407,'Yield Curve'!A1400:B2022,2,FALSE))^(1/12)-1)</f>
        <v>7.9741404289037643E-3</v>
      </c>
      <c r="M1407" s="5">
        <f t="shared" si="196"/>
        <v>-0.76516837016182404</v>
      </c>
    </row>
    <row r="1408" spans="1:13" x14ac:dyDescent="0.25">
      <c r="A1408" s="4">
        <v>1400</v>
      </c>
      <c r="B1408" s="4">
        <f t="shared" si="189"/>
        <v>161</v>
      </c>
      <c r="C1408" s="4">
        <f t="shared" si="190"/>
        <v>1415</v>
      </c>
      <c r="D1408" s="4">
        <f>IF(B1408&gt;'Mortality Table'!$A$118,D1407,VLOOKUP(B1408,'Mortality Table'!$A$2:$B$118,2,FALSE))</f>
        <v>0.59733000000000003</v>
      </c>
      <c r="E1408" s="4">
        <f>IF(INT((C1408-1)/12)+1&gt;'Lapse Table'!$A$11,E1407,VLOOKUP(INT((C1408-1)/12)+1,'Lapse Table'!$A$2:$B$11,2,FALSE))/12</f>
        <v>0</v>
      </c>
      <c r="F1408" s="5">
        <f t="shared" si="197"/>
        <v>-43.376599865620555</v>
      </c>
      <c r="G1408" s="6">
        <f t="shared" si="191"/>
        <v>4.9777500000000002E-2</v>
      </c>
      <c r="H1408" s="6">
        <f t="shared" si="192"/>
        <v>0</v>
      </c>
      <c r="I1408" s="7">
        <f t="shared" si="193"/>
        <v>-1445.8866621873519</v>
      </c>
      <c r="J1408" s="8">
        <f t="shared" si="194"/>
        <v>49777.5</v>
      </c>
      <c r="K1408" s="7">
        <f t="shared" si="195"/>
        <v>-51223.386662187353</v>
      </c>
      <c r="L1408" s="4">
        <f>IF(A1408&gt;'Yield Curve'!A2022,L1407,(1+VLOOKUP(A1408,'Yield Curve'!A1401:B2023,2,FALSE))^(1/12)-1)</f>
        <v>7.9741404289037643E-3</v>
      </c>
      <c r="M1408" s="5">
        <f t="shared" si="196"/>
        <v>-0.7591396702920219</v>
      </c>
    </row>
    <row r="1409" spans="1:13" x14ac:dyDescent="0.25">
      <c r="A1409" s="4">
        <v>1401</v>
      </c>
      <c r="B1409" s="4">
        <f t="shared" si="189"/>
        <v>161</v>
      </c>
      <c r="C1409" s="4">
        <f t="shared" si="190"/>
        <v>1416</v>
      </c>
      <c r="D1409" s="4">
        <f>IF(B1409&gt;'Mortality Table'!$A$118,D1408,VLOOKUP(B1409,'Mortality Table'!$A$2:$B$118,2,FALSE))</f>
        <v>0.59733000000000003</v>
      </c>
      <c r="E1409" s="4">
        <f>IF(INT((C1409-1)/12)+1&gt;'Lapse Table'!$A$11,E1408,VLOOKUP(INT((C1409-1)/12)+1,'Lapse Table'!$A$2:$B$11,2,FALSE))/12</f>
        <v>0</v>
      </c>
      <c r="F1409" s="5">
        <f t="shared" si="197"/>
        <v>-43.426377365620553</v>
      </c>
      <c r="G1409" s="6">
        <f t="shared" si="191"/>
        <v>4.9777500000000002E-2</v>
      </c>
      <c r="H1409" s="6">
        <f t="shared" si="192"/>
        <v>0</v>
      </c>
      <c r="I1409" s="7">
        <f t="shared" si="193"/>
        <v>-1447.5459121873519</v>
      </c>
      <c r="J1409" s="8">
        <f t="shared" si="194"/>
        <v>49777.5</v>
      </c>
      <c r="K1409" s="7">
        <f t="shared" si="195"/>
        <v>-51225.04591218735</v>
      </c>
      <c r="L1409" s="4">
        <f>IF(A1409&gt;'Yield Curve'!A2023,L1408,(1+VLOOKUP(A1409,'Yield Curve'!A1402:B2024,2,FALSE))^(1/12)-1)</f>
        <v>7.9741404289037643E-3</v>
      </c>
      <c r="M1409" s="5">
        <f t="shared" si="196"/>
        <v>-0.75315846927195107</v>
      </c>
    </row>
    <row r="1410" spans="1:13" x14ac:dyDescent="0.25">
      <c r="A1410" s="4">
        <v>1402</v>
      </c>
      <c r="B1410" s="4">
        <f t="shared" si="189"/>
        <v>161</v>
      </c>
      <c r="C1410" s="4">
        <f t="shared" si="190"/>
        <v>1417</v>
      </c>
      <c r="D1410" s="4">
        <f>IF(B1410&gt;'Mortality Table'!$A$118,D1409,VLOOKUP(B1410,'Mortality Table'!$A$2:$B$118,2,FALSE))</f>
        <v>0.59733000000000003</v>
      </c>
      <c r="E1410" s="4">
        <f>IF(INT((C1410-1)/12)+1&gt;'Lapse Table'!$A$11,E1409,VLOOKUP(INT((C1410-1)/12)+1,'Lapse Table'!$A$2:$B$11,2,FALSE))/12</f>
        <v>0</v>
      </c>
      <c r="F1410" s="5">
        <f t="shared" si="197"/>
        <v>-43.476154865620551</v>
      </c>
      <c r="G1410" s="6">
        <f t="shared" si="191"/>
        <v>4.9777500000000002E-2</v>
      </c>
      <c r="H1410" s="6">
        <f t="shared" si="192"/>
        <v>0</v>
      </c>
      <c r="I1410" s="7">
        <f t="shared" si="193"/>
        <v>-1449.2051621873516</v>
      </c>
      <c r="J1410" s="8">
        <f t="shared" si="194"/>
        <v>49777.5</v>
      </c>
      <c r="K1410" s="7">
        <f t="shared" si="195"/>
        <v>-51226.705162187354</v>
      </c>
      <c r="L1410" s="4">
        <f>IF(A1410&gt;'Yield Curve'!A2024,L1409,(1+VLOOKUP(A1410,'Yield Curve'!A1403:B2025,2,FALSE))^(1/12)-1)</f>
        <v>7.9741404289037643E-3</v>
      </c>
      <c r="M1410" s="5">
        <f t="shared" si="196"/>
        <v>-0.7472243928745097</v>
      </c>
    </row>
    <row r="1411" spans="1:13" x14ac:dyDescent="0.25">
      <c r="A1411" s="4">
        <v>1403</v>
      </c>
      <c r="B1411" s="4">
        <f t="shared" si="189"/>
        <v>161</v>
      </c>
      <c r="C1411" s="4">
        <f t="shared" si="190"/>
        <v>1418</v>
      </c>
      <c r="D1411" s="4">
        <f>IF(B1411&gt;'Mortality Table'!$A$118,D1410,VLOOKUP(B1411,'Mortality Table'!$A$2:$B$118,2,FALSE))</f>
        <v>0.59733000000000003</v>
      </c>
      <c r="E1411" s="4">
        <f>IF(INT((C1411-1)/12)+1&gt;'Lapse Table'!$A$11,E1410,VLOOKUP(INT((C1411-1)/12)+1,'Lapse Table'!$A$2:$B$11,2,FALSE))/12</f>
        <v>0</v>
      </c>
      <c r="F1411" s="5">
        <f t="shared" si="197"/>
        <v>-43.525932365620548</v>
      </c>
      <c r="G1411" s="6">
        <f t="shared" si="191"/>
        <v>4.9777500000000002E-2</v>
      </c>
      <c r="H1411" s="6">
        <f t="shared" si="192"/>
        <v>0</v>
      </c>
      <c r="I1411" s="7">
        <f t="shared" si="193"/>
        <v>-1450.8644121873515</v>
      </c>
      <c r="J1411" s="8">
        <f t="shared" si="194"/>
        <v>49777.5</v>
      </c>
      <c r="K1411" s="7">
        <f t="shared" si="195"/>
        <v>-51228.364412187351</v>
      </c>
      <c r="L1411" s="4">
        <f>IF(A1411&gt;'Yield Curve'!A2025,L1410,(1+VLOOKUP(A1411,'Yield Curve'!A1404:B2026,2,FALSE))^(1/12)-1)</f>
        <v>7.9741404289037643E-3</v>
      </c>
      <c r="M1411" s="5">
        <f t="shared" si="196"/>
        <v>-0.74133706982095171</v>
      </c>
    </row>
    <row r="1412" spans="1:13" x14ac:dyDescent="0.25">
      <c r="A1412" s="4">
        <v>1404</v>
      </c>
      <c r="B1412" s="4">
        <f t="shared" si="189"/>
        <v>162</v>
      </c>
      <c r="C1412" s="4">
        <f t="shared" si="190"/>
        <v>1419</v>
      </c>
      <c r="D1412" s="4">
        <f>IF(B1412&gt;'Mortality Table'!$A$118,D1411,VLOOKUP(B1412,'Mortality Table'!$A$2:$B$118,2,FALSE))</f>
        <v>0.59733000000000003</v>
      </c>
      <c r="E1412" s="4">
        <f>IF(INT((C1412-1)/12)+1&gt;'Lapse Table'!$A$11,E1411,VLOOKUP(INT((C1412-1)/12)+1,'Lapse Table'!$A$2:$B$11,2,FALSE))/12</f>
        <v>0</v>
      </c>
      <c r="F1412" s="5">
        <f t="shared" si="197"/>
        <v>-43.575709865620546</v>
      </c>
      <c r="G1412" s="6">
        <f t="shared" si="191"/>
        <v>4.9777500000000002E-2</v>
      </c>
      <c r="H1412" s="6">
        <f t="shared" si="192"/>
        <v>0</v>
      </c>
      <c r="I1412" s="7">
        <f t="shared" si="193"/>
        <v>-1452.5236621873516</v>
      </c>
      <c r="J1412" s="8">
        <f t="shared" si="194"/>
        <v>49777.5</v>
      </c>
      <c r="K1412" s="7">
        <f t="shared" si="195"/>
        <v>-51230.023662187348</v>
      </c>
      <c r="L1412" s="4">
        <f>IF(A1412&gt;'Yield Curve'!A2026,L1411,(1+VLOOKUP(A1412,'Yield Curve'!A1405:B2027,2,FALSE))^(1/12)-1)</f>
        <v>7.9741404289037643E-3</v>
      </c>
      <c r="M1412" s="5">
        <f t="shared" si="196"/>
        <v>-0.73549613175766093</v>
      </c>
    </row>
    <row r="1413" spans="1:13" x14ac:dyDescent="0.25">
      <c r="A1413" s="4">
        <v>1405</v>
      </c>
      <c r="B1413" s="4">
        <f t="shared" si="189"/>
        <v>162</v>
      </c>
      <c r="C1413" s="4">
        <f t="shared" si="190"/>
        <v>1420</v>
      </c>
      <c r="D1413" s="4">
        <f>IF(B1413&gt;'Mortality Table'!$A$118,D1412,VLOOKUP(B1413,'Mortality Table'!$A$2:$B$118,2,FALSE))</f>
        <v>0.59733000000000003</v>
      </c>
      <c r="E1413" s="4">
        <f>IF(INT((C1413-1)/12)+1&gt;'Lapse Table'!$A$11,E1412,VLOOKUP(INT((C1413-1)/12)+1,'Lapse Table'!$A$2:$B$11,2,FALSE))/12</f>
        <v>0</v>
      </c>
      <c r="F1413" s="5">
        <f t="shared" si="197"/>
        <v>-43.625487365620543</v>
      </c>
      <c r="G1413" s="6">
        <f t="shared" si="191"/>
        <v>4.9777500000000002E-2</v>
      </c>
      <c r="H1413" s="6">
        <f t="shared" si="192"/>
        <v>0</v>
      </c>
      <c r="I1413" s="7">
        <f t="shared" si="193"/>
        <v>-1454.1829121873516</v>
      </c>
      <c r="J1413" s="8">
        <f t="shared" si="194"/>
        <v>49777.5</v>
      </c>
      <c r="K1413" s="7">
        <f t="shared" si="195"/>
        <v>-51231.682912187352</v>
      </c>
      <c r="L1413" s="4">
        <f>IF(A1413&gt;'Yield Curve'!A2027,L1412,(1+VLOOKUP(A1413,'Yield Curve'!A1406:B2028,2,FALSE))^(1/12)-1)</f>
        <v>7.9741404289037643E-3</v>
      </c>
      <c r="M1413" s="5">
        <f t="shared" si="196"/>
        <v>-0.72970121323310344</v>
      </c>
    </row>
    <row r="1414" spans="1:13" x14ac:dyDescent="0.25">
      <c r="A1414" s="4">
        <v>1406</v>
      </c>
      <c r="B1414" s="4">
        <f t="shared" si="189"/>
        <v>162</v>
      </c>
      <c r="C1414" s="4">
        <f t="shared" si="190"/>
        <v>1421</v>
      </c>
      <c r="D1414" s="4">
        <f>IF(B1414&gt;'Mortality Table'!$A$118,D1413,VLOOKUP(B1414,'Mortality Table'!$A$2:$B$118,2,FALSE))</f>
        <v>0.59733000000000003</v>
      </c>
      <c r="E1414" s="4">
        <f>IF(INT((C1414-1)/12)+1&gt;'Lapse Table'!$A$11,E1413,VLOOKUP(INT((C1414-1)/12)+1,'Lapse Table'!$A$2:$B$11,2,FALSE))/12</f>
        <v>0</v>
      </c>
      <c r="F1414" s="5">
        <f t="shared" si="197"/>
        <v>-43.675264865620541</v>
      </c>
      <c r="G1414" s="6">
        <f t="shared" si="191"/>
        <v>4.9777500000000002E-2</v>
      </c>
      <c r="H1414" s="6">
        <f t="shared" si="192"/>
        <v>0</v>
      </c>
      <c r="I1414" s="7">
        <f t="shared" si="193"/>
        <v>-1455.8421621873513</v>
      </c>
      <c r="J1414" s="8">
        <f t="shared" si="194"/>
        <v>49777.5</v>
      </c>
      <c r="K1414" s="7">
        <f t="shared" si="195"/>
        <v>-51233.342162187349</v>
      </c>
      <c r="L1414" s="4">
        <f>IF(A1414&gt;'Yield Curve'!A2028,L1413,(1+VLOOKUP(A1414,'Yield Curve'!A1407:B2029,2,FALSE))^(1/12)-1)</f>
        <v>7.9741404289037643E-3</v>
      </c>
      <c r="M1414" s="5">
        <f t="shared" si="196"/>
        <v>-0.72395195167496507</v>
      </c>
    </row>
    <row r="1415" spans="1:13" x14ac:dyDescent="0.25">
      <c r="A1415" s="4">
        <v>1407</v>
      </c>
      <c r="B1415" s="4">
        <f t="shared" si="189"/>
        <v>162</v>
      </c>
      <c r="C1415" s="4">
        <f t="shared" si="190"/>
        <v>1422</v>
      </c>
      <c r="D1415" s="4">
        <f>IF(B1415&gt;'Mortality Table'!$A$118,D1414,VLOOKUP(B1415,'Mortality Table'!$A$2:$B$118,2,FALSE))</f>
        <v>0.59733000000000003</v>
      </c>
      <c r="E1415" s="4">
        <f>IF(INT((C1415-1)/12)+1&gt;'Lapse Table'!$A$11,E1414,VLOOKUP(INT((C1415-1)/12)+1,'Lapse Table'!$A$2:$B$11,2,FALSE))/12</f>
        <v>0</v>
      </c>
      <c r="F1415" s="5">
        <f t="shared" si="197"/>
        <v>-43.725042365620538</v>
      </c>
      <c r="G1415" s="6">
        <f t="shared" si="191"/>
        <v>4.9777500000000002E-2</v>
      </c>
      <c r="H1415" s="6">
        <f t="shared" si="192"/>
        <v>0</v>
      </c>
      <c r="I1415" s="7">
        <f t="shared" si="193"/>
        <v>-1457.5014121873512</v>
      </c>
      <c r="J1415" s="8">
        <f t="shared" si="194"/>
        <v>49777.5</v>
      </c>
      <c r="K1415" s="7">
        <f t="shared" si="195"/>
        <v>-51235.001412187354</v>
      </c>
      <c r="L1415" s="4">
        <f>IF(A1415&gt;'Yield Curve'!A2029,L1414,(1+VLOOKUP(A1415,'Yield Curve'!A1408:B2030,2,FALSE))^(1/12)-1)</f>
        <v>7.9741404289037643E-3</v>
      </c>
      <c r="M1415" s="5">
        <f t="shared" si="196"/>
        <v>-0.71824798736746787</v>
      </c>
    </row>
    <row r="1416" spans="1:13" x14ac:dyDescent="0.25">
      <c r="A1416" s="4">
        <v>1408</v>
      </c>
      <c r="B1416" s="4">
        <f t="shared" si="189"/>
        <v>162</v>
      </c>
      <c r="C1416" s="4">
        <f t="shared" si="190"/>
        <v>1423</v>
      </c>
      <c r="D1416" s="4">
        <f>IF(B1416&gt;'Mortality Table'!$A$118,D1415,VLOOKUP(B1416,'Mortality Table'!$A$2:$B$118,2,FALSE))</f>
        <v>0.59733000000000003</v>
      </c>
      <c r="E1416" s="4">
        <f>IF(INT((C1416-1)/12)+1&gt;'Lapse Table'!$A$11,E1415,VLOOKUP(INT((C1416-1)/12)+1,'Lapse Table'!$A$2:$B$11,2,FALSE))/12</f>
        <v>0</v>
      </c>
      <c r="F1416" s="5">
        <f t="shared" si="197"/>
        <v>-43.774819865620536</v>
      </c>
      <c r="G1416" s="6">
        <f t="shared" si="191"/>
        <v>4.9777500000000002E-2</v>
      </c>
      <c r="H1416" s="6">
        <f t="shared" si="192"/>
        <v>0</v>
      </c>
      <c r="I1416" s="7">
        <f t="shared" si="193"/>
        <v>-1459.1606621873514</v>
      </c>
      <c r="J1416" s="8">
        <f t="shared" si="194"/>
        <v>49777.5</v>
      </c>
      <c r="K1416" s="7">
        <f t="shared" si="195"/>
        <v>-51236.660662187351</v>
      </c>
      <c r="L1416" s="4">
        <f>IF(A1416&gt;'Yield Curve'!A2030,L1415,(1+VLOOKUP(A1416,'Yield Curve'!A1409:B2031,2,FALSE))^(1/12)-1)</f>
        <v>7.9741404289037643E-3</v>
      </c>
      <c r="M1416" s="5">
        <f t="shared" si="196"/>
        <v>-0.71258896342886313</v>
      </c>
    </row>
    <row r="1417" spans="1:13" x14ac:dyDescent="0.25">
      <c r="A1417" s="4">
        <v>1409</v>
      </c>
      <c r="B1417" s="4">
        <f t="shared" si="189"/>
        <v>162</v>
      </c>
      <c r="C1417" s="4">
        <f t="shared" si="190"/>
        <v>1424</v>
      </c>
      <c r="D1417" s="4">
        <f>IF(B1417&gt;'Mortality Table'!$A$118,D1416,VLOOKUP(B1417,'Mortality Table'!$A$2:$B$118,2,FALSE))</f>
        <v>0.59733000000000003</v>
      </c>
      <c r="E1417" s="4">
        <f>IF(INT((C1417-1)/12)+1&gt;'Lapse Table'!$A$11,E1416,VLOOKUP(INT((C1417-1)/12)+1,'Lapse Table'!$A$2:$B$11,2,FALSE))/12</f>
        <v>0</v>
      </c>
      <c r="F1417" s="5">
        <f t="shared" si="197"/>
        <v>-43.824597365620534</v>
      </c>
      <c r="G1417" s="6">
        <f t="shared" si="191"/>
        <v>4.9777500000000002E-2</v>
      </c>
      <c r="H1417" s="6">
        <f t="shared" si="192"/>
        <v>0</v>
      </c>
      <c r="I1417" s="7">
        <f t="shared" si="193"/>
        <v>-1460.8199121873511</v>
      </c>
      <c r="J1417" s="8">
        <f t="shared" si="194"/>
        <v>49777.5</v>
      </c>
      <c r="K1417" s="7">
        <f t="shared" si="195"/>
        <v>-51238.319912187348</v>
      </c>
      <c r="L1417" s="4">
        <f>IF(A1417&gt;'Yield Curve'!A2031,L1416,(1+VLOOKUP(A1417,'Yield Curve'!A1410:B2032,2,FALSE))^(1/12)-1)</f>
        <v>7.9741404289037643E-3</v>
      </c>
      <c r="M1417" s="5">
        <f t="shared" si="196"/>
        <v>-0.7069745257891078</v>
      </c>
    </row>
    <row r="1418" spans="1:13" x14ac:dyDescent="0.25">
      <c r="A1418" s="4">
        <v>1410</v>
      </c>
      <c r="B1418" s="4">
        <f t="shared" ref="B1418:B1481" si="198">INT($B$3+A1418/12)</f>
        <v>162</v>
      </c>
      <c r="C1418" s="4">
        <f t="shared" ref="C1418:C1481" si="199">$B$4+A1418</f>
        <v>1425</v>
      </c>
      <c r="D1418" s="4">
        <f>IF(B1418&gt;'Mortality Table'!$A$118,D1417,VLOOKUP(B1418,'Mortality Table'!$A$2:$B$118,2,FALSE))</f>
        <v>0.59733000000000003</v>
      </c>
      <c r="E1418" s="4">
        <f>IF(INT((C1418-1)/12)+1&gt;'Lapse Table'!$A$11,E1417,VLOOKUP(INT((C1418-1)/12)+1,'Lapse Table'!$A$2:$B$11,2,FALSE))/12</f>
        <v>0</v>
      </c>
      <c r="F1418" s="5">
        <f t="shared" si="197"/>
        <v>-43.874374865620531</v>
      </c>
      <c r="G1418" s="6">
        <f t="shared" ref="G1418:G1481" si="200">D1418/12*(1-0.5*E1418)</f>
        <v>4.9777500000000002E-2</v>
      </c>
      <c r="H1418" s="6">
        <f t="shared" ref="H1418:H1481" si="201">E1418*(1-0.5*D1418)</f>
        <v>0</v>
      </c>
      <c r="I1418" s="7">
        <f t="shared" ref="I1418:I1481" si="202">F1418*$B$5/12</f>
        <v>-1462.479162187351</v>
      </c>
      <c r="J1418" s="8">
        <f t="shared" ref="J1418:J1481" si="203">$B$6*G1418</f>
        <v>49777.5</v>
      </c>
      <c r="K1418" s="7">
        <f t="shared" ref="K1418:K1481" si="204">I1418-J1418</f>
        <v>-51239.979162187352</v>
      </c>
      <c r="L1418" s="4">
        <f>IF(A1418&gt;'Yield Curve'!A2032,L1417,(1+VLOOKUP(A1418,'Yield Curve'!A1411:B2033,2,FALSE))^(1/12)-1)</f>
        <v>7.9741404289037643E-3</v>
      </c>
      <c r="M1418" s="5">
        <f t="shared" ref="M1418:M1481" si="205">K1418*(1+L1418)^-A1418</f>
        <v>-0.70140432316770884</v>
      </c>
    </row>
    <row r="1419" spans="1:13" x14ac:dyDescent="0.25">
      <c r="A1419" s="4">
        <v>1411</v>
      </c>
      <c r="B1419" s="4">
        <f t="shared" si="198"/>
        <v>162</v>
      </c>
      <c r="C1419" s="4">
        <f t="shared" si="199"/>
        <v>1426</v>
      </c>
      <c r="D1419" s="4">
        <f>IF(B1419&gt;'Mortality Table'!$A$118,D1418,VLOOKUP(B1419,'Mortality Table'!$A$2:$B$118,2,FALSE))</f>
        <v>0.59733000000000003</v>
      </c>
      <c r="E1419" s="4">
        <f>IF(INT((C1419-1)/12)+1&gt;'Lapse Table'!$A$11,E1418,VLOOKUP(INT((C1419-1)/12)+1,'Lapse Table'!$A$2:$B$11,2,FALSE))/12</f>
        <v>0</v>
      </c>
      <c r="F1419" s="5">
        <f t="shared" ref="F1419:F1482" si="206">F1418-G1419-H1419</f>
        <v>-43.924152365620529</v>
      </c>
      <c r="G1419" s="6">
        <f t="shared" si="200"/>
        <v>4.9777500000000002E-2</v>
      </c>
      <c r="H1419" s="6">
        <f t="shared" si="201"/>
        <v>0</v>
      </c>
      <c r="I1419" s="7">
        <f t="shared" si="202"/>
        <v>-1464.1384121873509</v>
      </c>
      <c r="J1419" s="8">
        <f t="shared" si="203"/>
        <v>49777.5</v>
      </c>
      <c r="K1419" s="7">
        <f t="shared" si="204"/>
        <v>-51241.638412187349</v>
      </c>
      <c r="L1419" s="4">
        <f>IF(A1419&gt;'Yield Curve'!A2033,L1418,(1+VLOOKUP(A1419,'Yield Curve'!A1412:B2034,2,FALSE))^(1/12)-1)</f>
        <v>7.9741404289037643E-3</v>
      </c>
      <c r="M1419" s="5">
        <f t="shared" si="205"/>
        <v>-0.69587800705174796</v>
      </c>
    </row>
    <row r="1420" spans="1:13" x14ac:dyDescent="0.25">
      <c r="A1420" s="4">
        <v>1412</v>
      </c>
      <c r="B1420" s="4">
        <f t="shared" si="198"/>
        <v>162</v>
      </c>
      <c r="C1420" s="4">
        <f t="shared" si="199"/>
        <v>1427</v>
      </c>
      <c r="D1420" s="4">
        <f>IF(B1420&gt;'Mortality Table'!$A$118,D1419,VLOOKUP(B1420,'Mortality Table'!$A$2:$B$118,2,FALSE))</f>
        <v>0.59733000000000003</v>
      </c>
      <c r="E1420" s="4">
        <f>IF(INT((C1420-1)/12)+1&gt;'Lapse Table'!$A$11,E1419,VLOOKUP(INT((C1420-1)/12)+1,'Lapse Table'!$A$2:$B$11,2,FALSE))/12</f>
        <v>0</v>
      </c>
      <c r="F1420" s="5">
        <f t="shared" si="206"/>
        <v>-43.973929865620526</v>
      </c>
      <c r="G1420" s="6">
        <f t="shared" si="200"/>
        <v>4.9777500000000002E-2</v>
      </c>
      <c r="H1420" s="6">
        <f t="shared" si="201"/>
        <v>0</v>
      </c>
      <c r="I1420" s="7">
        <f t="shared" si="202"/>
        <v>-1465.7976621873511</v>
      </c>
      <c r="J1420" s="8">
        <f t="shared" si="203"/>
        <v>49777.5</v>
      </c>
      <c r="K1420" s="7">
        <f t="shared" si="204"/>
        <v>-51243.297662187353</v>
      </c>
      <c r="L1420" s="4">
        <f>IF(A1420&gt;'Yield Curve'!A2034,L1419,(1+VLOOKUP(A1420,'Yield Curve'!A1413:B2035,2,FALSE))^(1/12)-1)</f>
        <v>7.9741404289037643E-3</v>
      </c>
      <c r="M1420" s="5">
        <f t="shared" si="205"/>
        <v>-0.69039523167407713</v>
      </c>
    </row>
    <row r="1421" spans="1:13" x14ac:dyDescent="0.25">
      <c r="A1421" s="4">
        <v>1413</v>
      </c>
      <c r="B1421" s="4">
        <f t="shared" si="198"/>
        <v>162</v>
      </c>
      <c r="C1421" s="4">
        <f t="shared" si="199"/>
        <v>1428</v>
      </c>
      <c r="D1421" s="4">
        <f>IF(B1421&gt;'Mortality Table'!$A$118,D1420,VLOOKUP(B1421,'Mortality Table'!$A$2:$B$118,2,FALSE))</f>
        <v>0.59733000000000003</v>
      </c>
      <c r="E1421" s="4">
        <f>IF(INT((C1421-1)/12)+1&gt;'Lapse Table'!$A$11,E1420,VLOOKUP(INT((C1421-1)/12)+1,'Lapse Table'!$A$2:$B$11,2,FALSE))/12</f>
        <v>0</v>
      </c>
      <c r="F1421" s="5">
        <f t="shared" si="206"/>
        <v>-44.023707365620524</v>
      </c>
      <c r="G1421" s="6">
        <f t="shared" si="200"/>
        <v>4.9777500000000002E-2</v>
      </c>
      <c r="H1421" s="6">
        <f t="shared" si="201"/>
        <v>0</v>
      </c>
      <c r="I1421" s="7">
        <f t="shared" si="202"/>
        <v>-1467.4569121873508</v>
      </c>
      <c r="J1421" s="8">
        <f t="shared" si="203"/>
        <v>49777.5</v>
      </c>
      <c r="K1421" s="7">
        <f t="shared" si="204"/>
        <v>-51244.95691218735</v>
      </c>
      <c r="L1421" s="4">
        <f>IF(A1421&gt;'Yield Curve'!A2035,L1420,(1+VLOOKUP(A1421,'Yield Curve'!A1414:B2036,2,FALSE))^(1/12)-1)</f>
        <v>7.9741404289037643E-3</v>
      </c>
      <c r="M1421" s="5">
        <f t="shared" si="205"/>
        <v>-0.68495565399168656</v>
      </c>
    </row>
    <row r="1422" spans="1:13" x14ac:dyDescent="0.25">
      <c r="A1422" s="4">
        <v>1414</v>
      </c>
      <c r="B1422" s="4">
        <f t="shared" si="198"/>
        <v>162</v>
      </c>
      <c r="C1422" s="4">
        <f t="shared" si="199"/>
        <v>1429</v>
      </c>
      <c r="D1422" s="4">
        <f>IF(B1422&gt;'Mortality Table'!$A$118,D1421,VLOOKUP(B1422,'Mortality Table'!$A$2:$B$118,2,FALSE))</f>
        <v>0.59733000000000003</v>
      </c>
      <c r="E1422" s="4">
        <f>IF(INT((C1422-1)/12)+1&gt;'Lapse Table'!$A$11,E1421,VLOOKUP(INT((C1422-1)/12)+1,'Lapse Table'!$A$2:$B$11,2,FALSE))/12</f>
        <v>0</v>
      </c>
      <c r="F1422" s="5">
        <f t="shared" si="206"/>
        <v>-44.073484865620522</v>
      </c>
      <c r="G1422" s="6">
        <f t="shared" si="200"/>
        <v>4.9777500000000002E-2</v>
      </c>
      <c r="H1422" s="6">
        <f t="shared" si="201"/>
        <v>0</v>
      </c>
      <c r="I1422" s="7">
        <f t="shared" si="202"/>
        <v>-1469.1161621873507</v>
      </c>
      <c r="J1422" s="8">
        <f t="shared" si="203"/>
        <v>49777.5</v>
      </c>
      <c r="K1422" s="7">
        <f t="shared" si="204"/>
        <v>-51246.616162187347</v>
      </c>
      <c r="L1422" s="4">
        <f>IF(A1422&gt;'Yield Curve'!A2036,L1421,(1+VLOOKUP(A1422,'Yield Curve'!A1415:B2037,2,FALSE))^(1/12)-1)</f>
        <v>7.9741404289037643E-3</v>
      </c>
      <c r="M1422" s="5">
        <f t="shared" si="205"/>
        <v>-0.6795589336642428</v>
      </c>
    </row>
    <row r="1423" spans="1:13" x14ac:dyDescent="0.25">
      <c r="A1423" s="4">
        <v>1415</v>
      </c>
      <c r="B1423" s="4">
        <f t="shared" si="198"/>
        <v>162</v>
      </c>
      <c r="C1423" s="4">
        <f t="shared" si="199"/>
        <v>1430</v>
      </c>
      <c r="D1423" s="4">
        <f>IF(B1423&gt;'Mortality Table'!$A$118,D1422,VLOOKUP(B1423,'Mortality Table'!$A$2:$B$118,2,FALSE))</f>
        <v>0.59733000000000003</v>
      </c>
      <c r="E1423" s="4">
        <f>IF(INT((C1423-1)/12)+1&gt;'Lapse Table'!$A$11,E1422,VLOOKUP(INT((C1423-1)/12)+1,'Lapse Table'!$A$2:$B$11,2,FALSE))/12</f>
        <v>0</v>
      </c>
      <c r="F1423" s="5">
        <f t="shared" si="206"/>
        <v>-44.123262365620519</v>
      </c>
      <c r="G1423" s="6">
        <f t="shared" si="200"/>
        <v>4.9777500000000002E-2</v>
      </c>
      <c r="H1423" s="6">
        <f t="shared" si="201"/>
        <v>0</v>
      </c>
      <c r="I1423" s="7">
        <f t="shared" si="202"/>
        <v>-1470.7754121873506</v>
      </c>
      <c r="J1423" s="8">
        <f t="shared" si="203"/>
        <v>49777.5</v>
      </c>
      <c r="K1423" s="7">
        <f t="shared" si="204"/>
        <v>-51248.275412187351</v>
      </c>
      <c r="L1423" s="4">
        <f>IF(A1423&gt;'Yield Curve'!A2037,L1422,(1+VLOOKUP(A1423,'Yield Curve'!A1416:B2038,2,FALSE))^(1/12)-1)</f>
        <v>7.9741404289037643E-3</v>
      </c>
      <c r="M1423" s="5">
        <f t="shared" si="205"/>
        <v>-0.67420473303279549</v>
      </c>
    </row>
    <row r="1424" spans="1:13" x14ac:dyDescent="0.25">
      <c r="A1424" s="4">
        <v>1416</v>
      </c>
      <c r="B1424" s="4">
        <f t="shared" si="198"/>
        <v>163</v>
      </c>
      <c r="C1424" s="4">
        <f t="shared" si="199"/>
        <v>1431</v>
      </c>
      <c r="D1424" s="4">
        <f>IF(B1424&gt;'Mortality Table'!$A$118,D1423,VLOOKUP(B1424,'Mortality Table'!$A$2:$B$118,2,FALSE))</f>
        <v>0.59733000000000003</v>
      </c>
      <c r="E1424" s="4">
        <f>IF(INT((C1424-1)/12)+1&gt;'Lapse Table'!$A$11,E1423,VLOOKUP(INT((C1424-1)/12)+1,'Lapse Table'!$A$2:$B$11,2,FALSE))/12</f>
        <v>0</v>
      </c>
      <c r="F1424" s="5">
        <f t="shared" si="206"/>
        <v>-44.173039865620517</v>
      </c>
      <c r="G1424" s="6">
        <f t="shared" si="200"/>
        <v>4.9777500000000002E-2</v>
      </c>
      <c r="H1424" s="6">
        <f t="shared" si="201"/>
        <v>0</v>
      </c>
      <c r="I1424" s="7">
        <f t="shared" si="202"/>
        <v>-1472.4346621873503</v>
      </c>
      <c r="J1424" s="8">
        <f t="shared" si="203"/>
        <v>49777.5</v>
      </c>
      <c r="K1424" s="7">
        <f t="shared" si="204"/>
        <v>-51249.934662187348</v>
      </c>
      <c r="L1424" s="4">
        <f>IF(A1424&gt;'Yield Curve'!A2038,L1423,(1+VLOOKUP(A1424,'Yield Curve'!A1417:B2039,2,FALSE))^(1/12)-1)</f>
        <v>7.9741404289037643E-3</v>
      </c>
      <c r="M1424" s="5">
        <f t="shared" si="205"/>
        <v>-0.66889271709865272</v>
      </c>
    </row>
    <row r="1425" spans="1:13" x14ac:dyDescent="0.25">
      <c r="A1425" s="4">
        <v>1417</v>
      </c>
      <c r="B1425" s="4">
        <f t="shared" si="198"/>
        <v>163</v>
      </c>
      <c r="C1425" s="4">
        <f t="shared" si="199"/>
        <v>1432</v>
      </c>
      <c r="D1425" s="4">
        <f>IF(B1425&gt;'Mortality Table'!$A$118,D1424,VLOOKUP(B1425,'Mortality Table'!$A$2:$B$118,2,FALSE))</f>
        <v>0.59733000000000003</v>
      </c>
      <c r="E1425" s="4">
        <f>IF(INT((C1425-1)/12)+1&gt;'Lapse Table'!$A$11,E1424,VLOOKUP(INT((C1425-1)/12)+1,'Lapse Table'!$A$2:$B$11,2,FALSE))/12</f>
        <v>0</v>
      </c>
      <c r="F1425" s="5">
        <f t="shared" si="206"/>
        <v>-44.222817365620514</v>
      </c>
      <c r="G1425" s="6">
        <f t="shared" si="200"/>
        <v>4.9777500000000002E-2</v>
      </c>
      <c r="H1425" s="6">
        <f t="shared" si="201"/>
        <v>0</v>
      </c>
      <c r="I1425" s="7">
        <f t="shared" si="202"/>
        <v>-1474.0939121873505</v>
      </c>
      <c r="J1425" s="8">
        <f t="shared" si="203"/>
        <v>49777.5</v>
      </c>
      <c r="K1425" s="7">
        <f t="shared" si="204"/>
        <v>-51251.593912187353</v>
      </c>
      <c r="L1425" s="4">
        <f>IF(A1425&gt;'Yield Curve'!A2039,L1424,(1+VLOOKUP(A1425,'Yield Curve'!A1418:B2040,2,FALSE))^(1/12)-1)</f>
        <v>7.9741404289037643E-3</v>
      </c>
      <c r="M1425" s="5">
        <f t="shared" si="205"/>
        <v>-0.66362255350242283</v>
      </c>
    </row>
    <row r="1426" spans="1:13" x14ac:dyDescent="0.25">
      <c r="A1426" s="4">
        <v>1418</v>
      </c>
      <c r="B1426" s="4">
        <f t="shared" si="198"/>
        <v>163</v>
      </c>
      <c r="C1426" s="4">
        <f t="shared" si="199"/>
        <v>1433</v>
      </c>
      <c r="D1426" s="4">
        <f>IF(B1426&gt;'Mortality Table'!$A$118,D1425,VLOOKUP(B1426,'Mortality Table'!$A$2:$B$118,2,FALSE))</f>
        <v>0.59733000000000003</v>
      </c>
      <c r="E1426" s="4">
        <f>IF(INT((C1426-1)/12)+1&gt;'Lapse Table'!$A$11,E1425,VLOOKUP(INT((C1426-1)/12)+1,'Lapse Table'!$A$2:$B$11,2,FALSE))/12</f>
        <v>0</v>
      </c>
      <c r="F1426" s="5">
        <f t="shared" si="206"/>
        <v>-44.272594865620512</v>
      </c>
      <c r="G1426" s="6">
        <f t="shared" si="200"/>
        <v>4.9777500000000002E-2</v>
      </c>
      <c r="H1426" s="6">
        <f t="shared" si="201"/>
        <v>0</v>
      </c>
      <c r="I1426" s="7">
        <f t="shared" si="202"/>
        <v>-1475.7531621873504</v>
      </c>
      <c r="J1426" s="8">
        <f t="shared" si="203"/>
        <v>49777.5</v>
      </c>
      <c r="K1426" s="7">
        <f t="shared" si="204"/>
        <v>-51253.25316218735</v>
      </c>
      <c r="L1426" s="4">
        <f>IF(A1426&gt;'Yield Curve'!A2040,L1425,(1+VLOOKUP(A1426,'Yield Curve'!A1419:B2041,2,FALSE))^(1/12)-1)</f>
        <v>7.9741404289037643E-3</v>
      </c>
      <c r="M1426" s="5">
        <f t="shared" si="205"/>
        <v>-0.65839391250322021</v>
      </c>
    </row>
    <row r="1427" spans="1:13" x14ac:dyDescent="0.25">
      <c r="A1427" s="4">
        <v>1419</v>
      </c>
      <c r="B1427" s="4">
        <f t="shared" si="198"/>
        <v>163</v>
      </c>
      <c r="C1427" s="4">
        <f t="shared" si="199"/>
        <v>1434</v>
      </c>
      <c r="D1427" s="4">
        <f>IF(B1427&gt;'Mortality Table'!$A$118,D1426,VLOOKUP(B1427,'Mortality Table'!$A$2:$B$118,2,FALSE))</f>
        <v>0.59733000000000003</v>
      </c>
      <c r="E1427" s="4">
        <f>IF(INT((C1427-1)/12)+1&gt;'Lapse Table'!$A$11,E1426,VLOOKUP(INT((C1427-1)/12)+1,'Lapse Table'!$A$2:$B$11,2,FALSE))/12</f>
        <v>0</v>
      </c>
      <c r="F1427" s="5">
        <f t="shared" si="206"/>
        <v>-44.32237236562051</v>
      </c>
      <c r="G1427" s="6">
        <f t="shared" si="200"/>
        <v>4.9777500000000002E-2</v>
      </c>
      <c r="H1427" s="6">
        <f t="shared" si="201"/>
        <v>0</v>
      </c>
      <c r="I1427" s="7">
        <f t="shared" si="202"/>
        <v>-1477.4124121873504</v>
      </c>
      <c r="J1427" s="8">
        <f t="shared" si="203"/>
        <v>49777.5</v>
      </c>
      <c r="K1427" s="7">
        <f t="shared" si="204"/>
        <v>-51254.912412187354</v>
      </c>
      <c r="L1427" s="4">
        <f>IF(A1427&gt;'Yield Curve'!A2041,L1426,(1+VLOOKUP(A1427,'Yield Curve'!A1420:B2042,2,FALSE))^(1/12)-1)</f>
        <v>7.9741404289037643E-3</v>
      </c>
      <c r="M1427" s="5">
        <f t="shared" si="205"/>
        <v>-0.6532064669580363</v>
      </c>
    </row>
    <row r="1428" spans="1:13" x14ac:dyDescent="0.25">
      <c r="A1428" s="4">
        <v>1420</v>
      </c>
      <c r="B1428" s="4">
        <f t="shared" si="198"/>
        <v>163</v>
      </c>
      <c r="C1428" s="4">
        <f t="shared" si="199"/>
        <v>1435</v>
      </c>
      <c r="D1428" s="4">
        <f>IF(B1428&gt;'Mortality Table'!$A$118,D1427,VLOOKUP(B1428,'Mortality Table'!$A$2:$B$118,2,FALSE))</f>
        <v>0.59733000000000003</v>
      </c>
      <c r="E1428" s="4">
        <f>IF(INT((C1428-1)/12)+1&gt;'Lapse Table'!$A$11,E1427,VLOOKUP(INT((C1428-1)/12)+1,'Lapse Table'!$A$2:$B$11,2,FALSE))/12</f>
        <v>0</v>
      </c>
      <c r="F1428" s="5">
        <f t="shared" si="206"/>
        <v>-44.372149865620507</v>
      </c>
      <c r="G1428" s="6">
        <f t="shared" si="200"/>
        <v>4.9777500000000002E-2</v>
      </c>
      <c r="H1428" s="6">
        <f t="shared" si="201"/>
        <v>0</v>
      </c>
      <c r="I1428" s="7">
        <f t="shared" si="202"/>
        <v>-1479.0716621873501</v>
      </c>
      <c r="J1428" s="8">
        <f t="shared" si="203"/>
        <v>49777.5</v>
      </c>
      <c r="K1428" s="7">
        <f t="shared" si="204"/>
        <v>-51256.571662187351</v>
      </c>
      <c r="L1428" s="4">
        <f>IF(A1428&gt;'Yield Curve'!A2042,L1427,(1+VLOOKUP(A1428,'Yield Curve'!A1421:B2043,2,FALSE))^(1/12)-1)</f>
        <v>7.9741404289037643E-3</v>
      </c>
      <c r="M1428" s="5">
        <f t="shared" si="205"/>
        <v>-0.64805989230127137</v>
      </c>
    </row>
    <row r="1429" spans="1:13" x14ac:dyDescent="0.25">
      <c r="A1429" s="4">
        <v>1421</v>
      </c>
      <c r="B1429" s="4">
        <f t="shared" si="198"/>
        <v>163</v>
      </c>
      <c r="C1429" s="4">
        <f t="shared" si="199"/>
        <v>1436</v>
      </c>
      <c r="D1429" s="4">
        <f>IF(B1429&gt;'Mortality Table'!$A$118,D1428,VLOOKUP(B1429,'Mortality Table'!$A$2:$B$118,2,FALSE))</f>
        <v>0.59733000000000003</v>
      </c>
      <c r="E1429" s="4">
        <f>IF(INT((C1429-1)/12)+1&gt;'Lapse Table'!$A$11,E1428,VLOOKUP(INT((C1429-1)/12)+1,'Lapse Table'!$A$2:$B$11,2,FALSE))/12</f>
        <v>0</v>
      </c>
      <c r="F1429" s="5">
        <f t="shared" si="206"/>
        <v>-44.421927365620505</v>
      </c>
      <c r="G1429" s="6">
        <f t="shared" si="200"/>
        <v>4.9777500000000002E-2</v>
      </c>
      <c r="H1429" s="6">
        <f t="shared" si="201"/>
        <v>0</v>
      </c>
      <c r="I1429" s="7">
        <f t="shared" si="202"/>
        <v>-1480.7309121873502</v>
      </c>
      <c r="J1429" s="8">
        <f t="shared" si="203"/>
        <v>49777.5</v>
      </c>
      <c r="K1429" s="7">
        <f t="shared" si="204"/>
        <v>-51258.230912187348</v>
      </c>
      <c r="L1429" s="4">
        <f>IF(A1429&gt;'Yield Curve'!A2043,L1428,(1+VLOOKUP(A1429,'Yield Curve'!A1422:B2044,2,FALSE))^(1/12)-1)</f>
        <v>7.9741404289037643E-3</v>
      </c>
      <c r="M1429" s="5">
        <f t="shared" si="205"/>
        <v>-0.64295386652443043</v>
      </c>
    </row>
    <row r="1430" spans="1:13" x14ac:dyDescent="0.25">
      <c r="A1430" s="4">
        <v>1422</v>
      </c>
      <c r="B1430" s="4">
        <f t="shared" si="198"/>
        <v>163</v>
      </c>
      <c r="C1430" s="4">
        <f t="shared" si="199"/>
        <v>1437</v>
      </c>
      <c r="D1430" s="4">
        <f>IF(B1430&gt;'Mortality Table'!$A$118,D1429,VLOOKUP(B1430,'Mortality Table'!$A$2:$B$118,2,FALSE))</f>
        <v>0.59733000000000003</v>
      </c>
      <c r="E1430" s="4">
        <f>IF(INT((C1430-1)/12)+1&gt;'Lapse Table'!$A$11,E1429,VLOOKUP(INT((C1430-1)/12)+1,'Lapse Table'!$A$2:$B$11,2,FALSE))/12</f>
        <v>0</v>
      </c>
      <c r="F1430" s="5">
        <f t="shared" si="206"/>
        <v>-44.471704865620502</v>
      </c>
      <c r="G1430" s="6">
        <f t="shared" si="200"/>
        <v>4.9777500000000002E-2</v>
      </c>
      <c r="H1430" s="6">
        <f t="shared" si="201"/>
        <v>0</v>
      </c>
      <c r="I1430" s="7">
        <f t="shared" si="202"/>
        <v>-1482.3901621873501</v>
      </c>
      <c r="J1430" s="8">
        <f t="shared" si="203"/>
        <v>49777.5</v>
      </c>
      <c r="K1430" s="7">
        <f t="shared" si="204"/>
        <v>-51259.890162187352</v>
      </c>
      <c r="L1430" s="4">
        <f>IF(A1430&gt;'Yield Curve'!A2044,L1429,(1+VLOOKUP(A1430,'Yield Curve'!A1423:B2045,2,FALSE))^(1/12)-1)</f>
        <v>7.9741404289037643E-3</v>
      </c>
      <c r="M1430" s="5">
        <f t="shared" si="205"/>
        <v>-0.63788807015597582</v>
      </c>
    </row>
    <row r="1431" spans="1:13" x14ac:dyDescent="0.25">
      <c r="A1431" s="4">
        <v>1423</v>
      </c>
      <c r="B1431" s="4">
        <f t="shared" si="198"/>
        <v>163</v>
      </c>
      <c r="C1431" s="4">
        <f t="shared" si="199"/>
        <v>1438</v>
      </c>
      <c r="D1431" s="4">
        <f>IF(B1431&gt;'Mortality Table'!$A$118,D1430,VLOOKUP(B1431,'Mortality Table'!$A$2:$B$118,2,FALSE))</f>
        <v>0.59733000000000003</v>
      </c>
      <c r="E1431" s="4">
        <f>IF(INT((C1431-1)/12)+1&gt;'Lapse Table'!$A$11,E1430,VLOOKUP(INT((C1431-1)/12)+1,'Lapse Table'!$A$2:$B$11,2,FALSE))/12</f>
        <v>0</v>
      </c>
      <c r="F1431" s="5">
        <f t="shared" si="206"/>
        <v>-44.5214823656205</v>
      </c>
      <c r="G1431" s="6">
        <f t="shared" si="200"/>
        <v>4.9777500000000002E-2</v>
      </c>
      <c r="H1431" s="6">
        <f t="shared" si="201"/>
        <v>0</v>
      </c>
      <c r="I1431" s="7">
        <f t="shared" si="202"/>
        <v>-1484.0494121873501</v>
      </c>
      <c r="J1431" s="8">
        <f t="shared" si="203"/>
        <v>49777.5</v>
      </c>
      <c r="K1431" s="7">
        <f t="shared" si="204"/>
        <v>-51261.549412187349</v>
      </c>
      <c r="L1431" s="4">
        <f>IF(A1431&gt;'Yield Curve'!A2045,L1430,(1+VLOOKUP(A1431,'Yield Curve'!A1424:B2046,2,FALSE))^(1/12)-1)</f>
        <v>7.9741404289037643E-3</v>
      </c>
      <c r="M1431" s="5">
        <f t="shared" si="205"/>
        <v>-0.63286218624134005</v>
      </c>
    </row>
    <row r="1432" spans="1:13" x14ac:dyDescent="0.25">
      <c r="A1432" s="4">
        <v>1424</v>
      </c>
      <c r="B1432" s="4">
        <f t="shared" si="198"/>
        <v>163</v>
      </c>
      <c r="C1432" s="4">
        <f t="shared" si="199"/>
        <v>1439</v>
      </c>
      <c r="D1432" s="4">
        <f>IF(B1432&gt;'Mortality Table'!$A$118,D1431,VLOOKUP(B1432,'Mortality Table'!$A$2:$B$118,2,FALSE))</f>
        <v>0.59733000000000003</v>
      </c>
      <c r="E1432" s="4">
        <f>IF(INT((C1432-1)/12)+1&gt;'Lapse Table'!$A$11,E1431,VLOOKUP(INT((C1432-1)/12)+1,'Lapse Table'!$A$2:$B$11,2,FALSE))/12</f>
        <v>0</v>
      </c>
      <c r="F1432" s="5">
        <f t="shared" si="206"/>
        <v>-44.571259865620497</v>
      </c>
      <c r="G1432" s="6">
        <f t="shared" si="200"/>
        <v>4.9777500000000002E-2</v>
      </c>
      <c r="H1432" s="6">
        <f t="shared" si="201"/>
        <v>0</v>
      </c>
      <c r="I1432" s="7">
        <f t="shared" si="202"/>
        <v>-1485.7086621873498</v>
      </c>
      <c r="J1432" s="8">
        <f t="shared" si="203"/>
        <v>49777.5</v>
      </c>
      <c r="K1432" s="7">
        <f t="shared" si="204"/>
        <v>-51263.208662187353</v>
      </c>
      <c r="L1432" s="4">
        <f>IF(A1432&gt;'Yield Curve'!A2046,L1431,(1+VLOOKUP(A1432,'Yield Curve'!A1425:B2047,2,FALSE))^(1/12)-1)</f>
        <v>7.9741404289037643E-3</v>
      </c>
      <c r="M1432" s="5">
        <f t="shared" si="205"/>
        <v>-0.62787590032309726</v>
      </c>
    </row>
    <row r="1433" spans="1:13" x14ac:dyDescent="0.25">
      <c r="A1433" s="4">
        <v>1425</v>
      </c>
      <c r="B1433" s="4">
        <f t="shared" si="198"/>
        <v>163</v>
      </c>
      <c r="C1433" s="4">
        <f t="shared" si="199"/>
        <v>1440</v>
      </c>
      <c r="D1433" s="4">
        <f>IF(B1433&gt;'Mortality Table'!$A$118,D1432,VLOOKUP(B1433,'Mortality Table'!$A$2:$B$118,2,FALSE))</f>
        <v>0.59733000000000003</v>
      </c>
      <c r="E1433" s="4">
        <f>IF(INT((C1433-1)/12)+1&gt;'Lapse Table'!$A$11,E1432,VLOOKUP(INT((C1433-1)/12)+1,'Lapse Table'!$A$2:$B$11,2,FALSE))/12</f>
        <v>0</v>
      </c>
      <c r="F1433" s="5">
        <f t="shared" si="206"/>
        <v>-44.621037365620495</v>
      </c>
      <c r="G1433" s="6">
        <f t="shared" si="200"/>
        <v>4.9777500000000002E-2</v>
      </c>
      <c r="H1433" s="6">
        <f t="shared" si="201"/>
        <v>0</v>
      </c>
      <c r="I1433" s="7">
        <f t="shared" si="202"/>
        <v>-1487.3679121873499</v>
      </c>
      <c r="J1433" s="8">
        <f t="shared" si="203"/>
        <v>49777.5</v>
      </c>
      <c r="K1433" s="7">
        <f t="shared" si="204"/>
        <v>-51264.86791218735</v>
      </c>
      <c r="L1433" s="4">
        <f>IF(A1433&gt;'Yield Curve'!A2047,L1432,(1+VLOOKUP(A1433,'Yield Curve'!A1426:B2048,2,FALSE))^(1/12)-1)</f>
        <v>7.9741404289037643E-3</v>
      </c>
      <c r="M1433" s="5">
        <f t="shared" si="205"/>
        <v>-0.62292890042128868</v>
      </c>
    </row>
    <row r="1434" spans="1:13" x14ac:dyDescent="0.25">
      <c r="A1434" s="4">
        <v>1426</v>
      </c>
      <c r="B1434" s="4">
        <f t="shared" si="198"/>
        <v>163</v>
      </c>
      <c r="C1434" s="4">
        <f t="shared" si="199"/>
        <v>1441</v>
      </c>
      <c r="D1434" s="4">
        <f>IF(B1434&gt;'Mortality Table'!$A$118,D1433,VLOOKUP(B1434,'Mortality Table'!$A$2:$B$118,2,FALSE))</f>
        <v>0.59733000000000003</v>
      </c>
      <c r="E1434" s="4">
        <f>IF(INT((C1434-1)/12)+1&gt;'Lapse Table'!$A$11,E1433,VLOOKUP(INT((C1434-1)/12)+1,'Lapse Table'!$A$2:$B$11,2,FALSE))/12</f>
        <v>0</v>
      </c>
      <c r="F1434" s="5">
        <f t="shared" si="206"/>
        <v>-44.670814865620493</v>
      </c>
      <c r="G1434" s="6">
        <f t="shared" si="200"/>
        <v>4.9777500000000002E-2</v>
      </c>
      <c r="H1434" s="6">
        <f t="shared" si="201"/>
        <v>0</v>
      </c>
      <c r="I1434" s="7">
        <f t="shared" si="202"/>
        <v>-1489.0271621873499</v>
      </c>
      <c r="J1434" s="8">
        <f t="shared" si="203"/>
        <v>49777.5</v>
      </c>
      <c r="K1434" s="7">
        <f t="shared" si="204"/>
        <v>-51266.527162187347</v>
      </c>
      <c r="L1434" s="4">
        <f>IF(A1434&gt;'Yield Curve'!A2048,L1433,(1+VLOOKUP(A1434,'Yield Curve'!A1427:B2049,2,FALSE))^(1/12)-1)</f>
        <v>7.9741404289037643E-3</v>
      </c>
      <c r="M1434" s="5">
        <f t="shared" si="205"/>
        <v>-0.61802087701390451</v>
      </c>
    </row>
    <row r="1435" spans="1:13" x14ac:dyDescent="0.25">
      <c r="A1435" s="4">
        <v>1427</v>
      </c>
      <c r="B1435" s="4">
        <f t="shared" si="198"/>
        <v>163</v>
      </c>
      <c r="C1435" s="4">
        <f t="shared" si="199"/>
        <v>1442</v>
      </c>
      <c r="D1435" s="4">
        <f>IF(B1435&gt;'Mortality Table'!$A$118,D1434,VLOOKUP(B1435,'Mortality Table'!$A$2:$B$118,2,FALSE))</f>
        <v>0.59733000000000003</v>
      </c>
      <c r="E1435" s="4">
        <f>IF(INT((C1435-1)/12)+1&gt;'Lapse Table'!$A$11,E1434,VLOOKUP(INT((C1435-1)/12)+1,'Lapse Table'!$A$2:$B$11,2,FALSE))/12</f>
        <v>0</v>
      </c>
      <c r="F1435" s="5">
        <f t="shared" si="206"/>
        <v>-44.72059236562049</v>
      </c>
      <c r="G1435" s="6">
        <f t="shared" si="200"/>
        <v>4.9777500000000002E-2</v>
      </c>
      <c r="H1435" s="6">
        <f t="shared" si="201"/>
        <v>0</v>
      </c>
      <c r="I1435" s="7">
        <f t="shared" si="202"/>
        <v>-1490.6864121873496</v>
      </c>
      <c r="J1435" s="8">
        <f t="shared" si="203"/>
        <v>49777.5</v>
      </c>
      <c r="K1435" s="7">
        <f t="shared" si="204"/>
        <v>-51268.186412187351</v>
      </c>
      <c r="L1435" s="4">
        <f>IF(A1435&gt;'Yield Curve'!A2049,L1434,(1+VLOOKUP(A1435,'Yield Curve'!A1428:B2050,2,FALSE))^(1/12)-1)</f>
        <v>7.9741404289037643E-3</v>
      </c>
      <c r="M1435" s="5">
        <f t="shared" si="205"/>
        <v>-0.61315152301751918</v>
      </c>
    </row>
    <row r="1436" spans="1:13" x14ac:dyDescent="0.25">
      <c r="A1436" s="4">
        <v>1428</v>
      </c>
      <c r="B1436" s="4">
        <f t="shared" si="198"/>
        <v>164</v>
      </c>
      <c r="C1436" s="4">
        <f t="shared" si="199"/>
        <v>1443</v>
      </c>
      <c r="D1436" s="4">
        <f>IF(B1436&gt;'Mortality Table'!$A$118,D1435,VLOOKUP(B1436,'Mortality Table'!$A$2:$B$118,2,FALSE))</f>
        <v>0.59733000000000003</v>
      </c>
      <c r="E1436" s="4">
        <f>IF(INT((C1436-1)/12)+1&gt;'Lapse Table'!$A$11,E1435,VLOOKUP(INT((C1436-1)/12)+1,'Lapse Table'!$A$2:$B$11,2,FALSE))/12</f>
        <v>0</v>
      </c>
      <c r="F1436" s="5">
        <f t="shared" si="206"/>
        <v>-44.770369865620488</v>
      </c>
      <c r="G1436" s="6">
        <f t="shared" si="200"/>
        <v>4.9777500000000002E-2</v>
      </c>
      <c r="H1436" s="6">
        <f t="shared" si="201"/>
        <v>0</v>
      </c>
      <c r="I1436" s="7">
        <f t="shared" si="202"/>
        <v>-1492.3456621873495</v>
      </c>
      <c r="J1436" s="8">
        <f t="shared" si="203"/>
        <v>49777.5</v>
      </c>
      <c r="K1436" s="7">
        <f t="shared" si="204"/>
        <v>-51269.845662187348</v>
      </c>
      <c r="L1436" s="4">
        <f>IF(A1436&gt;'Yield Curve'!A2050,L1435,(1+VLOOKUP(A1436,'Yield Curve'!A1429:B2051,2,FALSE))^(1/12)-1)</f>
        <v>7.9741404289037643E-3</v>
      </c>
      <c r="M1436" s="5">
        <f t="shared" si="205"/>
        <v>-0.6083205337680786</v>
      </c>
    </row>
    <row r="1437" spans="1:13" x14ac:dyDescent="0.25">
      <c r="A1437" s="4">
        <v>1429</v>
      </c>
      <c r="B1437" s="4">
        <f t="shared" si="198"/>
        <v>164</v>
      </c>
      <c r="C1437" s="4">
        <f t="shared" si="199"/>
        <v>1444</v>
      </c>
      <c r="D1437" s="4">
        <f>IF(B1437&gt;'Mortality Table'!$A$118,D1436,VLOOKUP(B1437,'Mortality Table'!$A$2:$B$118,2,FALSE))</f>
        <v>0.59733000000000003</v>
      </c>
      <c r="E1437" s="4">
        <f>IF(INT((C1437-1)/12)+1&gt;'Lapse Table'!$A$11,E1436,VLOOKUP(INT((C1437-1)/12)+1,'Lapse Table'!$A$2:$B$11,2,FALSE))/12</f>
        <v>0</v>
      </c>
      <c r="F1437" s="5">
        <f t="shared" si="206"/>
        <v>-44.820147365620485</v>
      </c>
      <c r="G1437" s="6">
        <f t="shared" si="200"/>
        <v>4.9777500000000002E-2</v>
      </c>
      <c r="H1437" s="6">
        <f t="shared" si="201"/>
        <v>0</v>
      </c>
      <c r="I1437" s="7">
        <f t="shared" si="202"/>
        <v>-1494.0049121873496</v>
      </c>
      <c r="J1437" s="8">
        <f t="shared" si="203"/>
        <v>49777.5</v>
      </c>
      <c r="K1437" s="7">
        <f t="shared" si="204"/>
        <v>-51271.504912187353</v>
      </c>
      <c r="L1437" s="4">
        <f>IF(A1437&gt;'Yield Curve'!A2051,L1436,(1+VLOOKUP(A1437,'Yield Curve'!A1430:B2052,2,FALSE))^(1/12)-1)</f>
        <v>7.9741404289037643E-3</v>
      </c>
      <c r="M1437" s="5">
        <f t="shared" si="205"/>
        <v>-0.60352760700184027</v>
      </c>
    </row>
    <row r="1438" spans="1:13" x14ac:dyDescent="0.25">
      <c r="A1438" s="4">
        <v>1430</v>
      </c>
      <c r="B1438" s="4">
        <f t="shared" si="198"/>
        <v>164</v>
      </c>
      <c r="C1438" s="4">
        <f t="shared" si="199"/>
        <v>1445</v>
      </c>
      <c r="D1438" s="4">
        <f>IF(B1438&gt;'Mortality Table'!$A$118,D1437,VLOOKUP(B1438,'Mortality Table'!$A$2:$B$118,2,FALSE))</f>
        <v>0.59733000000000003</v>
      </c>
      <c r="E1438" s="4">
        <f>IF(INT((C1438-1)/12)+1&gt;'Lapse Table'!$A$11,E1437,VLOOKUP(INT((C1438-1)/12)+1,'Lapse Table'!$A$2:$B$11,2,FALSE))/12</f>
        <v>0</v>
      </c>
      <c r="F1438" s="5">
        <f t="shared" si="206"/>
        <v>-44.869924865620483</v>
      </c>
      <c r="G1438" s="6">
        <f t="shared" si="200"/>
        <v>4.9777500000000002E-2</v>
      </c>
      <c r="H1438" s="6">
        <f t="shared" si="201"/>
        <v>0</v>
      </c>
      <c r="I1438" s="7">
        <f t="shared" si="202"/>
        <v>-1495.6641621873496</v>
      </c>
      <c r="J1438" s="8">
        <f t="shared" si="203"/>
        <v>49777.5</v>
      </c>
      <c r="K1438" s="7">
        <f t="shared" si="204"/>
        <v>-51273.16416218735</v>
      </c>
      <c r="L1438" s="4">
        <f>IF(A1438&gt;'Yield Curve'!A2052,L1437,(1+VLOOKUP(A1438,'Yield Curve'!A1431:B2053,2,FALSE))^(1/12)-1)</f>
        <v>7.9741404289037643E-3</v>
      </c>
      <c r="M1438" s="5">
        <f t="shared" si="205"/>
        <v>-0.59877244283646236</v>
      </c>
    </row>
    <row r="1439" spans="1:13" x14ac:dyDescent="0.25">
      <c r="A1439" s="4">
        <v>1431</v>
      </c>
      <c r="B1439" s="4">
        <f t="shared" si="198"/>
        <v>164</v>
      </c>
      <c r="C1439" s="4">
        <f t="shared" si="199"/>
        <v>1446</v>
      </c>
      <c r="D1439" s="4">
        <f>IF(B1439&gt;'Mortality Table'!$A$118,D1438,VLOOKUP(B1439,'Mortality Table'!$A$2:$B$118,2,FALSE))</f>
        <v>0.59733000000000003</v>
      </c>
      <c r="E1439" s="4">
        <f>IF(INT((C1439-1)/12)+1&gt;'Lapse Table'!$A$11,E1438,VLOOKUP(INT((C1439-1)/12)+1,'Lapse Table'!$A$2:$B$11,2,FALSE))/12</f>
        <v>0</v>
      </c>
      <c r="F1439" s="5">
        <f t="shared" si="206"/>
        <v>-44.919702365620481</v>
      </c>
      <c r="G1439" s="6">
        <f t="shared" si="200"/>
        <v>4.9777500000000002E-2</v>
      </c>
      <c r="H1439" s="6">
        <f t="shared" si="201"/>
        <v>0</v>
      </c>
      <c r="I1439" s="7">
        <f t="shared" si="202"/>
        <v>-1497.3234121873493</v>
      </c>
      <c r="J1439" s="8">
        <f t="shared" si="203"/>
        <v>49777.5</v>
      </c>
      <c r="K1439" s="7">
        <f t="shared" si="204"/>
        <v>-51274.823412187347</v>
      </c>
      <c r="L1439" s="4">
        <f>IF(A1439&gt;'Yield Curve'!A2053,L1438,(1+VLOOKUP(A1439,'Yield Curve'!A1432:B2054,2,FALSE))^(1/12)-1)</f>
        <v>7.9741404289037643E-3</v>
      </c>
      <c r="M1439" s="5">
        <f t="shared" si="205"/>
        <v>-0.59405474375224143</v>
      </c>
    </row>
    <row r="1440" spans="1:13" x14ac:dyDescent="0.25">
      <c r="A1440" s="4">
        <v>1432</v>
      </c>
      <c r="B1440" s="4">
        <f t="shared" si="198"/>
        <v>164</v>
      </c>
      <c r="C1440" s="4">
        <f t="shared" si="199"/>
        <v>1447</v>
      </c>
      <c r="D1440" s="4">
        <f>IF(B1440&gt;'Mortality Table'!$A$118,D1439,VLOOKUP(B1440,'Mortality Table'!$A$2:$B$118,2,FALSE))</f>
        <v>0.59733000000000003</v>
      </c>
      <c r="E1440" s="4">
        <f>IF(INT((C1440-1)/12)+1&gt;'Lapse Table'!$A$11,E1439,VLOOKUP(INT((C1440-1)/12)+1,'Lapse Table'!$A$2:$B$11,2,FALSE))/12</f>
        <v>0</v>
      </c>
      <c r="F1440" s="5">
        <f t="shared" si="206"/>
        <v>-44.969479865620478</v>
      </c>
      <c r="G1440" s="6">
        <f t="shared" si="200"/>
        <v>4.9777500000000002E-2</v>
      </c>
      <c r="H1440" s="6">
        <f t="shared" si="201"/>
        <v>0</v>
      </c>
      <c r="I1440" s="7">
        <f t="shared" si="202"/>
        <v>-1498.9826621873492</v>
      </c>
      <c r="J1440" s="8">
        <f t="shared" si="203"/>
        <v>49777.5</v>
      </c>
      <c r="K1440" s="7">
        <f t="shared" si="204"/>
        <v>-51276.482662187351</v>
      </c>
      <c r="L1440" s="4">
        <f>IF(A1440&gt;'Yield Curve'!A2054,L1439,(1+VLOOKUP(A1440,'Yield Curve'!A1433:B2055,2,FALSE))^(1/12)-1)</f>
        <v>7.9741404289037643E-3</v>
      </c>
      <c r="M1440" s="5">
        <f t="shared" si="205"/>
        <v>-0.58937421457349903</v>
      </c>
    </row>
    <row r="1441" spans="1:13" x14ac:dyDescent="0.25">
      <c r="A1441" s="4">
        <v>1433</v>
      </c>
      <c r="B1441" s="4">
        <f t="shared" si="198"/>
        <v>164</v>
      </c>
      <c r="C1441" s="4">
        <f t="shared" si="199"/>
        <v>1448</v>
      </c>
      <c r="D1441" s="4">
        <f>IF(B1441&gt;'Mortality Table'!$A$118,D1440,VLOOKUP(B1441,'Mortality Table'!$A$2:$B$118,2,FALSE))</f>
        <v>0.59733000000000003</v>
      </c>
      <c r="E1441" s="4">
        <f>IF(INT((C1441-1)/12)+1&gt;'Lapse Table'!$A$11,E1440,VLOOKUP(INT((C1441-1)/12)+1,'Lapse Table'!$A$2:$B$11,2,FALSE))/12</f>
        <v>0</v>
      </c>
      <c r="F1441" s="5">
        <f t="shared" si="206"/>
        <v>-45.019257365620476</v>
      </c>
      <c r="G1441" s="6">
        <f t="shared" si="200"/>
        <v>4.9777500000000002E-2</v>
      </c>
      <c r="H1441" s="6">
        <f t="shared" si="201"/>
        <v>0</v>
      </c>
      <c r="I1441" s="7">
        <f t="shared" si="202"/>
        <v>-1500.6419121873494</v>
      </c>
      <c r="J1441" s="8">
        <f t="shared" si="203"/>
        <v>49777.5</v>
      </c>
      <c r="K1441" s="7">
        <f t="shared" si="204"/>
        <v>-51278.141912187348</v>
      </c>
      <c r="L1441" s="4">
        <f>IF(A1441&gt;'Yield Curve'!A2055,L1440,(1+VLOOKUP(A1441,'Yield Curve'!A1434:B2056,2,FALSE))^(1/12)-1)</f>
        <v>7.9741404289037643E-3</v>
      </c>
      <c r="M1441" s="5">
        <f t="shared" si="205"/>
        <v>-0.5847305624501149</v>
      </c>
    </row>
    <row r="1442" spans="1:13" x14ac:dyDescent="0.25">
      <c r="A1442" s="4">
        <v>1434</v>
      </c>
      <c r="B1442" s="4">
        <f t="shared" si="198"/>
        <v>164</v>
      </c>
      <c r="C1442" s="4">
        <f t="shared" si="199"/>
        <v>1449</v>
      </c>
      <c r="D1442" s="4">
        <f>IF(B1442&gt;'Mortality Table'!$A$118,D1441,VLOOKUP(B1442,'Mortality Table'!$A$2:$B$118,2,FALSE))</f>
        <v>0.59733000000000003</v>
      </c>
      <c r="E1442" s="4">
        <f>IF(INT((C1442-1)/12)+1&gt;'Lapse Table'!$A$11,E1441,VLOOKUP(INT((C1442-1)/12)+1,'Lapse Table'!$A$2:$B$11,2,FALSE))/12</f>
        <v>0</v>
      </c>
      <c r="F1442" s="5">
        <f t="shared" si="206"/>
        <v>-45.069034865620473</v>
      </c>
      <c r="G1442" s="6">
        <f t="shared" si="200"/>
        <v>4.9777500000000002E-2</v>
      </c>
      <c r="H1442" s="6">
        <f t="shared" si="201"/>
        <v>0</v>
      </c>
      <c r="I1442" s="7">
        <f t="shared" si="202"/>
        <v>-1502.3011621873491</v>
      </c>
      <c r="J1442" s="8">
        <f t="shared" si="203"/>
        <v>49777.5</v>
      </c>
      <c r="K1442" s="7">
        <f t="shared" si="204"/>
        <v>-51279.801162187352</v>
      </c>
      <c r="L1442" s="4">
        <f>IF(A1442&gt;'Yield Curve'!A2056,L1441,(1+VLOOKUP(A1442,'Yield Curve'!A1435:B2057,2,FALSE))^(1/12)-1)</f>
        <v>7.9741404289037643E-3</v>
      </c>
      <c r="M1442" s="5">
        <f t="shared" si="205"/>
        <v>-0.5801234968392045</v>
      </c>
    </row>
    <row r="1443" spans="1:13" x14ac:dyDescent="0.25">
      <c r="A1443" s="4">
        <v>1435</v>
      </c>
      <c r="B1443" s="4">
        <f t="shared" si="198"/>
        <v>164</v>
      </c>
      <c r="C1443" s="4">
        <f t="shared" si="199"/>
        <v>1450</v>
      </c>
      <c r="D1443" s="4">
        <f>IF(B1443&gt;'Mortality Table'!$A$118,D1442,VLOOKUP(B1443,'Mortality Table'!$A$2:$B$118,2,FALSE))</f>
        <v>0.59733000000000003</v>
      </c>
      <c r="E1443" s="4">
        <f>IF(INT((C1443-1)/12)+1&gt;'Lapse Table'!$A$11,E1442,VLOOKUP(INT((C1443-1)/12)+1,'Lapse Table'!$A$2:$B$11,2,FALSE))/12</f>
        <v>0</v>
      </c>
      <c r="F1443" s="5">
        <f t="shared" si="206"/>
        <v>-45.118812365620471</v>
      </c>
      <c r="G1443" s="6">
        <f t="shared" si="200"/>
        <v>4.9777500000000002E-2</v>
      </c>
      <c r="H1443" s="6">
        <f t="shared" si="201"/>
        <v>0</v>
      </c>
      <c r="I1443" s="7">
        <f t="shared" si="202"/>
        <v>-1503.960412187349</v>
      </c>
      <c r="J1443" s="8">
        <f t="shared" si="203"/>
        <v>49777.5</v>
      </c>
      <c r="K1443" s="7">
        <f t="shared" si="204"/>
        <v>-51281.460412187349</v>
      </c>
      <c r="L1443" s="4">
        <f>IF(A1443&gt;'Yield Curve'!A2057,L1442,(1+VLOOKUP(A1443,'Yield Curve'!A1436:B2058,2,FALSE))^(1/12)-1)</f>
        <v>7.9741404289037643E-3</v>
      </c>
      <c r="M1443" s="5">
        <f t="shared" si="205"/>
        <v>-0.57555272948694214</v>
      </c>
    </row>
    <row r="1444" spans="1:13" x14ac:dyDescent="0.25">
      <c r="A1444" s="4">
        <v>1436</v>
      </c>
      <c r="B1444" s="4">
        <f t="shared" si="198"/>
        <v>164</v>
      </c>
      <c r="C1444" s="4">
        <f t="shared" si="199"/>
        <v>1451</v>
      </c>
      <c r="D1444" s="4">
        <f>IF(B1444&gt;'Mortality Table'!$A$118,D1443,VLOOKUP(B1444,'Mortality Table'!$A$2:$B$118,2,FALSE))</f>
        <v>0.59733000000000003</v>
      </c>
      <c r="E1444" s="4">
        <f>IF(INT((C1444-1)/12)+1&gt;'Lapse Table'!$A$11,E1443,VLOOKUP(INT((C1444-1)/12)+1,'Lapse Table'!$A$2:$B$11,2,FALSE))/12</f>
        <v>0</v>
      </c>
      <c r="F1444" s="5">
        <f t="shared" si="206"/>
        <v>-45.168589865620469</v>
      </c>
      <c r="G1444" s="6">
        <f t="shared" si="200"/>
        <v>4.9777500000000002E-2</v>
      </c>
      <c r="H1444" s="6">
        <f t="shared" si="201"/>
        <v>0</v>
      </c>
      <c r="I1444" s="7">
        <f t="shared" si="202"/>
        <v>-1505.6196621873489</v>
      </c>
      <c r="J1444" s="8">
        <f t="shared" si="203"/>
        <v>49777.5</v>
      </c>
      <c r="K1444" s="7">
        <f t="shared" si="204"/>
        <v>-51283.119662187346</v>
      </c>
      <c r="L1444" s="4">
        <f>IF(A1444&gt;'Yield Curve'!A2058,L1443,(1+VLOOKUP(A1444,'Yield Curve'!A1437:B2059,2,FALSE))^(1/12)-1)</f>
        <v>7.9741404289037643E-3</v>
      </c>
      <c r="M1444" s="5">
        <f t="shared" si="205"/>
        <v>-0.57101797441052626</v>
      </c>
    </row>
    <row r="1445" spans="1:13" x14ac:dyDescent="0.25">
      <c r="A1445" s="4">
        <v>1437</v>
      </c>
      <c r="B1445" s="4">
        <f t="shared" si="198"/>
        <v>164</v>
      </c>
      <c r="C1445" s="4">
        <f t="shared" si="199"/>
        <v>1452</v>
      </c>
      <c r="D1445" s="4">
        <f>IF(B1445&gt;'Mortality Table'!$A$118,D1444,VLOOKUP(B1445,'Mortality Table'!$A$2:$B$118,2,FALSE))</f>
        <v>0.59733000000000003</v>
      </c>
      <c r="E1445" s="4">
        <f>IF(INT((C1445-1)/12)+1&gt;'Lapse Table'!$A$11,E1444,VLOOKUP(INT((C1445-1)/12)+1,'Lapse Table'!$A$2:$B$11,2,FALSE))/12</f>
        <v>0</v>
      </c>
      <c r="F1445" s="5">
        <f t="shared" si="206"/>
        <v>-45.218367365620466</v>
      </c>
      <c r="G1445" s="6">
        <f t="shared" si="200"/>
        <v>4.9777500000000002E-2</v>
      </c>
      <c r="H1445" s="6">
        <f t="shared" si="201"/>
        <v>0</v>
      </c>
      <c r="I1445" s="7">
        <f t="shared" si="202"/>
        <v>-1507.2789121873491</v>
      </c>
      <c r="J1445" s="8">
        <f t="shared" si="203"/>
        <v>49777.5</v>
      </c>
      <c r="K1445" s="7">
        <f t="shared" si="204"/>
        <v>-51284.77891218735</v>
      </c>
      <c r="L1445" s="4">
        <f>IF(A1445&gt;'Yield Curve'!A2059,L1444,(1+VLOOKUP(A1445,'Yield Curve'!A1438:B2060,2,FALSE))^(1/12)-1)</f>
        <v>7.9741404289037643E-3</v>
      </c>
      <c r="M1445" s="5">
        <f t="shared" si="205"/>
        <v>-0.566518947880288</v>
      </c>
    </row>
    <row r="1446" spans="1:13" x14ac:dyDescent="0.25">
      <c r="A1446" s="4">
        <v>1438</v>
      </c>
      <c r="B1446" s="4">
        <f t="shared" si="198"/>
        <v>164</v>
      </c>
      <c r="C1446" s="4">
        <f t="shared" si="199"/>
        <v>1453</v>
      </c>
      <c r="D1446" s="4">
        <f>IF(B1446&gt;'Mortality Table'!$A$118,D1445,VLOOKUP(B1446,'Mortality Table'!$A$2:$B$118,2,FALSE))</f>
        <v>0.59733000000000003</v>
      </c>
      <c r="E1446" s="4">
        <f>IF(INT((C1446-1)/12)+1&gt;'Lapse Table'!$A$11,E1445,VLOOKUP(INT((C1446-1)/12)+1,'Lapse Table'!$A$2:$B$11,2,FALSE))/12</f>
        <v>0</v>
      </c>
      <c r="F1446" s="5">
        <f t="shared" si="206"/>
        <v>-45.268144865620464</v>
      </c>
      <c r="G1446" s="6">
        <f t="shared" si="200"/>
        <v>4.9777500000000002E-2</v>
      </c>
      <c r="H1446" s="6">
        <f t="shared" si="201"/>
        <v>0</v>
      </c>
      <c r="I1446" s="7">
        <f t="shared" si="202"/>
        <v>-1508.9381621873488</v>
      </c>
      <c r="J1446" s="8">
        <f t="shared" si="203"/>
        <v>49777.5</v>
      </c>
      <c r="K1446" s="7">
        <f t="shared" si="204"/>
        <v>-51286.438162187347</v>
      </c>
      <c r="L1446" s="4">
        <f>IF(A1446&gt;'Yield Curve'!A2060,L1445,(1+VLOOKUP(A1446,'Yield Curve'!A1439:B2061,2,FALSE))^(1/12)-1)</f>
        <v>7.9741404289037643E-3</v>
      </c>
      <c r="M1446" s="5">
        <f t="shared" si="205"/>
        <v>-0.56205536840193993</v>
      </c>
    </row>
    <row r="1447" spans="1:13" x14ac:dyDescent="0.25">
      <c r="A1447" s="4">
        <v>1439</v>
      </c>
      <c r="B1447" s="4">
        <f t="shared" si="198"/>
        <v>164</v>
      </c>
      <c r="C1447" s="4">
        <f t="shared" si="199"/>
        <v>1454</v>
      </c>
      <c r="D1447" s="4">
        <f>IF(B1447&gt;'Mortality Table'!$A$118,D1446,VLOOKUP(B1447,'Mortality Table'!$A$2:$B$118,2,FALSE))</f>
        <v>0.59733000000000003</v>
      </c>
      <c r="E1447" s="4">
        <f>IF(INT((C1447-1)/12)+1&gt;'Lapse Table'!$A$11,E1446,VLOOKUP(INT((C1447-1)/12)+1,'Lapse Table'!$A$2:$B$11,2,FALSE))/12</f>
        <v>0</v>
      </c>
      <c r="F1447" s="5">
        <f t="shared" si="206"/>
        <v>-45.317922365620461</v>
      </c>
      <c r="G1447" s="6">
        <f t="shared" si="200"/>
        <v>4.9777500000000002E-2</v>
      </c>
      <c r="H1447" s="6">
        <f t="shared" si="201"/>
        <v>0</v>
      </c>
      <c r="I1447" s="7">
        <f t="shared" si="202"/>
        <v>-1510.5974121873487</v>
      </c>
      <c r="J1447" s="8">
        <f t="shared" si="203"/>
        <v>49777.5</v>
      </c>
      <c r="K1447" s="7">
        <f t="shared" si="204"/>
        <v>-51288.097412187351</v>
      </c>
      <c r="L1447" s="4">
        <f>IF(A1447&gt;'Yield Curve'!A2061,L1446,(1+VLOOKUP(A1447,'Yield Curve'!A1440:B2062,2,FALSE))^(1/12)-1)</f>
        <v>7.9741404289037643E-3</v>
      </c>
      <c r="M1447" s="5">
        <f t="shared" si="205"/>
        <v>-0.55762695669896434</v>
      </c>
    </row>
    <row r="1448" spans="1:13" x14ac:dyDescent="0.25">
      <c r="A1448" s="4">
        <v>1440</v>
      </c>
      <c r="B1448" s="4">
        <f t="shared" si="198"/>
        <v>165</v>
      </c>
      <c r="C1448" s="4">
        <f t="shared" si="199"/>
        <v>1455</v>
      </c>
      <c r="D1448" s="4">
        <f>IF(B1448&gt;'Mortality Table'!$A$118,D1447,VLOOKUP(B1448,'Mortality Table'!$A$2:$B$118,2,FALSE))</f>
        <v>0.59733000000000003</v>
      </c>
      <c r="E1448" s="4">
        <f>IF(INT((C1448-1)/12)+1&gt;'Lapse Table'!$A$11,E1447,VLOOKUP(INT((C1448-1)/12)+1,'Lapse Table'!$A$2:$B$11,2,FALSE))/12</f>
        <v>0</v>
      </c>
      <c r="F1448" s="5">
        <f t="shared" si="206"/>
        <v>-45.367699865620459</v>
      </c>
      <c r="G1448" s="6">
        <f t="shared" si="200"/>
        <v>4.9777500000000002E-2</v>
      </c>
      <c r="H1448" s="6">
        <f t="shared" si="201"/>
        <v>0</v>
      </c>
      <c r="I1448" s="7">
        <f t="shared" si="202"/>
        <v>-1512.2566621873486</v>
      </c>
      <c r="J1448" s="8">
        <f t="shared" si="203"/>
        <v>49777.5</v>
      </c>
      <c r="K1448" s="7">
        <f t="shared" si="204"/>
        <v>-51289.756662187348</v>
      </c>
      <c r="L1448" s="4">
        <f>IF(A1448&gt;'Yield Curve'!A2062,L1447,(1+VLOOKUP(A1448,'Yield Curve'!A1441:B2063,2,FALSE))^(1/12)-1)</f>
        <v>7.9741404289037643E-3</v>
      </c>
      <c r="M1448" s="5">
        <f t="shared" si="205"/>
        <v>-0.55323343569514072</v>
      </c>
    </row>
    <row r="1449" spans="1:13" x14ac:dyDescent="0.25">
      <c r="A1449" s="4">
        <v>1441</v>
      </c>
      <c r="B1449" s="4">
        <f t="shared" si="198"/>
        <v>165</v>
      </c>
      <c r="C1449" s="4">
        <f t="shared" si="199"/>
        <v>1456</v>
      </c>
      <c r="D1449" s="4">
        <f>IF(B1449&gt;'Mortality Table'!$A$118,D1448,VLOOKUP(B1449,'Mortality Table'!$A$2:$B$118,2,FALSE))</f>
        <v>0.59733000000000003</v>
      </c>
      <c r="E1449" s="4">
        <f>IF(INT((C1449-1)/12)+1&gt;'Lapse Table'!$A$11,E1448,VLOOKUP(INT((C1449-1)/12)+1,'Lapse Table'!$A$2:$B$11,2,FALSE))/12</f>
        <v>0</v>
      </c>
      <c r="F1449" s="5">
        <f t="shared" si="206"/>
        <v>-45.417477365620456</v>
      </c>
      <c r="G1449" s="6">
        <f t="shared" si="200"/>
        <v>4.9777500000000002E-2</v>
      </c>
      <c r="H1449" s="6">
        <f t="shared" si="201"/>
        <v>0</v>
      </c>
      <c r="I1449" s="7">
        <f t="shared" si="202"/>
        <v>-1513.9159121873483</v>
      </c>
      <c r="J1449" s="8">
        <f t="shared" si="203"/>
        <v>49777.5</v>
      </c>
      <c r="K1449" s="7">
        <f t="shared" si="204"/>
        <v>-51291.415912187345</v>
      </c>
      <c r="L1449" s="4">
        <f>IF(A1449&gt;'Yield Curve'!A2063,L1448,(1+VLOOKUP(A1449,'Yield Curve'!A1442:B2064,2,FALSE))^(1/12)-1)</f>
        <v>7.9741404289037643E-3</v>
      </c>
      <c r="M1449" s="5">
        <f t="shared" si="205"/>
        <v>-0.54887453049721147</v>
      </c>
    </row>
    <row r="1450" spans="1:13" x14ac:dyDescent="0.25">
      <c r="A1450" s="4">
        <v>1442</v>
      </c>
      <c r="B1450" s="4">
        <f t="shared" si="198"/>
        <v>165</v>
      </c>
      <c r="C1450" s="4">
        <f t="shared" si="199"/>
        <v>1457</v>
      </c>
      <c r="D1450" s="4">
        <f>IF(B1450&gt;'Mortality Table'!$A$118,D1449,VLOOKUP(B1450,'Mortality Table'!$A$2:$B$118,2,FALSE))</f>
        <v>0.59733000000000003</v>
      </c>
      <c r="E1450" s="4">
        <f>IF(INT((C1450-1)/12)+1&gt;'Lapse Table'!$A$11,E1449,VLOOKUP(INT((C1450-1)/12)+1,'Lapse Table'!$A$2:$B$11,2,FALSE))/12</f>
        <v>0</v>
      </c>
      <c r="F1450" s="5">
        <f t="shared" si="206"/>
        <v>-45.467254865620454</v>
      </c>
      <c r="G1450" s="6">
        <f t="shared" si="200"/>
        <v>4.9777500000000002E-2</v>
      </c>
      <c r="H1450" s="6">
        <f t="shared" si="201"/>
        <v>0</v>
      </c>
      <c r="I1450" s="7">
        <f t="shared" si="202"/>
        <v>-1515.5751621873485</v>
      </c>
      <c r="J1450" s="8">
        <f t="shared" si="203"/>
        <v>49777.5</v>
      </c>
      <c r="K1450" s="7">
        <f t="shared" si="204"/>
        <v>-51293.07516218735</v>
      </c>
      <c r="L1450" s="4">
        <f>IF(A1450&gt;'Yield Curve'!A2064,L1449,(1+VLOOKUP(A1450,'Yield Curve'!A1443:B2065,2,FALSE))^(1/12)-1)</f>
        <v>7.9741404289037643E-3</v>
      </c>
      <c r="M1450" s="5">
        <f t="shared" si="205"/>
        <v>-0.54454996837768332</v>
      </c>
    </row>
    <row r="1451" spans="1:13" x14ac:dyDescent="0.25">
      <c r="A1451" s="4">
        <v>1443</v>
      </c>
      <c r="B1451" s="4">
        <f t="shared" si="198"/>
        <v>165</v>
      </c>
      <c r="C1451" s="4">
        <f t="shared" si="199"/>
        <v>1458</v>
      </c>
      <c r="D1451" s="4">
        <f>IF(B1451&gt;'Mortality Table'!$A$118,D1450,VLOOKUP(B1451,'Mortality Table'!$A$2:$B$118,2,FALSE))</f>
        <v>0.59733000000000003</v>
      </c>
      <c r="E1451" s="4">
        <f>IF(INT((C1451-1)/12)+1&gt;'Lapse Table'!$A$11,E1450,VLOOKUP(INT((C1451-1)/12)+1,'Lapse Table'!$A$2:$B$11,2,FALSE))/12</f>
        <v>0</v>
      </c>
      <c r="F1451" s="5">
        <f t="shared" si="206"/>
        <v>-45.517032365620452</v>
      </c>
      <c r="G1451" s="6">
        <f t="shared" si="200"/>
        <v>4.9777500000000002E-2</v>
      </c>
      <c r="H1451" s="6">
        <f t="shared" si="201"/>
        <v>0</v>
      </c>
      <c r="I1451" s="7">
        <f t="shared" si="202"/>
        <v>-1517.2344121873484</v>
      </c>
      <c r="J1451" s="8">
        <f t="shared" si="203"/>
        <v>49777.5</v>
      </c>
      <c r="K1451" s="7">
        <f t="shared" si="204"/>
        <v>-51294.734412187347</v>
      </c>
      <c r="L1451" s="4">
        <f>IF(A1451&gt;'Yield Curve'!A2065,L1450,(1+VLOOKUP(A1451,'Yield Curve'!A1444:B2066,2,FALSE))^(1/12)-1)</f>
        <v>7.9741404289037643E-3</v>
      </c>
      <c r="M1451" s="5">
        <f t="shared" si="205"/>
        <v>-0.54025947875776448</v>
      </c>
    </row>
    <row r="1452" spans="1:13" x14ac:dyDescent="0.25">
      <c r="A1452" s="4">
        <v>1444</v>
      </c>
      <c r="B1452" s="4">
        <f t="shared" si="198"/>
        <v>165</v>
      </c>
      <c r="C1452" s="4">
        <f t="shared" si="199"/>
        <v>1459</v>
      </c>
      <c r="D1452" s="4">
        <f>IF(B1452&gt;'Mortality Table'!$A$118,D1451,VLOOKUP(B1452,'Mortality Table'!$A$2:$B$118,2,FALSE))</f>
        <v>0.59733000000000003</v>
      </c>
      <c r="E1452" s="4">
        <f>IF(INT((C1452-1)/12)+1&gt;'Lapse Table'!$A$11,E1451,VLOOKUP(INT((C1452-1)/12)+1,'Lapse Table'!$A$2:$B$11,2,FALSE))/12</f>
        <v>0</v>
      </c>
      <c r="F1452" s="5">
        <f t="shared" si="206"/>
        <v>-45.566809865620449</v>
      </c>
      <c r="G1452" s="6">
        <f t="shared" si="200"/>
        <v>4.9777500000000002E-2</v>
      </c>
      <c r="H1452" s="6">
        <f t="shared" si="201"/>
        <v>0</v>
      </c>
      <c r="I1452" s="7">
        <f t="shared" si="202"/>
        <v>-1518.8936621873484</v>
      </c>
      <c r="J1452" s="8">
        <f t="shared" si="203"/>
        <v>49777.5</v>
      </c>
      <c r="K1452" s="7">
        <f t="shared" si="204"/>
        <v>-51296.393662187351</v>
      </c>
      <c r="L1452" s="4">
        <f>IF(A1452&gt;'Yield Curve'!A2066,L1451,(1+VLOOKUP(A1452,'Yield Curve'!A1445:B2067,2,FALSE))^(1/12)-1)</f>
        <v>7.9741404289037643E-3</v>
      </c>
      <c r="M1452" s="5">
        <f t="shared" si="205"/>
        <v>-0.53600279319043509</v>
      </c>
    </row>
    <row r="1453" spans="1:13" x14ac:dyDescent="0.25">
      <c r="A1453" s="4">
        <v>1445</v>
      </c>
      <c r="B1453" s="4">
        <f t="shared" si="198"/>
        <v>165</v>
      </c>
      <c r="C1453" s="4">
        <f t="shared" si="199"/>
        <v>1460</v>
      </c>
      <c r="D1453" s="4">
        <f>IF(B1453&gt;'Mortality Table'!$A$118,D1452,VLOOKUP(B1453,'Mortality Table'!$A$2:$B$118,2,FALSE))</f>
        <v>0.59733000000000003</v>
      </c>
      <c r="E1453" s="4">
        <f>IF(INT((C1453-1)/12)+1&gt;'Lapse Table'!$A$11,E1452,VLOOKUP(INT((C1453-1)/12)+1,'Lapse Table'!$A$2:$B$11,2,FALSE))/12</f>
        <v>0</v>
      </c>
      <c r="F1453" s="5">
        <f t="shared" si="206"/>
        <v>-45.616587365620447</v>
      </c>
      <c r="G1453" s="6">
        <f t="shared" si="200"/>
        <v>4.9777500000000002E-2</v>
      </c>
      <c r="H1453" s="6">
        <f t="shared" si="201"/>
        <v>0</v>
      </c>
      <c r="I1453" s="7">
        <f t="shared" si="202"/>
        <v>-1520.5529121873481</v>
      </c>
      <c r="J1453" s="8">
        <f t="shared" si="203"/>
        <v>49777.5</v>
      </c>
      <c r="K1453" s="7">
        <f t="shared" si="204"/>
        <v>-51298.052912187348</v>
      </c>
      <c r="L1453" s="4">
        <f>IF(A1453&gt;'Yield Curve'!A2067,L1452,(1+VLOOKUP(A1453,'Yield Curve'!A1446:B2068,2,FALSE))^(1/12)-1)</f>
        <v>7.9741404289037643E-3</v>
      </c>
      <c r="M1453" s="5">
        <f t="shared" si="205"/>
        <v>-0.53177964534365485</v>
      </c>
    </row>
    <row r="1454" spans="1:13" x14ac:dyDescent="0.25">
      <c r="A1454" s="4">
        <v>1446</v>
      </c>
      <c r="B1454" s="4">
        <f t="shared" si="198"/>
        <v>165</v>
      </c>
      <c r="C1454" s="4">
        <f t="shared" si="199"/>
        <v>1461</v>
      </c>
      <c r="D1454" s="4">
        <f>IF(B1454&gt;'Mortality Table'!$A$118,D1453,VLOOKUP(B1454,'Mortality Table'!$A$2:$B$118,2,FALSE))</f>
        <v>0.59733000000000003</v>
      </c>
      <c r="E1454" s="4">
        <f>IF(INT((C1454-1)/12)+1&gt;'Lapse Table'!$A$11,E1453,VLOOKUP(INT((C1454-1)/12)+1,'Lapse Table'!$A$2:$B$11,2,FALSE))/12</f>
        <v>0</v>
      </c>
      <c r="F1454" s="5">
        <f t="shared" si="206"/>
        <v>-45.666364865620444</v>
      </c>
      <c r="G1454" s="6">
        <f t="shared" si="200"/>
        <v>4.9777500000000002E-2</v>
      </c>
      <c r="H1454" s="6">
        <f t="shared" si="201"/>
        <v>0</v>
      </c>
      <c r="I1454" s="7">
        <f t="shared" si="202"/>
        <v>-1522.2121621873482</v>
      </c>
      <c r="J1454" s="8">
        <f t="shared" si="203"/>
        <v>49777.5</v>
      </c>
      <c r="K1454" s="7">
        <f t="shared" si="204"/>
        <v>-51299.712162187345</v>
      </c>
      <c r="L1454" s="4">
        <f>IF(A1454&gt;'Yield Curve'!A2068,L1453,(1+VLOOKUP(A1454,'Yield Curve'!A1447:B2069,2,FALSE))^(1/12)-1)</f>
        <v>7.9741404289037643E-3</v>
      </c>
      <c r="M1454" s="5">
        <f t="shared" si="205"/>
        <v>-0.52758977098369786</v>
      </c>
    </row>
    <row r="1455" spans="1:13" x14ac:dyDescent="0.25">
      <c r="A1455" s="4">
        <v>1447</v>
      </c>
      <c r="B1455" s="4">
        <f t="shared" si="198"/>
        <v>165</v>
      </c>
      <c r="C1455" s="4">
        <f t="shared" si="199"/>
        <v>1462</v>
      </c>
      <c r="D1455" s="4">
        <f>IF(B1455&gt;'Mortality Table'!$A$118,D1454,VLOOKUP(B1455,'Mortality Table'!$A$2:$B$118,2,FALSE))</f>
        <v>0.59733000000000003</v>
      </c>
      <c r="E1455" s="4">
        <f>IF(INT((C1455-1)/12)+1&gt;'Lapse Table'!$A$11,E1454,VLOOKUP(INT((C1455-1)/12)+1,'Lapse Table'!$A$2:$B$11,2,FALSE))/12</f>
        <v>0</v>
      </c>
      <c r="F1455" s="5">
        <f t="shared" si="206"/>
        <v>-45.716142365620442</v>
      </c>
      <c r="G1455" s="6">
        <f t="shared" si="200"/>
        <v>4.9777500000000002E-2</v>
      </c>
      <c r="H1455" s="6">
        <f t="shared" si="201"/>
        <v>0</v>
      </c>
      <c r="I1455" s="7">
        <f t="shared" si="202"/>
        <v>-1523.8714121873481</v>
      </c>
      <c r="J1455" s="8">
        <f t="shared" si="203"/>
        <v>49777.5</v>
      </c>
      <c r="K1455" s="7">
        <f t="shared" si="204"/>
        <v>-51301.371412187349</v>
      </c>
      <c r="L1455" s="4">
        <f>IF(A1455&gt;'Yield Curve'!A2069,L1454,(1+VLOOKUP(A1455,'Yield Curve'!A1448:B2070,2,FALSE))^(1/12)-1)</f>
        <v>7.9741404289037643E-3</v>
      </c>
      <c r="M1455" s="5">
        <f t="shared" si="205"/>
        <v>-0.52343290795862218</v>
      </c>
    </row>
    <row r="1456" spans="1:13" x14ac:dyDescent="0.25">
      <c r="A1456" s="4">
        <v>1448</v>
      </c>
      <c r="B1456" s="4">
        <f t="shared" si="198"/>
        <v>165</v>
      </c>
      <c r="C1456" s="4">
        <f t="shared" si="199"/>
        <v>1463</v>
      </c>
      <c r="D1456" s="4">
        <f>IF(B1456&gt;'Mortality Table'!$A$118,D1455,VLOOKUP(B1456,'Mortality Table'!$A$2:$B$118,2,FALSE))</f>
        <v>0.59733000000000003</v>
      </c>
      <c r="E1456" s="4">
        <f>IF(INT((C1456-1)/12)+1&gt;'Lapse Table'!$A$11,E1455,VLOOKUP(INT((C1456-1)/12)+1,'Lapse Table'!$A$2:$B$11,2,FALSE))/12</f>
        <v>0</v>
      </c>
      <c r="F1456" s="5">
        <f t="shared" si="206"/>
        <v>-45.76591986562044</v>
      </c>
      <c r="G1456" s="6">
        <f t="shared" si="200"/>
        <v>4.9777500000000002E-2</v>
      </c>
      <c r="H1456" s="6">
        <f t="shared" si="201"/>
        <v>0</v>
      </c>
      <c r="I1456" s="7">
        <f t="shared" si="202"/>
        <v>-1525.5306621873478</v>
      </c>
      <c r="J1456" s="8">
        <f t="shared" si="203"/>
        <v>49777.5</v>
      </c>
      <c r="K1456" s="7">
        <f t="shared" si="204"/>
        <v>-51303.030662187346</v>
      </c>
      <c r="L1456" s="4">
        <f>IF(A1456&gt;'Yield Curve'!A2070,L1455,(1+VLOOKUP(A1456,'Yield Curve'!A1449:B2071,2,FALSE))^(1/12)-1)</f>
        <v>7.9741404289037643E-3</v>
      </c>
      <c r="M1456" s="5">
        <f t="shared" si="205"/>
        <v>-0.51930879618186809</v>
      </c>
    </row>
    <row r="1457" spans="1:13" x14ac:dyDescent="0.25">
      <c r="A1457" s="4">
        <v>1449</v>
      </c>
      <c r="B1457" s="4">
        <f t="shared" si="198"/>
        <v>165</v>
      </c>
      <c r="C1457" s="4">
        <f t="shared" si="199"/>
        <v>1464</v>
      </c>
      <c r="D1457" s="4">
        <f>IF(B1457&gt;'Mortality Table'!$A$118,D1456,VLOOKUP(B1457,'Mortality Table'!$A$2:$B$118,2,FALSE))</f>
        <v>0.59733000000000003</v>
      </c>
      <c r="E1457" s="4">
        <f>IF(INT((C1457-1)/12)+1&gt;'Lapse Table'!$A$11,E1456,VLOOKUP(INT((C1457-1)/12)+1,'Lapse Table'!$A$2:$B$11,2,FALSE))/12</f>
        <v>0</v>
      </c>
      <c r="F1457" s="5">
        <f t="shared" si="206"/>
        <v>-45.815697365620437</v>
      </c>
      <c r="G1457" s="6">
        <f t="shared" si="200"/>
        <v>4.9777500000000002E-2</v>
      </c>
      <c r="H1457" s="6">
        <f t="shared" si="201"/>
        <v>0</v>
      </c>
      <c r="I1457" s="7">
        <f t="shared" si="202"/>
        <v>-1527.1899121873478</v>
      </c>
      <c r="J1457" s="8">
        <f t="shared" si="203"/>
        <v>49777.5</v>
      </c>
      <c r="K1457" s="7">
        <f t="shared" si="204"/>
        <v>-51304.68991218735</v>
      </c>
      <c r="L1457" s="4">
        <f>IF(A1457&gt;'Yield Curve'!A2071,L1456,(1+VLOOKUP(A1457,'Yield Curve'!A1450:B2072,2,FALSE))^(1/12)-1)</f>
        <v>7.9741404289037643E-3</v>
      </c>
      <c r="M1457" s="5">
        <f t="shared" si="205"/>
        <v>-0.51521717761598773</v>
      </c>
    </row>
    <row r="1458" spans="1:13" x14ac:dyDescent="0.25">
      <c r="A1458" s="4">
        <v>1450</v>
      </c>
      <c r="B1458" s="4">
        <f t="shared" si="198"/>
        <v>165</v>
      </c>
      <c r="C1458" s="4">
        <f t="shared" si="199"/>
        <v>1465</v>
      </c>
      <c r="D1458" s="4">
        <f>IF(B1458&gt;'Mortality Table'!$A$118,D1457,VLOOKUP(B1458,'Mortality Table'!$A$2:$B$118,2,FALSE))</f>
        <v>0.59733000000000003</v>
      </c>
      <c r="E1458" s="4">
        <f>IF(INT((C1458-1)/12)+1&gt;'Lapse Table'!$A$11,E1457,VLOOKUP(INT((C1458-1)/12)+1,'Lapse Table'!$A$2:$B$11,2,FALSE))/12</f>
        <v>0</v>
      </c>
      <c r="F1458" s="5">
        <f t="shared" si="206"/>
        <v>-45.865474865620435</v>
      </c>
      <c r="G1458" s="6">
        <f t="shared" si="200"/>
        <v>4.9777500000000002E-2</v>
      </c>
      <c r="H1458" s="6">
        <f t="shared" si="201"/>
        <v>0</v>
      </c>
      <c r="I1458" s="7">
        <f t="shared" si="202"/>
        <v>-1528.8491621873479</v>
      </c>
      <c r="J1458" s="8">
        <f t="shared" si="203"/>
        <v>49777.5</v>
      </c>
      <c r="K1458" s="7">
        <f t="shared" si="204"/>
        <v>-51306.349162187347</v>
      </c>
      <c r="L1458" s="4">
        <f>IF(A1458&gt;'Yield Curve'!A2072,L1457,(1+VLOOKUP(A1458,'Yield Curve'!A1451:B2073,2,FALSE))^(1/12)-1)</f>
        <v>7.9741404289037643E-3</v>
      </c>
      <c r="M1458" s="5">
        <f t="shared" si="205"/>
        <v>-0.5111577962564986</v>
      </c>
    </row>
    <row r="1459" spans="1:13" x14ac:dyDescent="0.25">
      <c r="A1459" s="4">
        <v>1451</v>
      </c>
      <c r="B1459" s="4">
        <f t="shared" si="198"/>
        <v>165</v>
      </c>
      <c r="C1459" s="4">
        <f t="shared" si="199"/>
        <v>1466</v>
      </c>
      <c r="D1459" s="4">
        <f>IF(B1459&gt;'Mortality Table'!$A$118,D1458,VLOOKUP(B1459,'Mortality Table'!$A$2:$B$118,2,FALSE))</f>
        <v>0.59733000000000003</v>
      </c>
      <c r="E1459" s="4">
        <f>IF(INT((C1459-1)/12)+1&gt;'Lapse Table'!$A$11,E1458,VLOOKUP(INT((C1459-1)/12)+1,'Lapse Table'!$A$2:$B$11,2,FALSE))/12</f>
        <v>0</v>
      </c>
      <c r="F1459" s="5">
        <f t="shared" si="206"/>
        <v>-45.915252365620432</v>
      </c>
      <c r="G1459" s="6">
        <f t="shared" si="200"/>
        <v>4.9777500000000002E-2</v>
      </c>
      <c r="H1459" s="6">
        <f t="shared" si="201"/>
        <v>0</v>
      </c>
      <c r="I1459" s="7">
        <f t="shared" si="202"/>
        <v>-1530.5084121873479</v>
      </c>
      <c r="J1459" s="8">
        <f t="shared" si="203"/>
        <v>49777.5</v>
      </c>
      <c r="K1459" s="7">
        <f t="shared" si="204"/>
        <v>-51308.008412187351</v>
      </c>
      <c r="L1459" s="4">
        <f>IF(A1459&gt;'Yield Curve'!A2073,L1458,(1+VLOOKUP(A1459,'Yield Curve'!A1452:B2074,2,FALSE))^(1/12)-1)</f>
        <v>7.9741404289037643E-3</v>
      </c>
      <c r="M1459" s="5">
        <f t="shared" si="205"/>
        <v>-0.50713039811586968</v>
      </c>
    </row>
    <row r="1460" spans="1:13" x14ac:dyDescent="0.25">
      <c r="A1460" s="4">
        <v>1452</v>
      </c>
      <c r="B1460" s="4">
        <f t="shared" si="198"/>
        <v>166</v>
      </c>
      <c r="C1460" s="4">
        <f t="shared" si="199"/>
        <v>1467</v>
      </c>
      <c r="D1460" s="4">
        <f>IF(B1460&gt;'Mortality Table'!$A$118,D1459,VLOOKUP(B1460,'Mortality Table'!$A$2:$B$118,2,FALSE))</f>
        <v>0.59733000000000003</v>
      </c>
      <c r="E1460" s="4">
        <f>IF(INT((C1460-1)/12)+1&gt;'Lapse Table'!$A$11,E1459,VLOOKUP(INT((C1460-1)/12)+1,'Lapse Table'!$A$2:$B$11,2,FALSE))/12</f>
        <v>0</v>
      </c>
      <c r="F1460" s="5">
        <f t="shared" si="206"/>
        <v>-45.96502986562043</v>
      </c>
      <c r="G1460" s="6">
        <f t="shared" si="200"/>
        <v>4.9777500000000002E-2</v>
      </c>
      <c r="H1460" s="6">
        <f t="shared" si="201"/>
        <v>0</v>
      </c>
      <c r="I1460" s="7">
        <f t="shared" si="202"/>
        <v>-1532.1676621873476</v>
      </c>
      <c r="J1460" s="8">
        <f t="shared" si="203"/>
        <v>49777.5</v>
      </c>
      <c r="K1460" s="7">
        <f t="shared" si="204"/>
        <v>-51309.667662187348</v>
      </c>
      <c r="L1460" s="4">
        <f>IF(A1460&gt;'Yield Curve'!A2074,L1459,(1+VLOOKUP(A1460,'Yield Curve'!A1453:B2075,2,FALSE))^(1/12)-1)</f>
        <v>7.9741404289037643E-3</v>
      </c>
      <c r="M1460" s="5">
        <f t="shared" si="205"/>
        <v>-0.50313473120762875</v>
      </c>
    </row>
    <row r="1461" spans="1:13" x14ac:dyDescent="0.25">
      <c r="A1461" s="4">
        <v>1453</v>
      </c>
      <c r="B1461" s="4">
        <f t="shared" si="198"/>
        <v>166</v>
      </c>
      <c r="C1461" s="4">
        <f t="shared" si="199"/>
        <v>1468</v>
      </c>
      <c r="D1461" s="4">
        <f>IF(B1461&gt;'Mortality Table'!$A$118,D1460,VLOOKUP(B1461,'Mortality Table'!$A$2:$B$118,2,FALSE))</f>
        <v>0.59733000000000003</v>
      </c>
      <c r="E1461" s="4">
        <f>IF(INT((C1461-1)/12)+1&gt;'Lapse Table'!$A$11,E1460,VLOOKUP(INT((C1461-1)/12)+1,'Lapse Table'!$A$2:$B$11,2,FALSE))/12</f>
        <v>0</v>
      </c>
      <c r="F1461" s="5">
        <f t="shared" si="206"/>
        <v>-46.014807365620428</v>
      </c>
      <c r="G1461" s="6">
        <f t="shared" si="200"/>
        <v>4.9777500000000002E-2</v>
      </c>
      <c r="H1461" s="6">
        <f t="shared" si="201"/>
        <v>0</v>
      </c>
      <c r="I1461" s="7">
        <f t="shared" si="202"/>
        <v>-1533.8269121873475</v>
      </c>
      <c r="J1461" s="8">
        <f t="shared" si="203"/>
        <v>49777.5</v>
      </c>
      <c r="K1461" s="7">
        <f t="shared" si="204"/>
        <v>-51311.326912187345</v>
      </c>
      <c r="L1461" s="4">
        <f>IF(A1461&gt;'Yield Curve'!A2075,L1460,(1+VLOOKUP(A1461,'Yield Curve'!A1454:B2076,2,FALSE))^(1/12)-1)</f>
        <v>7.9741404289037643E-3</v>
      </c>
      <c r="M1461" s="5">
        <f t="shared" si="205"/>
        <v>-0.49917054553059914</v>
      </c>
    </row>
    <row r="1462" spans="1:13" x14ac:dyDescent="0.25">
      <c r="A1462" s="4">
        <v>1454</v>
      </c>
      <c r="B1462" s="4">
        <f t="shared" si="198"/>
        <v>166</v>
      </c>
      <c r="C1462" s="4">
        <f t="shared" si="199"/>
        <v>1469</v>
      </c>
      <c r="D1462" s="4">
        <f>IF(B1462&gt;'Mortality Table'!$A$118,D1461,VLOOKUP(B1462,'Mortality Table'!$A$2:$B$118,2,FALSE))</f>
        <v>0.59733000000000003</v>
      </c>
      <c r="E1462" s="4">
        <f>IF(INT((C1462-1)/12)+1&gt;'Lapse Table'!$A$11,E1461,VLOOKUP(INT((C1462-1)/12)+1,'Lapse Table'!$A$2:$B$11,2,FALSE))/12</f>
        <v>0</v>
      </c>
      <c r="F1462" s="5">
        <f t="shared" si="206"/>
        <v>-46.064584865620425</v>
      </c>
      <c r="G1462" s="6">
        <f t="shared" si="200"/>
        <v>4.9777500000000002E-2</v>
      </c>
      <c r="H1462" s="6">
        <f t="shared" si="201"/>
        <v>0</v>
      </c>
      <c r="I1462" s="7">
        <f t="shared" si="202"/>
        <v>-1535.4861621873476</v>
      </c>
      <c r="J1462" s="8">
        <f t="shared" si="203"/>
        <v>49777.5</v>
      </c>
      <c r="K1462" s="7">
        <f t="shared" si="204"/>
        <v>-51312.98616218735</v>
      </c>
      <c r="L1462" s="4">
        <f>IF(A1462&gt;'Yield Curve'!A2076,L1461,(1+VLOOKUP(A1462,'Yield Curve'!A1455:B2077,2,FALSE))^(1/12)-1)</f>
        <v>7.9741404289037643E-3</v>
      </c>
      <c r="M1462" s="5">
        <f t="shared" si="205"/>
        <v>-0.49523759305325726</v>
      </c>
    </row>
    <row r="1463" spans="1:13" x14ac:dyDescent="0.25">
      <c r="A1463" s="4">
        <v>1455</v>
      </c>
      <c r="B1463" s="4">
        <f t="shared" si="198"/>
        <v>166</v>
      </c>
      <c r="C1463" s="4">
        <f t="shared" si="199"/>
        <v>1470</v>
      </c>
      <c r="D1463" s="4">
        <f>IF(B1463&gt;'Mortality Table'!$A$118,D1462,VLOOKUP(B1463,'Mortality Table'!$A$2:$B$118,2,FALSE))</f>
        <v>0.59733000000000003</v>
      </c>
      <c r="E1463" s="4">
        <f>IF(INT((C1463-1)/12)+1&gt;'Lapse Table'!$A$11,E1462,VLOOKUP(INT((C1463-1)/12)+1,'Lapse Table'!$A$2:$B$11,2,FALSE))/12</f>
        <v>0</v>
      </c>
      <c r="F1463" s="5">
        <f t="shared" si="206"/>
        <v>-46.114362365620423</v>
      </c>
      <c r="G1463" s="6">
        <f t="shared" si="200"/>
        <v>4.9777500000000002E-2</v>
      </c>
      <c r="H1463" s="6">
        <f t="shared" si="201"/>
        <v>0</v>
      </c>
      <c r="I1463" s="7">
        <f t="shared" si="202"/>
        <v>-1537.1454121873473</v>
      </c>
      <c r="J1463" s="8">
        <f t="shared" si="203"/>
        <v>49777.5</v>
      </c>
      <c r="K1463" s="7">
        <f t="shared" si="204"/>
        <v>-51314.645412187347</v>
      </c>
      <c r="L1463" s="4">
        <f>IF(A1463&gt;'Yield Curve'!A2077,L1462,(1+VLOOKUP(A1463,'Yield Curve'!A1456:B2078,2,FALSE))^(1/12)-1)</f>
        <v>7.9741404289037643E-3</v>
      </c>
      <c r="M1463" s="5">
        <f t="shared" si="205"/>
        <v>-0.49133562769821509</v>
      </c>
    </row>
    <row r="1464" spans="1:13" x14ac:dyDescent="0.25">
      <c r="A1464" s="4">
        <v>1456</v>
      </c>
      <c r="B1464" s="4">
        <f t="shared" si="198"/>
        <v>166</v>
      </c>
      <c r="C1464" s="4">
        <f t="shared" si="199"/>
        <v>1471</v>
      </c>
      <c r="D1464" s="4">
        <f>IF(B1464&gt;'Mortality Table'!$A$118,D1463,VLOOKUP(B1464,'Mortality Table'!$A$2:$B$118,2,FALSE))</f>
        <v>0.59733000000000003</v>
      </c>
      <c r="E1464" s="4">
        <f>IF(INT((C1464-1)/12)+1&gt;'Lapse Table'!$A$11,E1463,VLOOKUP(INT((C1464-1)/12)+1,'Lapse Table'!$A$2:$B$11,2,FALSE))/12</f>
        <v>0</v>
      </c>
      <c r="F1464" s="5">
        <f t="shared" si="206"/>
        <v>-46.16413986562042</v>
      </c>
      <c r="G1464" s="6">
        <f t="shared" si="200"/>
        <v>4.9777500000000002E-2</v>
      </c>
      <c r="H1464" s="6">
        <f t="shared" si="201"/>
        <v>0</v>
      </c>
      <c r="I1464" s="7">
        <f t="shared" si="202"/>
        <v>-1538.8046621873473</v>
      </c>
      <c r="J1464" s="8">
        <f t="shared" si="203"/>
        <v>49777.5</v>
      </c>
      <c r="K1464" s="7">
        <f t="shared" si="204"/>
        <v>-51316.304662187351</v>
      </c>
      <c r="L1464" s="4">
        <f>IF(A1464&gt;'Yield Curve'!A2078,L1463,(1+VLOOKUP(A1464,'Yield Curve'!A1457:B2079,2,FALSE))^(1/12)-1)</f>
        <v>7.9741404289037643E-3</v>
      </c>
      <c r="M1464" s="5">
        <f t="shared" si="205"/>
        <v>-0.48746440532682511</v>
      </c>
    </row>
    <row r="1465" spans="1:13" x14ac:dyDescent="0.25">
      <c r="A1465" s="4">
        <v>1457</v>
      </c>
      <c r="B1465" s="4">
        <f t="shared" si="198"/>
        <v>166</v>
      </c>
      <c r="C1465" s="4">
        <f t="shared" si="199"/>
        <v>1472</v>
      </c>
      <c r="D1465" s="4">
        <f>IF(B1465&gt;'Mortality Table'!$A$118,D1464,VLOOKUP(B1465,'Mortality Table'!$A$2:$B$118,2,FALSE))</f>
        <v>0.59733000000000003</v>
      </c>
      <c r="E1465" s="4">
        <f>IF(INT((C1465-1)/12)+1&gt;'Lapse Table'!$A$11,E1464,VLOOKUP(INT((C1465-1)/12)+1,'Lapse Table'!$A$2:$B$11,2,FALSE))/12</f>
        <v>0</v>
      </c>
      <c r="F1465" s="5">
        <f t="shared" si="206"/>
        <v>-46.213917365620418</v>
      </c>
      <c r="G1465" s="6">
        <f t="shared" si="200"/>
        <v>4.9777500000000002E-2</v>
      </c>
      <c r="H1465" s="6">
        <f t="shared" si="201"/>
        <v>0</v>
      </c>
      <c r="I1465" s="7">
        <f t="shared" si="202"/>
        <v>-1540.4639121873472</v>
      </c>
      <c r="J1465" s="8">
        <f t="shared" si="203"/>
        <v>49777.5</v>
      </c>
      <c r="K1465" s="7">
        <f t="shared" si="204"/>
        <v>-51317.963912187348</v>
      </c>
      <c r="L1465" s="4">
        <f>IF(A1465&gt;'Yield Curve'!A2079,L1464,(1+VLOOKUP(A1465,'Yield Curve'!A1458:B2080,2,FALSE))^(1/12)-1)</f>
        <v>7.9741404289037643E-3</v>
      </c>
      <c r="M1465" s="5">
        <f t="shared" si="205"/>
        <v>-0.48362368372390557</v>
      </c>
    </row>
    <row r="1466" spans="1:13" x14ac:dyDescent="0.25">
      <c r="A1466" s="4">
        <v>1458</v>
      </c>
      <c r="B1466" s="4">
        <f t="shared" si="198"/>
        <v>166</v>
      </c>
      <c r="C1466" s="4">
        <f t="shared" si="199"/>
        <v>1473</v>
      </c>
      <c r="D1466" s="4">
        <f>IF(B1466&gt;'Mortality Table'!$A$118,D1465,VLOOKUP(B1466,'Mortality Table'!$A$2:$B$118,2,FALSE))</f>
        <v>0.59733000000000003</v>
      </c>
      <c r="E1466" s="4">
        <f>IF(INT((C1466-1)/12)+1&gt;'Lapse Table'!$A$11,E1465,VLOOKUP(INT((C1466-1)/12)+1,'Lapse Table'!$A$2:$B$11,2,FALSE))/12</f>
        <v>0</v>
      </c>
      <c r="F1466" s="5">
        <f t="shared" si="206"/>
        <v>-46.263694865620415</v>
      </c>
      <c r="G1466" s="6">
        <f t="shared" si="200"/>
        <v>4.9777500000000002E-2</v>
      </c>
      <c r="H1466" s="6">
        <f t="shared" si="201"/>
        <v>0</v>
      </c>
      <c r="I1466" s="7">
        <f t="shared" si="202"/>
        <v>-1542.1231621873474</v>
      </c>
      <c r="J1466" s="8">
        <f t="shared" si="203"/>
        <v>49777.5</v>
      </c>
      <c r="K1466" s="7">
        <f t="shared" si="204"/>
        <v>-51319.623162187345</v>
      </c>
      <c r="L1466" s="4">
        <f>IF(A1466&gt;'Yield Curve'!A2080,L1465,(1+VLOOKUP(A1466,'Yield Curve'!A1459:B2081,2,FALSE))^(1/12)-1)</f>
        <v>7.9741404289037643E-3</v>
      </c>
      <c r="M1466" s="5">
        <f t="shared" si="205"/>
        <v>-0.47981322258258718</v>
      </c>
    </row>
    <row r="1467" spans="1:13" x14ac:dyDescent="0.25">
      <c r="A1467" s="4">
        <v>1459</v>
      </c>
      <c r="B1467" s="4">
        <f t="shared" si="198"/>
        <v>166</v>
      </c>
      <c r="C1467" s="4">
        <f t="shared" si="199"/>
        <v>1474</v>
      </c>
      <c r="D1467" s="4">
        <f>IF(B1467&gt;'Mortality Table'!$A$118,D1466,VLOOKUP(B1467,'Mortality Table'!$A$2:$B$118,2,FALSE))</f>
        <v>0.59733000000000003</v>
      </c>
      <c r="E1467" s="4">
        <f>IF(INT((C1467-1)/12)+1&gt;'Lapse Table'!$A$11,E1466,VLOOKUP(INT((C1467-1)/12)+1,'Lapse Table'!$A$2:$B$11,2,FALSE))/12</f>
        <v>0</v>
      </c>
      <c r="F1467" s="5">
        <f t="shared" si="206"/>
        <v>-46.313472365620413</v>
      </c>
      <c r="G1467" s="6">
        <f t="shared" si="200"/>
        <v>4.9777500000000002E-2</v>
      </c>
      <c r="H1467" s="6">
        <f t="shared" si="201"/>
        <v>0</v>
      </c>
      <c r="I1467" s="7">
        <f t="shared" si="202"/>
        <v>-1543.7824121873471</v>
      </c>
      <c r="J1467" s="8">
        <f t="shared" si="203"/>
        <v>49777.5</v>
      </c>
      <c r="K1467" s="7">
        <f t="shared" si="204"/>
        <v>-51321.282412187349</v>
      </c>
      <c r="L1467" s="4">
        <f>IF(A1467&gt;'Yield Curve'!A2081,L1466,(1+VLOOKUP(A1467,'Yield Curve'!A1460:B2082,2,FALSE))^(1/12)-1)</f>
        <v>7.9741404289037643E-3</v>
      </c>
      <c r="M1467" s="5">
        <f t="shared" si="205"/>
        <v>-0.47603278348927813</v>
      </c>
    </row>
    <row r="1468" spans="1:13" x14ac:dyDescent="0.25">
      <c r="A1468" s="4">
        <v>1460</v>
      </c>
      <c r="B1468" s="4">
        <f t="shared" si="198"/>
        <v>166</v>
      </c>
      <c r="C1468" s="4">
        <f t="shared" si="199"/>
        <v>1475</v>
      </c>
      <c r="D1468" s="4">
        <f>IF(B1468&gt;'Mortality Table'!$A$118,D1467,VLOOKUP(B1468,'Mortality Table'!$A$2:$B$118,2,FALSE))</f>
        <v>0.59733000000000003</v>
      </c>
      <c r="E1468" s="4">
        <f>IF(INT((C1468-1)/12)+1&gt;'Lapse Table'!$A$11,E1467,VLOOKUP(INT((C1468-1)/12)+1,'Lapse Table'!$A$2:$B$11,2,FALSE))/12</f>
        <v>0</v>
      </c>
      <c r="F1468" s="5">
        <f t="shared" si="206"/>
        <v>-46.363249865620411</v>
      </c>
      <c r="G1468" s="6">
        <f t="shared" si="200"/>
        <v>4.9777500000000002E-2</v>
      </c>
      <c r="H1468" s="6">
        <f t="shared" si="201"/>
        <v>0</v>
      </c>
      <c r="I1468" s="7">
        <f t="shared" si="202"/>
        <v>-1545.441662187347</v>
      </c>
      <c r="J1468" s="8">
        <f t="shared" si="203"/>
        <v>49777.5</v>
      </c>
      <c r="K1468" s="7">
        <f t="shared" si="204"/>
        <v>-51322.941662187346</v>
      </c>
      <c r="L1468" s="4">
        <f>IF(A1468&gt;'Yield Curve'!A2082,L1467,(1+VLOOKUP(A1468,'Yield Curve'!A1461:B2083,2,FALSE))^(1/12)-1)</f>
        <v>7.9741404289037643E-3</v>
      </c>
      <c r="M1468" s="5">
        <f t="shared" si="205"/>
        <v>-0.47228212990874696</v>
      </c>
    </row>
    <row r="1469" spans="1:13" x14ac:dyDescent="0.25">
      <c r="A1469" s="4">
        <v>1461</v>
      </c>
      <c r="B1469" s="4">
        <f t="shared" si="198"/>
        <v>166</v>
      </c>
      <c r="C1469" s="4">
        <f t="shared" si="199"/>
        <v>1476</v>
      </c>
      <c r="D1469" s="4">
        <f>IF(B1469&gt;'Mortality Table'!$A$118,D1468,VLOOKUP(B1469,'Mortality Table'!$A$2:$B$118,2,FALSE))</f>
        <v>0.59733000000000003</v>
      </c>
      <c r="E1469" s="4">
        <f>IF(INT((C1469-1)/12)+1&gt;'Lapse Table'!$A$11,E1468,VLOOKUP(INT((C1469-1)/12)+1,'Lapse Table'!$A$2:$B$11,2,FALSE))/12</f>
        <v>0</v>
      </c>
      <c r="F1469" s="5">
        <f t="shared" si="206"/>
        <v>-46.413027365620408</v>
      </c>
      <c r="G1469" s="6">
        <f t="shared" si="200"/>
        <v>4.9777500000000002E-2</v>
      </c>
      <c r="H1469" s="6">
        <f t="shared" si="201"/>
        <v>0</v>
      </c>
      <c r="I1469" s="7">
        <f t="shared" si="202"/>
        <v>-1547.1009121873469</v>
      </c>
      <c r="J1469" s="8">
        <f t="shared" si="203"/>
        <v>49777.5</v>
      </c>
      <c r="K1469" s="7">
        <f t="shared" si="204"/>
        <v>-51324.60091218735</v>
      </c>
      <c r="L1469" s="4">
        <f>IF(A1469&gt;'Yield Curve'!A2083,L1468,(1+VLOOKUP(A1469,'Yield Curve'!A1462:B2084,2,FALSE))^(1/12)-1)</f>
        <v>7.9741404289037643E-3</v>
      </c>
      <c r="M1469" s="5">
        <f t="shared" si="205"/>
        <v>-0.46856102716932618</v>
      </c>
    </row>
    <row r="1470" spans="1:13" x14ac:dyDescent="0.25">
      <c r="A1470" s="4">
        <v>1462</v>
      </c>
      <c r="B1470" s="4">
        <f t="shared" si="198"/>
        <v>166</v>
      </c>
      <c r="C1470" s="4">
        <f t="shared" si="199"/>
        <v>1477</v>
      </c>
      <c r="D1470" s="4">
        <f>IF(B1470&gt;'Mortality Table'!$A$118,D1469,VLOOKUP(B1470,'Mortality Table'!$A$2:$B$118,2,FALSE))</f>
        <v>0.59733000000000003</v>
      </c>
      <c r="E1470" s="4">
        <f>IF(INT((C1470-1)/12)+1&gt;'Lapse Table'!$A$11,E1469,VLOOKUP(INT((C1470-1)/12)+1,'Lapse Table'!$A$2:$B$11,2,FALSE))/12</f>
        <v>0</v>
      </c>
      <c r="F1470" s="5">
        <f t="shared" si="206"/>
        <v>-46.462804865620406</v>
      </c>
      <c r="G1470" s="6">
        <f t="shared" si="200"/>
        <v>4.9777500000000002E-2</v>
      </c>
      <c r="H1470" s="6">
        <f t="shared" si="201"/>
        <v>0</v>
      </c>
      <c r="I1470" s="7">
        <f t="shared" si="202"/>
        <v>-1548.7601621873471</v>
      </c>
      <c r="J1470" s="8">
        <f t="shared" si="203"/>
        <v>49777.5</v>
      </c>
      <c r="K1470" s="7">
        <f t="shared" si="204"/>
        <v>-51326.260162187347</v>
      </c>
      <c r="L1470" s="4">
        <f>IF(A1470&gt;'Yield Curve'!A2084,L1469,(1+VLOOKUP(A1470,'Yield Curve'!A1463:B2085,2,FALSE))^(1/12)-1)</f>
        <v>7.9741404289037643E-3</v>
      </c>
      <c r="M1470" s="5">
        <f t="shared" si="205"/>
        <v>-0.46486924244822897</v>
      </c>
    </row>
    <row r="1471" spans="1:13" x14ac:dyDescent="0.25">
      <c r="A1471" s="4">
        <v>1463</v>
      </c>
      <c r="B1471" s="4">
        <f t="shared" si="198"/>
        <v>166</v>
      </c>
      <c r="C1471" s="4">
        <f t="shared" si="199"/>
        <v>1478</v>
      </c>
      <c r="D1471" s="4">
        <f>IF(B1471&gt;'Mortality Table'!$A$118,D1470,VLOOKUP(B1471,'Mortality Table'!$A$2:$B$118,2,FALSE))</f>
        <v>0.59733000000000003</v>
      </c>
      <c r="E1471" s="4">
        <f>IF(INT((C1471-1)/12)+1&gt;'Lapse Table'!$A$11,E1470,VLOOKUP(INT((C1471-1)/12)+1,'Lapse Table'!$A$2:$B$11,2,FALSE))/12</f>
        <v>0</v>
      </c>
      <c r="F1471" s="5">
        <f t="shared" si="206"/>
        <v>-46.512582365620403</v>
      </c>
      <c r="G1471" s="6">
        <f t="shared" si="200"/>
        <v>4.9777500000000002E-2</v>
      </c>
      <c r="H1471" s="6">
        <f t="shared" si="201"/>
        <v>0</v>
      </c>
      <c r="I1471" s="7">
        <f t="shared" si="202"/>
        <v>-1550.4194121873468</v>
      </c>
      <c r="J1471" s="8">
        <f t="shared" si="203"/>
        <v>49777.5</v>
      </c>
      <c r="K1471" s="7">
        <f t="shared" si="204"/>
        <v>-51327.919412187344</v>
      </c>
      <c r="L1471" s="4">
        <f>IF(A1471&gt;'Yield Curve'!A2085,L1470,(1+VLOOKUP(A1471,'Yield Curve'!A1464:B2086,2,FALSE))^(1/12)-1)</f>
        <v>7.9741404289037643E-3</v>
      </c>
      <c r="M1471" s="5">
        <f t="shared" si="205"/>
        <v>-0.46120654475698258</v>
      </c>
    </row>
    <row r="1472" spans="1:13" x14ac:dyDescent="0.25">
      <c r="A1472" s="4">
        <v>1464</v>
      </c>
      <c r="B1472" s="4">
        <f t="shared" si="198"/>
        <v>167</v>
      </c>
      <c r="C1472" s="4">
        <f t="shared" si="199"/>
        <v>1479</v>
      </c>
      <c r="D1472" s="4">
        <f>IF(B1472&gt;'Mortality Table'!$A$118,D1471,VLOOKUP(B1472,'Mortality Table'!$A$2:$B$118,2,FALSE))</f>
        <v>0.59733000000000003</v>
      </c>
      <c r="E1472" s="4">
        <f>IF(INT((C1472-1)/12)+1&gt;'Lapse Table'!$A$11,E1471,VLOOKUP(INT((C1472-1)/12)+1,'Lapse Table'!$A$2:$B$11,2,FALSE))/12</f>
        <v>0</v>
      </c>
      <c r="F1472" s="5">
        <f t="shared" si="206"/>
        <v>-46.562359865620401</v>
      </c>
      <c r="G1472" s="6">
        <f t="shared" si="200"/>
        <v>4.9777500000000002E-2</v>
      </c>
      <c r="H1472" s="6">
        <f t="shared" si="201"/>
        <v>0</v>
      </c>
      <c r="I1472" s="7">
        <f t="shared" si="202"/>
        <v>-1552.0786621873467</v>
      </c>
      <c r="J1472" s="8">
        <f t="shared" si="203"/>
        <v>49777.5</v>
      </c>
      <c r="K1472" s="7">
        <f t="shared" si="204"/>
        <v>-51329.578662187349</v>
      </c>
      <c r="L1472" s="4">
        <f>IF(A1472&gt;'Yield Curve'!A2086,L1471,(1+VLOOKUP(A1472,'Yield Curve'!A1465:B2087,2,FALSE))^(1/12)-1)</f>
        <v>7.9741404289037643E-3</v>
      </c>
      <c r="M1472" s="5">
        <f t="shared" si="205"/>
        <v>-0.45757270492697733</v>
      </c>
    </row>
    <row r="1473" spans="1:13" x14ac:dyDescent="0.25">
      <c r="A1473" s="4">
        <v>1465</v>
      </c>
      <c r="B1473" s="4">
        <f t="shared" si="198"/>
        <v>167</v>
      </c>
      <c r="C1473" s="4">
        <f t="shared" si="199"/>
        <v>1480</v>
      </c>
      <c r="D1473" s="4">
        <f>IF(B1473&gt;'Mortality Table'!$A$118,D1472,VLOOKUP(B1473,'Mortality Table'!$A$2:$B$118,2,FALSE))</f>
        <v>0.59733000000000003</v>
      </c>
      <c r="E1473" s="4">
        <f>IF(INT((C1473-1)/12)+1&gt;'Lapse Table'!$A$11,E1472,VLOOKUP(INT((C1473-1)/12)+1,'Lapse Table'!$A$2:$B$11,2,FALSE))/12</f>
        <v>0</v>
      </c>
      <c r="F1473" s="5">
        <f t="shared" si="206"/>
        <v>-46.612137365620399</v>
      </c>
      <c r="G1473" s="6">
        <f t="shared" si="200"/>
        <v>4.9777500000000002E-2</v>
      </c>
      <c r="H1473" s="6">
        <f t="shared" si="201"/>
        <v>0</v>
      </c>
      <c r="I1473" s="7">
        <f t="shared" si="202"/>
        <v>-1553.7379121873466</v>
      </c>
      <c r="J1473" s="8">
        <f t="shared" si="203"/>
        <v>49777.5</v>
      </c>
      <c r="K1473" s="7">
        <f t="shared" si="204"/>
        <v>-51331.237912187346</v>
      </c>
      <c r="L1473" s="4">
        <f>IF(A1473&gt;'Yield Curve'!A2087,L1472,(1+VLOOKUP(A1473,'Yield Curve'!A1466:B2088,2,FALSE))^(1/12)-1)</f>
        <v>7.9741404289037643E-3</v>
      </c>
      <c r="M1473" s="5">
        <f t="shared" si="205"/>
        <v>-0.4539674955951295</v>
      </c>
    </row>
    <row r="1474" spans="1:13" x14ac:dyDescent="0.25">
      <c r="A1474" s="4">
        <v>1466</v>
      </c>
      <c r="B1474" s="4">
        <f t="shared" si="198"/>
        <v>167</v>
      </c>
      <c r="C1474" s="4">
        <f t="shared" si="199"/>
        <v>1481</v>
      </c>
      <c r="D1474" s="4">
        <f>IF(B1474&gt;'Mortality Table'!$A$118,D1473,VLOOKUP(B1474,'Mortality Table'!$A$2:$B$118,2,FALSE))</f>
        <v>0.59733000000000003</v>
      </c>
      <c r="E1474" s="4">
        <f>IF(INT((C1474-1)/12)+1&gt;'Lapse Table'!$A$11,E1473,VLOOKUP(INT((C1474-1)/12)+1,'Lapse Table'!$A$2:$B$11,2,FALSE))/12</f>
        <v>0</v>
      </c>
      <c r="F1474" s="5">
        <f t="shared" si="206"/>
        <v>-46.661914865620396</v>
      </c>
      <c r="G1474" s="6">
        <f t="shared" si="200"/>
        <v>4.9777500000000002E-2</v>
      </c>
      <c r="H1474" s="6">
        <f t="shared" si="201"/>
        <v>0</v>
      </c>
      <c r="I1474" s="7">
        <f t="shared" si="202"/>
        <v>-1555.3971621873463</v>
      </c>
      <c r="J1474" s="8">
        <f t="shared" si="203"/>
        <v>49777.5</v>
      </c>
      <c r="K1474" s="7">
        <f t="shared" si="204"/>
        <v>-51332.89716218735</v>
      </c>
      <c r="L1474" s="4">
        <f>IF(A1474&gt;'Yield Curve'!A2088,L1473,(1+VLOOKUP(A1474,'Yield Curve'!A1467:B2089,2,FALSE))^(1/12)-1)</f>
        <v>7.9741404289037643E-3</v>
      </c>
      <c r="M1474" s="5">
        <f t="shared" si="205"/>
        <v>-0.45039069118965491</v>
      </c>
    </row>
    <row r="1475" spans="1:13" x14ac:dyDescent="0.25">
      <c r="A1475" s="4">
        <v>1467</v>
      </c>
      <c r="B1475" s="4">
        <f t="shared" si="198"/>
        <v>167</v>
      </c>
      <c r="C1475" s="4">
        <f t="shared" si="199"/>
        <v>1482</v>
      </c>
      <c r="D1475" s="4">
        <f>IF(B1475&gt;'Mortality Table'!$A$118,D1474,VLOOKUP(B1475,'Mortality Table'!$A$2:$B$118,2,FALSE))</f>
        <v>0.59733000000000003</v>
      </c>
      <c r="E1475" s="4">
        <f>IF(INT((C1475-1)/12)+1&gt;'Lapse Table'!$A$11,E1474,VLOOKUP(INT((C1475-1)/12)+1,'Lapse Table'!$A$2:$B$11,2,FALSE))/12</f>
        <v>0</v>
      </c>
      <c r="F1475" s="5">
        <f t="shared" si="206"/>
        <v>-46.711692365620394</v>
      </c>
      <c r="G1475" s="6">
        <f t="shared" si="200"/>
        <v>4.9777500000000002E-2</v>
      </c>
      <c r="H1475" s="6">
        <f t="shared" si="201"/>
        <v>0</v>
      </c>
      <c r="I1475" s="7">
        <f t="shared" si="202"/>
        <v>-1557.0564121873465</v>
      </c>
      <c r="J1475" s="8">
        <f t="shared" si="203"/>
        <v>49777.5</v>
      </c>
      <c r="K1475" s="7">
        <f t="shared" si="204"/>
        <v>-51334.556412187347</v>
      </c>
      <c r="L1475" s="4">
        <f>IF(A1475&gt;'Yield Curve'!A2089,L1474,(1+VLOOKUP(A1475,'Yield Curve'!A1468:B2090,2,FALSE))^(1/12)-1)</f>
        <v>7.9741404289037643E-3</v>
      </c>
      <c r="M1475" s="5">
        <f t="shared" si="205"/>
        <v>-0.44684206791595749</v>
      </c>
    </row>
    <row r="1476" spans="1:13" x14ac:dyDescent="0.25">
      <c r="A1476" s="4">
        <v>1468</v>
      </c>
      <c r="B1476" s="4">
        <f t="shared" si="198"/>
        <v>167</v>
      </c>
      <c r="C1476" s="4">
        <f t="shared" si="199"/>
        <v>1483</v>
      </c>
      <c r="D1476" s="4">
        <f>IF(B1476&gt;'Mortality Table'!$A$118,D1475,VLOOKUP(B1476,'Mortality Table'!$A$2:$B$118,2,FALSE))</f>
        <v>0.59733000000000003</v>
      </c>
      <c r="E1476" s="4">
        <f>IF(INT((C1476-1)/12)+1&gt;'Lapse Table'!$A$11,E1475,VLOOKUP(INT((C1476-1)/12)+1,'Lapse Table'!$A$2:$B$11,2,FALSE))/12</f>
        <v>0</v>
      </c>
      <c r="F1476" s="5">
        <f t="shared" si="206"/>
        <v>-46.761469865620391</v>
      </c>
      <c r="G1476" s="6">
        <f t="shared" si="200"/>
        <v>4.9777500000000002E-2</v>
      </c>
      <c r="H1476" s="6">
        <f t="shared" si="201"/>
        <v>0</v>
      </c>
      <c r="I1476" s="7">
        <f t="shared" si="202"/>
        <v>-1558.7156621873464</v>
      </c>
      <c r="J1476" s="8">
        <f t="shared" si="203"/>
        <v>49777.5</v>
      </c>
      <c r="K1476" s="7">
        <f t="shared" si="204"/>
        <v>-51336.215662187344</v>
      </c>
      <c r="L1476" s="4">
        <f>IF(A1476&gt;'Yield Curve'!A2090,L1475,(1+VLOOKUP(A1476,'Yield Curve'!A1469:B2091,2,FALSE))^(1/12)-1)</f>
        <v>7.9741404289037643E-3</v>
      </c>
      <c r="M1476" s="5">
        <f t="shared" si="205"/>
        <v>-0.44332140374262791</v>
      </c>
    </row>
    <row r="1477" spans="1:13" x14ac:dyDescent="0.25">
      <c r="A1477" s="4">
        <v>1469</v>
      </c>
      <c r="B1477" s="4">
        <f t="shared" si="198"/>
        <v>167</v>
      </c>
      <c r="C1477" s="4">
        <f t="shared" si="199"/>
        <v>1484</v>
      </c>
      <c r="D1477" s="4">
        <f>IF(B1477&gt;'Mortality Table'!$A$118,D1476,VLOOKUP(B1477,'Mortality Table'!$A$2:$B$118,2,FALSE))</f>
        <v>0.59733000000000003</v>
      </c>
      <c r="E1477" s="4">
        <f>IF(INT((C1477-1)/12)+1&gt;'Lapse Table'!$A$11,E1476,VLOOKUP(INT((C1477-1)/12)+1,'Lapse Table'!$A$2:$B$11,2,FALSE))/12</f>
        <v>0</v>
      </c>
      <c r="F1477" s="5">
        <f t="shared" si="206"/>
        <v>-46.811247365620389</v>
      </c>
      <c r="G1477" s="6">
        <f t="shared" si="200"/>
        <v>4.9777500000000002E-2</v>
      </c>
      <c r="H1477" s="6">
        <f t="shared" si="201"/>
        <v>0</v>
      </c>
      <c r="I1477" s="7">
        <f t="shared" si="202"/>
        <v>-1560.3749121873464</v>
      </c>
      <c r="J1477" s="8">
        <f t="shared" si="203"/>
        <v>49777.5</v>
      </c>
      <c r="K1477" s="7">
        <f t="shared" si="204"/>
        <v>-51337.874912187348</v>
      </c>
      <c r="L1477" s="4">
        <f>IF(A1477&gt;'Yield Curve'!A2091,L1476,(1+VLOOKUP(A1477,'Yield Curve'!A1470:B2092,2,FALSE))^(1/12)-1)</f>
        <v>7.9741404289037643E-3</v>
      </c>
      <c r="M1477" s="5">
        <f t="shared" si="205"/>
        <v>-0.43982847838755162</v>
      </c>
    </row>
    <row r="1478" spans="1:13" x14ac:dyDescent="0.25">
      <c r="A1478" s="4">
        <v>1470</v>
      </c>
      <c r="B1478" s="4">
        <f t="shared" si="198"/>
        <v>167</v>
      </c>
      <c r="C1478" s="4">
        <f t="shared" si="199"/>
        <v>1485</v>
      </c>
      <c r="D1478" s="4">
        <f>IF(B1478&gt;'Mortality Table'!$A$118,D1477,VLOOKUP(B1478,'Mortality Table'!$A$2:$B$118,2,FALSE))</f>
        <v>0.59733000000000003</v>
      </c>
      <c r="E1478" s="4">
        <f>IF(INT((C1478-1)/12)+1&gt;'Lapse Table'!$A$11,E1477,VLOOKUP(INT((C1478-1)/12)+1,'Lapse Table'!$A$2:$B$11,2,FALSE))/12</f>
        <v>0</v>
      </c>
      <c r="F1478" s="5">
        <f t="shared" si="206"/>
        <v>-46.861024865620386</v>
      </c>
      <c r="G1478" s="6">
        <f t="shared" si="200"/>
        <v>4.9777500000000002E-2</v>
      </c>
      <c r="H1478" s="6">
        <f t="shared" si="201"/>
        <v>0</v>
      </c>
      <c r="I1478" s="7">
        <f t="shared" si="202"/>
        <v>-1562.0341621873461</v>
      </c>
      <c r="J1478" s="8">
        <f t="shared" si="203"/>
        <v>49777.5</v>
      </c>
      <c r="K1478" s="7">
        <f t="shared" si="204"/>
        <v>-51339.534162187345</v>
      </c>
      <c r="L1478" s="4">
        <f>IF(A1478&gt;'Yield Curve'!A2092,L1477,(1+VLOOKUP(A1478,'Yield Curve'!A1471:B2093,2,FALSE))^(1/12)-1)</f>
        <v>7.9741404289037643E-3</v>
      </c>
      <c r="M1478" s="5">
        <f t="shared" si="205"/>
        <v>-0.43636307330412771</v>
      </c>
    </row>
    <row r="1479" spans="1:13" x14ac:dyDescent="0.25">
      <c r="A1479" s="4">
        <v>1471</v>
      </c>
      <c r="B1479" s="4">
        <f t="shared" si="198"/>
        <v>167</v>
      </c>
      <c r="C1479" s="4">
        <f t="shared" si="199"/>
        <v>1486</v>
      </c>
      <c r="D1479" s="4">
        <f>IF(B1479&gt;'Mortality Table'!$A$118,D1478,VLOOKUP(B1479,'Mortality Table'!$A$2:$B$118,2,FALSE))</f>
        <v>0.59733000000000003</v>
      </c>
      <c r="E1479" s="4">
        <f>IF(INT((C1479-1)/12)+1&gt;'Lapse Table'!$A$11,E1478,VLOOKUP(INT((C1479-1)/12)+1,'Lapse Table'!$A$2:$B$11,2,FALSE))/12</f>
        <v>0</v>
      </c>
      <c r="F1479" s="5">
        <f t="shared" si="206"/>
        <v>-46.910802365620384</v>
      </c>
      <c r="G1479" s="6">
        <f t="shared" si="200"/>
        <v>4.9777500000000002E-2</v>
      </c>
      <c r="H1479" s="6">
        <f t="shared" si="201"/>
        <v>0</v>
      </c>
      <c r="I1479" s="7">
        <f t="shared" si="202"/>
        <v>-1563.6934121873462</v>
      </c>
      <c r="J1479" s="8">
        <f t="shared" si="203"/>
        <v>49777.5</v>
      </c>
      <c r="K1479" s="7">
        <f t="shared" si="204"/>
        <v>-51341.193412187349</v>
      </c>
      <c r="L1479" s="4">
        <f>IF(A1479&gt;'Yield Curve'!A2093,L1478,(1+VLOOKUP(A1479,'Yield Curve'!A1472:B2094,2,FALSE))^(1/12)-1)</f>
        <v>7.9741404289037643E-3</v>
      </c>
      <c r="M1479" s="5">
        <f t="shared" si="205"/>
        <v>-0.43292497166759492</v>
      </c>
    </row>
    <row r="1480" spans="1:13" x14ac:dyDescent="0.25">
      <c r="A1480" s="4">
        <v>1472</v>
      </c>
      <c r="B1480" s="4">
        <f t="shared" si="198"/>
        <v>167</v>
      </c>
      <c r="C1480" s="4">
        <f t="shared" si="199"/>
        <v>1487</v>
      </c>
      <c r="D1480" s="4">
        <f>IF(B1480&gt;'Mortality Table'!$A$118,D1479,VLOOKUP(B1480,'Mortality Table'!$A$2:$B$118,2,FALSE))</f>
        <v>0.59733000000000003</v>
      </c>
      <c r="E1480" s="4">
        <f>IF(INT((C1480-1)/12)+1&gt;'Lapse Table'!$A$11,E1479,VLOOKUP(INT((C1480-1)/12)+1,'Lapse Table'!$A$2:$B$11,2,FALSE))/12</f>
        <v>0</v>
      </c>
      <c r="F1480" s="5">
        <f t="shared" si="206"/>
        <v>-46.960579865620382</v>
      </c>
      <c r="G1480" s="6">
        <f t="shared" si="200"/>
        <v>4.9777500000000002E-2</v>
      </c>
      <c r="H1480" s="6">
        <f t="shared" si="201"/>
        <v>0</v>
      </c>
      <c r="I1480" s="7">
        <f t="shared" si="202"/>
        <v>-1565.3526621873461</v>
      </c>
      <c r="J1480" s="8">
        <f t="shared" si="203"/>
        <v>49777.5</v>
      </c>
      <c r="K1480" s="7">
        <f t="shared" si="204"/>
        <v>-51342.852662187346</v>
      </c>
      <c r="L1480" s="4">
        <f>IF(A1480&gt;'Yield Curve'!A2094,L1479,(1+VLOOKUP(A1480,'Yield Curve'!A1473:B2095,2,FALSE))^(1/12)-1)</f>
        <v>7.9741404289037643E-3</v>
      </c>
      <c r="M1480" s="5">
        <f t="shared" si="205"/>
        <v>-0.42951395836146694</v>
      </c>
    </row>
    <row r="1481" spans="1:13" x14ac:dyDescent="0.25">
      <c r="A1481" s="4">
        <v>1473</v>
      </c>
      <c r="B1481" s="4">
        <f t="shared" si="198"/>
        <v>167</v>
      </c>
      <c r="C1481" s="4">
        <f t="shared" si="199"/>
        <v>1488</v>
      </c>
      <c r="D1481" s="4">
        <f>IF(B1481&gt;'Mortality Table'!$A$118,D1480,VLOOKUP(B1481,'Mortality Table'!$A$2:$B$118,2,FALSE))</f>
        <v>0.59733000000000003</v>
      </c>
      <c r="E1481" s="4">
        <f>IF(INT((C1481-1)/12)+1&gt;'Lapse Table'!$A$11,E1480,VLOOKUP(INT((C1481-1)/12)+1,'Lapse Table'!$A$2:$B$11,2,FALSE))/12</f>
        <v>0</v>
      </c>
      <c r="F1481" s="5">
        <f t="shared" si="206"/>
        <v>-47.010357365620379</v>
      </c>
      <c r="G1481" s="6">
        <f t="shared" si="200"/>
        <v>4.9777500000000002E-2</v>
      </c>
      <c r="H1481" s="6">
        <f t="shared" si="201"/>
        <v>0</v>
      </c>
      <c r="I1481" s="7">
        <f t="shared" si="202"/>
        <v>-1567.0119121873458</v>
      </c>
      <c r="J1481" s="8">
        <f t="shared" si="203"/>
        <v>49777.5</v>
      </c>
      <c r="K1481" s="7">
        <f t="shared" si="204"/>
        <v>-51344.511912187343</v>
      </c>
      <c r="L1481" s="4">
        <f>IF(A1481&gt;'Yield Curve'!A2095,L1480,(1+VLOOKUP(A1481,'Yield Curve'!A1474:B2096,2,FALSE))^(1/12)-1)</f>
        <v>7.9741404289037643E-3</v>
      </c>
      <c r="M1481" s="5">
        <f t="shared" si="205"/>
        <v>-0.4261298199640744</v>
      </c>
    </row>
    <row r="1482" spans="1:13" x14ac:dyDescent="0.25">
      <c r="A1482" s="4">
        <v>1474</v>
      </c>
      <c r="B1482" s="4">
        <f t="shared" ref="B1482:B1545" si="207">INT($B$3+A1482/12)</f>
        <v>167</v>
      </c>
      <c r="C1482" s="4">
        <f t="shared" ref="C1482:C1545" si="208">$B$4+A1482</f>
        <v>1489</v>
      </c>
      <c r="D1482" s="4">
        <f>IF(B1482&gt;'Mortality Table'!$A$118,D1481,VLOOKUP(B1482,'Mortality Table'!$A$2:$B$118,2,FALSE))</f>
        <v>0.59733000000000003</v>
      </c>
      <c r="E1482" s="4">
        <f>IF(INT((C1482-1)/12)+1&gt;'Lapse Table'!$A$11,E1481,VLOOKUP(INT((C1482-1)/12)+1,'Lapse Table'!$A$2:$B$11,2,FALSE))/12</f>
        <v>0</v>
      </c>
      <c r="F1482" s="5">
        <f t="shared" si="206"/>
        <v>-47.060134865620377</v>
      </c>
      <c r="G1482" s="6">
        <f t="shared" ref="G1482:G1545" si="209">D1482/12*(1-0.5*E1482)</f>
        <v>4.9777500000000002E-2</v>
      </c>
      <c r="H1482" s="6">
        <f t="shared" ref="H1482:H1545" si="210">E1482*(1-0.5*D1482)</f>
        <v>0</v>
      </c>
      <c r="I1482" s="7">
        <f t="shared" ref="I1482:I1545" si="211">F1482*$B$5/12</f>
        <v>-1568.6711621873458</v>
      </c>
      <c r="J1482" s="8">
        <f t="shared" ref="J1482:J1545" si="212">$B$6*G1482</f>
        <v>49777.5</v>
      </c>
      <c r="K1482" s="7">
        <f t="shared" ref="K1482:K1545" si="213">I1482-J1482</f>
        <v>-51346.171162187347</v>
      </c>
      <c r="L1482" s="4">
        <f>IF(A1482&gt;'Yield Curve'!A2096,L1481,(1+VLOOKUP(A1482,'Yield Curve'!A1475:B2097,2,FALSE))^(1/12)-1)</f>
        <v>7.9741404289037643E-3</v>
      </c>
      <c r="M1482" s="5">
        <f t="shared" ref="M1482:M1545" si="214">K1482*(1+L1482)^-A1482</f>
        <v>-0.42277234473521086</v>
      </c>
    </row>
    <row r="1483" spans="1:13" x14ac:dyDescent="0.25">
      <c r="A1483" s="4">
        <v>1475</v>
      </c>
      <c r="B1483" s="4">
        <f t="shared" si="207"/>
        <v>167</v>
      </c>
      <c r="C1483" s="4">
        <f t="shared" si="208"/>
        <v>1490</v>
      </c>
      <c r="D1483" s="4">
        <f>IF(B1483&gt;'Mortality Table'!$A$118,D1482,VLOOKUP(B1483,'Mortality Table'!$A$2:$B$118,2,FALSE))</f>
        <v>0.59733000000000003</v>
      </c>
      <c r="E1483" s="4">
        <f>IF(INT((C1483-1)/12)+1&gt;'Lapse Table'!$A$11,E1482,VLOOKUP(INT((C1483-1)/12)+1,'Lapse Table'!$A$2:$B$11,2,FALSE))/12</f>
        <v>0</v>
      </c>
      <c r="F1483" s="5">
        <f t="shared" ref="F1483:F1546" si="215">F1482-G1483-H1483</f>
        <v>-47.109912365620374</v>
      </c>
      <c r="G1483" s="6">
        <f t="shared" si="209"/>
        <v>4.9777500000000002E-2</v>
      </c>
      <c r="H1483" s="6">
        <f t="shared" si="210"/>
        <v>0</v>
      </c>
      <c r="I1483" s="7">
        <f t="shared" si="211"/>
        <v>-1570.3304121873459</v>
      </c>
      <c r="J1483" s="8">
        <f t="shared" si="212"/>
        <v>49777.5</v>
      </c>
      <c r="K1483" s="7">
        <f t="shared" si="213"/>
        <v>-51347.830412187344</v>
      </c>
      <c r="L1483" s="4">
        <f>IF(A1483&gt;'Yield Curve'!A2097,L1482,(1+VLOOKUP(A1483,'Yield Curve'!A1476:B2098,2,FALSE))^(1/12)-1)</f>
        <v>7.9741404289037643E-3</v>
      </c>
      <c r="M1483" s="5">
        <f t="shared" si="214"/>
        <v>-0.41944132260288602</v>
      </c>
    </row>
    <row r="1484" spans="1:13" x14ac:dyDescent="0.25">
      <c r="A1484" s="4">
        <v>1476</v>
      </c>
      <c r="B1484" s="4">
        <f t="shared" si="207"/>
        <v>168</v>
      </c>
      <c r="C1484" s="4">
        <f t="shared" si="208"/>
        <v>1491</v>
      </c>
      <c r="D1484" s="4">
        <f>IF(B1484&gt;'Mortality Table'!$A$118,D1483,VLOOKUP(B1484,'Mortality Table'!$A$2:$B$118,2,FALSE))</f>
        <v>0.59733000000000003</v>
      </c>
      <c r="E1484" s="4">
        <f>IF(INT((C1484-1)/12)+1&gt;'Lapse Table'!$A$11,E1483,VLOOKUP(INT((C1484-1)/12)+1,'Lapse Table'!$A$2:$B$11,2,FALSE))/12</f>
        <v>0</v>
      </c>
      <c r="F1484" s="5">
        <f t="shared" si="215"/>
        <v>-47.159689865620372</v>
      </c>
      <c r="G1484" s="6">
        <f t="shared" si="209"/>
        <v>4.9777500000000002E-2</v>
      </c>
      <c r="H1484" s="6">
        <f t="shared" si="210"/>
        <v>0</v>
      </c>
      <c r="I1484" s="7">
        <f t="shared" si="211"/>
        <v>-1571.9896621873459</v>
      </c>
      <c r="J1484" s="8">
        <f t="shared" si="212"/>
        <v>49777.5</v>
      </c>
      <c r="K1484" s="7">
        <f t="shared" si="213"/>
        <v>-51349.489662187349</v>
      </c>
      <c r="L1484" s="4">
        <f>IF(A1484&gt;'Yield Curve'!A2098,L1483,(1+VLOOKUP(A1484,'Yield Curve'!A1477:B2099,2,FALSE))^(1/12)-1)</f>
        <v>7.9741404289037643E-3</v>
      </c>
      <c r="M1484" s="5">
        <f t="shared" si="214"/>
        <v>-0.41613654515018311</v>
      </c>
    </row>
    <row r="1485" spans="1:13" x14ac:dyDescent="0.25">
      <c r="A1485" s="4">
        <v>1477</v>
      </c>
      <c r="B1485" s="4">
        <f t="shared" si="207"/>
        <v>168</v>
      </c>
      <c r="C1485" s="4">
        <f t="shared" si="208"/>
        <v>1492</v>
      </c>
      <c r="D1485" s="4">
        <f>IF(B1485&gt;'Mortality Table'!$A$118,D1484,VLOOKUP(B1485,'Mortality Table'!$A$2:$B$118,2,FALSE))</f>
        <v>0.59733000000000003</v>
      </c>
      <c r="E1485" s="4">
        <f>IF(INT((C1485-1)/12)+1&gt;'Lapse Table'!$A$11,E1484,VLOOKUP(INT((C1485-1)/12)+1,'Lapse Table'!$A$2:$B$11,2,FALSE))/12</f>
        <v>0</v>
      </c>
      <c r="F1485" s="5">
        <f t="shared" si="215"/>
        <v>-47.20946736562037</v>
      </c>
      <c r="G1485" s="6">
        <f t="shared" si="209"/>
        <v>4.9777500000000002E-2</v>
      </c>
      <c r="H1485" s="6">
        <f t="shared" si="210"/>
        <v>0</v>
      </c>
      <c r="I1485" s="7">
        <f t="shared" si="211"/>
        <v>-1573.6489121873456</v>
      </c>
      <c r="J1485" s="8">
        <f t="shared" si="212"/>
        <v>49777.5</v>
      </c>
      <c r="K1485" s="7">
        <f t="shared" si="213"/>
        <v>-51351.148912187346</v>
      </c>
      <c r="L1485" s="4">
        <f>IF(A1485&gt;'Yield Curve'!A2099,L1484,(1+VLOOKUP(A1485,'Yield Curve'!A1478:B2100,2,FALSE))^(1/12)-1)</f>
        <v>7.9741404289037643E-3</v>
      </c>
      <c r="M1485" s="5">
        <f t="shared" si="214"/>
        <v>-0.41285780560221952</v>
      </c>
    </row>
    <row r="1486" spans="1:13" x14ac:dyDescent="0.25">
      <c r="A1486" s="4">
        <v>1478</v>
      </c>
      <c r="B1486" s="4">
        <f t="shared" si="207"/>
        <v>168</v>
      </c>
      <c r="C1486" s="4">
        <f t="shared" si="208"/>
        <v>1493</v>
      </c>
      <c r="D1486" s="4">
        <f>IF(B1486&gt;'Mortality Table'!$A$118,D1485,VLOOKUP(B1486,'Mortality Table'!$A$2:$B$118,2,FALSE))</f>
        <v>0.59733000000000003</v>
      </c>
      <c r="E1486" s="4">
        <f>IF(INT((C1486-1)/12)+1&gt;'Lapse Table'!$A$11,E1485,VLOOKUP(INT((C1486-1)/12)+1,'Lapse Table'!$A$2:$B$11,2,FALSE))/12</f>
        <v>0</v>
      </c>
      <c r="F1486" s="5">
        <f t="shared" si="215"/>
        <v>-47.259244865620367</v>
      </c>
      <c r="G1486" s="6">
        <f t="shared" si="209"/>
        <v>4.9777500000000002E-2</v>
      </c>
      <c r="H1486" s="6">
        <f t="shared" si="210"/>
        <v>0</v>
      </c>
      <c r="I1486" s="7">
        <f t="shared" si="211"/>
        <v>-1575.3081621873455</v>
      </c>
      <c r="J1486" s="8">
        <f t="shared" si="212"/>
        <v>49777.5</v>
      </c>
      <c r="K1486" s="7">
        <f t="shared" si="213"/>
        <v>-51352.808162187343</v>
      </c>
      <c r="L1486" s="4">
        <f>IF(A1486&gt;'Yield Curve'!A2100,L1485,(1+VLOOKUP(A1486,'Yield Curve'!A1479:B2101,2,FALSE))^(1/12)-1)</f>
        <v>7.9741404289037643E-3</v>
      </c>
      <c r="M1486" s="5">
        <f t="shared" si="214"/>
        <v>-0.40960489881320944</v>
      </c>
    </row>
    <row r="1487" spans="1:13" x14ac:dyDescent="0.25">
      <c r="A1487" s="4">
        <v>1479</v>
      </c>
      <c r="B1487" s="4">
        <f t="shared" si="207"/>
        <v>168</v>
      </c>
      <c r="C1487" s="4">
        <f t="shared" si="208"/>
        <v>1494</v>
      </c>
      <c r="D1487" s="4">
        <f>IF(B1487&gt;'Mortality Table'!$A$118,D1486,VLOOKUP(B1487,'Mortality Table'!$A$2:$B$118,2,FALSE))</f>
        <v>0.59733000000000003</v>
      </c>
      <c r="E1487" s="4">
        <f>IF(INT((C1487-1)/12)+1&gt;'Lapse Table'!$A$11,E1486,VLOOKUP(INT((C1487-1)/12)+1,'Lapse Table'!$A$2:$B$11,2,FALSE))/12</f>
        <v>0</v>
      </c>
      <c r="F1487" s="5">
        <f t="shared" si="215"/>
        <v>-47.309022365620365</v>
      </c>
      <c r="G1487" s="6">
        <f t="shared" si="209"/>
        <v>4.9777500000000002E-2</v>
      </c>
      <c r="H1487" s="6">
        <f t="shared" si="210"/>
        <v>0</v>
      </c>
      <c r="I1487" s="7">
        <f t="shared" si="211"/>
        <v>-1576.9674121873456</v>
      </c>
      <c r="J1487" s="8">
        <f t="shared" si="212"/>
        <v>49777.5</v>
      </c>
      <c r="K1487" s="7">
        <f t="shared" si="213"/>
        <v>-51354.467412187347</v>
      </c>
      <c r="L1487" s="4">
        <f>IF(A1487&gt;'Yield Curve'!A2101,L1486,(1+VLOOKUP(A1487,'Yield Curve'!A1480:B2102,2,FALSE))^(1/12)-1)</f>
        <v>7.9741404289037643E-3</v>
      </c>
      <c r="M1487" s="5">
        <f t="shared" si="214"/>
        <v>-0.40637762125362958</v>
      </c>
    </row>
    <row r="1488" spans="1:13" x14ac:dyDescent="0.25">
      <c r="A1488" s="4">
        <v>1480</v>
      </c>
      <c r="B1488" s="4">
        <f t="shared" si="207"/>
        <v>168</v>
      </c>
      <c r="C1488" s="4">
        <f t="shared" si="208"/>
        <v>1495</v>
      </c>
      <c r="D1488" s="4">
        <f>IF(B1488&gt;'Mortality Table'!$A$118,D1487,VLOOKUP(B1488,'Mortality Table'!$A$2:$B$118,2,FALSE))</f>
        <v>0.59733000000000003</v>
      </c>
      <c r="E1488" s="4">
        <f>IF(INT((C1488-1)/12)+1&gt;'Lapse Table'!$A$11,E1487,VLOOKUP(INT((C1488-1)/12)+1,'Lapse Table'!$A$2:$B$11,2,FALSE))/12</f>
        <v>0</v>
      </c>
      <c r="F1488" s="5">
        <f t="shared" si="215"/>
        <v>-47.358799865620362</v>
      </c>
      <c r="G1488" s="6">
        <f t="shared" si="209"/>
        <v>4.9777500000000002E-2</v>
      </c>
      <c r="H1488" s="6">
        <f t="shared" si="210"/>
        <v>0</v>
      </c>
      <c r="I1488" s="7">
        <f t="shared" si="211"/>
        <v>-1578.6266621873453</v>
      </c>
      <c r="J1488" s="8">
        <f t="shared" si="212"/>
        <v>49777.5</v>
      </c>
      <c r="K1488" s="7">
        <f t="shared" si="213"/>
        <v>-51356.126662187344</v>
      </c>
      <c r="L1488" s="4">
        <f>IF(A1488&gt;'Yield Curve'!A2102,L1487,(1+VLOOKUP(A1488,'Yield Curve'!A1481:B2103,2,FALSE))^(1/12)-1)</f>
        <v>7.9741404289037643E-3</v>
      </c>
      <c r="M1488" s="5">
        <f t="shared" si="214"/>
        <v>-0.40317577099748475</v>
      </c>
    </row>
    <row r="1489" spans="1:13" x14ac:dyDescent="0.25">
      <c r="A1489" s="4">
        <v>1481</v>
      </c>
      <c r="B1489" s="4">
        <f t="shared" si="207"/>
        <v>168</v>
      </c>
      <c r="C1489" s="4">
        <f t="shared" si="208"/>
        <v>1496</v>
      </c>
      <c r="D1489" s="4">
        <f>IF(B1489&gt;'Mortality Table'!$A$118,D1488,VLOOKUP(B1489,'Mortality Table'!$A$2:$B$118,2,FALSE))</f>
        <v>0.59733000000000003</v>
      </c>
      <c r="E1489" s="4">
        <f>IF(INT((C1489-1)/12)+1&gt;'Lapse Table'!$A$11,E1488,VLOOKUP(INT((C1489-1)/12)+1,'Lapse Table'!$A$2:$B$11,2,FALSE))/12</f>
        <v>0</v>
      </c>
      <c r="F1489" s="5">
        <f t="shared" si="215"/>
        <v>-47.40857736562036</v>
      </c>
      <c r="G1489" s="6">
        <f t="shared" si="209"/>
        <v>4.9777500000000002E-2</v>
      </c>
      <c r="H1489" s="6">
        <f t="shared" si="210"/>
        <v>0</v>
      </c>
      <c r="I1489" s="7">
        <f t="shared" si="211"/>
        <v>-1580.2859121873453</v>
      </c>
      <c r="J1489" s="8">
        <f t="shared" si="212"/>
        <v>49777.5</v>
      </c>
      <c r="K1489" s="7">
        <f t="shared" si="213"/>
        <v>-51357.785912187348</v>
      </c>
      <c r="L1489" s="4">
        <f>IF(A1489&gt;'Yield Curve'!A2103,L1488,(1+VLOOKUP(A1489,'Yield Curve'!A1482:B2104,2,FALSE))^(1/12)-1)</f>
        <v>7.9741404289037643E-3</v>
      </c>
      <c r="M1489" s="5">
        <f t="shared" si="214"/>
        <v>-0.39999914770967615</v>
      </c>
    </row>
    <row r="1490" spans="1:13" x14ac:dyDescent="0.25">
      <c r="A1490" s="4">
        <v>1482</v>
      </c>
      <c r="B1490" s="4">
        <f t="shared" si="207"/>
        <v>168</v>
      </c>
      <c r="C1490" s="4">
        <f t="shared" si="208"/>
        <v>1497</v>
      </c>
      <c r="D1490" s="4">
        <f>IF(B1490&gt;'Mortality Table'!$A$118,D1489,VLOOKUP(B1490,'Mortality Table'!$A$2:$B$118,2,FALSE))</f>
        <v>0.59733000000000003</v>
      </c>
      <c r="E1490" s="4">
        <f>IF(INT((C1490-1)/12)+1&gt;'Lapse Table'!$A$11,E1489,VLOOKUP(INT((C1490-1)/12)+1,'Lapse Table'!$A$2:$B$11,2,FALSE))/12</f>
        <v>0</v>
      </c>
      <c r="F1490" s="5">
        <f t="shared" si="215"/>
        <v>-47.458354865620358</v>
      </c>
      <c r="G1490" s="6">
        <f t="shared" si="209"/>
        <v>4.9777500000000002E-2</v>
      </c>
      <c r="H1490" s="6">
        <f t="shared" si="210"/>
        <v>0</v>
      </c>
      <c r="I1490" s="7">
        <f t="shared" si="211"/>
        <v>-1581.9451621873452</v>
      </c>
      <c r="J1490" s="8">
        <f t="shared" si="212"/>
        <v>49777.5</v>
      </c>
      <c r="K1490" s="7">
        <f t="shared" si="213"/>
        <v>-51359.445162187345</v>
      </c>
      <c r="L1490" s="4">
        <f>IF(A1490&gt;'Yield Curve'!A2104,L1489,(1+VLOOKUP(A1490,'Yield Curve'!A1483:B2105,2,FALSE))^(1/12)-1)</f>
        <v>7.9741404289037643E-3</v>
      </c>
      <c r="M1490" s="5">
        <f t="shared" si="214"/>
        <v>-0.39684755263346555</v>
      </c>
    </row>
    <row r="1491" spans="1:13" x14ac:dyDescent="0.25">
      <c r="A1491" s="4">
        <v>1483</v>
      </c>
      <c r="B1491" s="4">
        <f t="shared" si="207"/>
        <v>168</v>
      </c>
      <c r="C1491" s="4">
        <f t="shared" si="208"/>
        <v>1498</v>
      </c>
      <c r="D1491" s="4">
        <f>IF(B1491&gt;'Mortality Table'!$A$118,D1490,VLOOKUP(B1491,'Mortality Table'!$A$2:$B$118,2,FALSE))</f>
        <v>0.59733000000000003</v>
      </c>
      <c r="E1491" s="4">
        <f>IF(INT((C1491-1)/12)+1&gt;'Lapse Table'!$A$11,E1490,VLOOKUP(INT((C1491-1)/12)+1,'Lapse Table'!$A$2:$B$11,2,FALSE))/12</f>
        <v>0</v>
      </c>
      <c r="F1491" s="5">
        <f t="shared" si="215"/>
        <v>-47.508132365620355</v>
      </c>
      <c r="G1491" s="6">
        <f t="shared" si="209"/>
        <v>4.9777500000000002E-2</v>
      </c>
      <c r="H1491" s="6">
        <f t="shared" si="210"/>
        <v>0</v>
      </c>
      <c r="I1491" s="7">
        <f t="shared" si="211"/>
        <v>-1583.6044121873454</v>
      </c>
      <c r="J1491" s="8">
        <f t="shared" si="212"/>
        <v>49777.5</v>
      </c>
      <c r="K1491" s="7">
        <f t="shared" si="213"/>
        <v>-51361.104412187342</v>
      </c>
      <c r="L1491" s="4">
        <f>IF(A1491&gt;'Yield Curve'!A2105,L1490,(1+VLOOKUP(A1491,'Yield Curve'!A1484:B2106,2,FALSE))^(1/12)-1)</f>
        <v>7.9741404289037643E-3</v>
      </c>
      <c r="M1491" s="5">
        <f t="shared" si="214"/>
        <v>-0.39372078857804155</v>
      </c>
    </row>
    <row r="1492" spans="1:13" x14ac:dyDescent="0.25">
      <c r="A1492" s="4">
        <v>1484</v>
      </c>
      <c r="B1492" s="4">
        <f t="shared" si="207"/>
        <v>168</v>
      </c>
      <c r="C1492" s="4">
        <f t="shared" si="208"/>
        <v>1499</v>
      </c>
      <c r="D1492" s="4">
        <f>IF(B1492&gt;'Mortality Table'!$A$118,D1491,VLOOKUP(B1492,'Mortality Table'!$A$2:$B$118,2,FALSE))</f>
        <v>0.59733000000000003</v>
      </c>
      <c r="E1492" s="4">
        <f>IF(INT((C1492-1)/12)+1&gt;'Lapse Table'!$A$11,E1491,VLOOKUP(INT((C1492-1)/12)+1,'Lapse Table'!$A$2:$B$11,2,FALSE))/12</f>
        <v>0</v>
      </c>
      <c r="F1492" s="5">
        <f t="shared" si="215"/>
        <v>-47.557909865620353</v>
      </c>
      <c r="G1492" s="6">
        <f t="shared" si="209"/>
        <v>4.9777500000000002E-2</v>
      </c>
      <c r="H1492" s="6">
        <f t="shared" si="210"/>
        <v>0</v>
      </c>
      <c r="I1492" s="7">
        <f t="shared" si="211"/>
        <v>-1585.2636621873451</v>
      </c>
      <c r="J1492" s="8">
        <f t="shared" si="212"/>
        <v>49777.5</v>
      </c>
      <c r="K1492" s="7">
        <f t="shared" si="213"/>
        <v>-51362.763662187346</v>
      </c>
      <c r="L1492" s="4">
        <f>IF(A1492&gt;'Yield Curve'!A2106,L1491,(1+VLOOKUP(A1492,'Yield Curve'!A1485:B2107,2,FALSE))^(1/12)-1)</f>
        <v>7.9741404289037643E-3</v>
      </c>
      <c r="M1492" s="5">
        <f t="shared" si="214"/>
        <v>-0.39061865990618222</v>
      </c>
    </row>
    <row r="1493" spans="1:13" x14ac:dyDescent="0.25">
      <c r="A1493" s="4">
        <v>1485</v>
      </c>
      <c r="B1493" s="4">
        <f t="shared" si="207"/>
        <v>168</v>
      </c>
      <c r="C1493" s="4">
        <f t="shared" si="208"/>
        <v>1500</v>
      </c>
      <c r="D1493" s="4">
        <f>IF(B1493&gt;'Mortality Table'!$A$118,D1492,VLOOKUP(B1493,'Mortality Table'!$A$2:$B$118,2,FALSE))</f>
        <v>0.59733000000000003</v>
      </c>
      <c r="E1493" s="4">
        <f>IF(INT((C1493-1)/12)+1&gt;'Lapse Table'!$A$11,E1492,VLOOKUP(INT((C1493-1)/12)+1,'Lapse Table'!$A$2:$B$11,2,FALSE))/12</f>
        <v>0</v>
      </c>
      <c r="F1493" s="5">
        <f t="shared" si="215"/>
        <v>-47.60768736562035</v>
      </c>
      <c r="G1493" s="6">
        <f t="shared" si="209"/>
        <v>4.9777500000000002E-2</v>
      </c>
      <c r="H1493" s="6">
        <f t="shared" si="210"/>
        <v>0</v>
      </c>
      <c r="I1493" s="7">
        <f t="shared" si="211"/>
        <v>-1586.922912187345</v>
      </c>
      <c r="J1493" s="8">
        <f t="shared" si="212"/>
        <v>49777.5</v>
      </c>
      <c r="K1493" s="7">
        <f t="shared" si="213"/>
        <v>-51364.422912187343</v>
      </c>
      <c r="L1493" s="4">
        <f>IF(A1493&gt;'Yield Curve'!A2107,L1492,(1+VLOOKUP(A1493,'Yield Curve'!A1486:B2108,2,FALSE))^(1/12)-1)</f>
        <v>7.9741404289037643E-3</v>
      </c>
      <c r="M1493" s="5">
        <f t="shared" si="214"/>
        <v>-0.38754097252201458</v>
      </c>
    </row>
    <row r="1494" spans="1:13" x14ac:dyDescent="0.25">
      <c r="A1494" s="4">
        <v>1486</v>
      </c>
      <c r="B1494" s="4">
        <f t="shared" si="207"/>
        <v>168</v>
      </c>
      <c r="C1494" s="4">
        <f t="shared" si="208"/>
        <v>1501</v>
      </c>
      <c r="D1494" s="4">
        <f>IF(B1494&gt;'Mortality Table'!$A$118,D1493,VLOOKUP(B1494,'Mortality Table'!$A$2:$B$118,2,FALSE))</f>
        <v>0.59733000000000003</v>
      </c>
      <c r="E1494" s="4">
        <f>IF(INT((C1494-1)/12)+1&gt;'Lapse Table'!$A$11,E1493,VLOOKUP(INT((C1494-1)/12)+1,'Lapse Table'!$A$2:$B$11,2,FALSE))/12</f>
        <v>0</v>
      </c>
      <c r="F1494" s="5">
        <f t="shared" si="215"/>
        <v>-47.657464865620348</v>
      </c>
      <c r="G1494" s="6">
        <f t="shared" si="209"/>
        <v>4.9777500000000002E-2</v>
      </c>
      <c r="H1494" s="6">
        <f t="shared" si="210"/>
        <v>0</v>
      </c>
      <c r="I1494" s="7">
        <f t="shared" si="211"/>
        <v>-1588.5821621873449</v>
      </c>
      <c r="J1494" s="8">
        <f t="shared" si="212"/>
        <v>49777.5</v>
      </c>
      <c r="K1494" s="7">
        <f t="shared" si="213"/>
        <v>-51366.082162187347</v>
      </c>
      <c r="L1494" s="4">
        <f>IF(A1494&gt;'Yield Curve'!A2108,L1493,(1+VLOOKUP(A1494,'Yield Curve'!A1487:B2109,2,FALSE))^(1/12)-1)</f>
        <v>7.9741404289037643E-3</v>
      </c>
      <c r="M1494" s="5">
        <f t="shared" si="214"/>
        <v>-0.38448753385887174</v>
      </c>
    </row>
    <row r="1495" spans="1:13" x14ac:dyDescent="0.25">
      <c r="A1495" s="4">
        <v>1487</v>
      </c>
      <c r="B1495" s="4">
        <f t="shared" si="207"/>
        <v>168</v>
      </c>
      <c r="C1495" s="4">
        <f t="shared" si="208"/>
        <v>1502</v>
      </c>
      <c r="D1495" s="4">
        <f>IF(B1495&gt;'Mortality Table'!$A$118,D1494,VLOOKUP(B1495,'Mortality Table'!$A$2:$B$118,2,FALSE))</f>
        <v>0.59733000000000003</v>
      </c>
      <c r="E1495" s="4">
        <f>IF(INT((C1495-1)/12)+1&gt;'Lapse Table'!$A$11,E1494,VLOOKUP(INT((C1495-1)/12)+1,'Lapse Table'!$A$2:$B$11,2,FALSE))/12</f>
        <v>0</v>
      </c>
      <c r="F1495" s="5">
        <f t="shared" si="215"/>
        <v>-47.707242365620345</v>
      </c>
      <c r="G1495" s="6">
        <f t="shared" si="209"/>
        <v>4.9777500000000002E-2</v>
      </c>
      <c r="H1495" s="6">
        <f t="shared" si="210"/>
        <v>0</v>
      </c>
      <c r="I1495" s="7">
        <f t="shared" si="211"/>
        <v>-1590.2414121873451</v>
      </c>
      <c r="J1495" s="8">
        <f t="shared" si="212"/>
        <v>49777.5</v>
      </c>
      <c r="K1495" s="7">
        <f t="shared" si="213"/>
        <v>-51367.741412187344</v>
      </c>
      <c r="L1495" s="4">
        <f>IF(A1495&gt;'Yield Curve'!A2109,L1494,(1+VLOOKUP(A1495,'Yield Curve'!A1488:B2110,2,FALSE))^(1/12)-1)</f>
        <v>7.9741404289037643E-3</v>
      </c>
      <c r="M1495" s="5">
        <f t="shared" si="214"/>
        <v>-0.38145815286724505</v>
      </c>
    </row>
    <row r="1496" spans="1:13" x14ac:dyDescent="0.25">
      <c r="A1496" s="4">
        <v>1488</v>
      </c>
      <c r="B1496" s="4">
        <f t="shared" si="207"/>
        <v>169</v>
      </c>
      <c r="C1496" s="4">
        <f t="shared" si="208"/>
        <v>1503</v>
      </c>
      <c r="D1496" s="4">
        <f>IF(B1496&gt;'Mortality Table'!$A$118,D1495,VLOOKUP(B1496,'Mortality Table'!$A$2:$B$118,2,FALSE))</f>
        <v>0.59733000000000003</v>
      </c>
      <c r="E1496" s="4">
        <f>IF(INT((C1496-1)/12)+1&gt;'Lapse Table'!$A$11,E1495,VLOOKUP(INT((C1496-1)/12)+1,'Lapse Table'!$A$2:$B$11,2,FALSE))/12</f>
        <v>0</v>
      </c>
      <c r="F1496" s="5">
        <f t="shared" si="215"/>
        <v>-47.757019865620343</v>
      </c>
      <c r="G1496" s="6">
        <f t="shared" si="209"/>
        <v>4.9777500000000002E-2</v>
      </c>
      <c r="H1496" s="6">
        <f t="shared" si="210"/>
        <v>0</v>
      </c>
      <c r="I1496" s="7">
        <f t="shared" si="211"/>
        <v>-1591.9006621873448</v>
      </c>
      <c r="J1496" s="8">
        <f t="shared" si="212"/>
        <v>49777.5</v>
      </c>
      <c r="K1496" s="7">
        <f t="shared" si="213"/>
        <v>-51369.400662187341</v>
      </c>
      <c r="L1496" s="4">
        <f>IF(A1496&gt;'Yield Curve'!A2110,L1495,(1+VLOOKUP(A1496,'Yield Curve'!A1489:B2111,2,FALSE))^(1/12)-1)</f>
        <v>7.9741404289037643E-3</v>
      </c>
      <c r="M1496" s="5">
        <f t="shared" si="214"/>
        <v>-0.37845264000283091</v>
      </c>
    </row>
    <row r="1497" spans="1:13" x14ac:dyDescent="0.25">
      <c r="A1497" s="4">
        <v>1489</v>
      </c>
      <c r="B1497" s="4">
        <f t="shared" si="207"/>
        <v>169</v>
      </c>
      <c r="C1497" s="4">
        <f t="shared" si="208"/>
        <v>1504</v>
      </c>
      <c r="D1497" s="4">
        <f>IF(B1497&gt;'Mortality Table'!$A$118,D1496,VLOOKUP(B1497,'Mortality Table'!$A$2:$B$118,2,FALSE))</f>
        <v>0.59733000000000003</v>
      </c>
      <c r="E1497" s="4">
        <f>IF(INT((C1497-1)/12)+1&gt;'Lapse Table'!$A$11,E1496,VLOOKUP(INT((C1497-1)/12)+1,'Lapse Table'!$A$2:$B$11,2,FALSE))/12</f>
        <v>0</v>
      </c>
      <c r="F1497" s="5">
        <f t="shared" si="215"/>
        <v>-47.806797365620341</v>
      </c>
      <c r="G1497" s="6">
        <f t="shared" si="209"/>
        <v>4.9777500000000002E-2</v>
      </c>
      <c r="H1497" s="6">
        <f t="shared" si="210"/>
        <v>0</v>
      </c>
      <c r="I1497" s="7">
        <f t="shared" si="211"/>
        <v>-1593.5599121873447</v>
      </c>
      <c r="J1497" s="8">
        <f t="shared" si="212"/>
        <v>49777.5</v>
      </c>
      <c r="K1497" s="7">
        <f t="shared" si="213"/>
        <v>-51371.059912187346</v>
      </c>
      <c r="L1497" s="4">
        <f>IF(A1497&gt;'Yield Curve'!A2111,L1496,(1+VLOOKUP(A1497,'Yield Curve'!A1490:B2112,2,FALSE))^(1/12)-1)</f>
        <v>7.9741404289037643E-3</v>
      </c>
      <c r="M1497" s="5">
        <f t="shared" si="214"/>
        <v>-0.3754708072146723</v>
      </c>
    </row>
    <row r="1498" spans="1:13" x14ac:dyDescent="0.25">
      <c r="A1498" s="4">
        <v>1490</v>
      </c>
      <c r="B1498" s="4">
        <f t="shared" si="207"/>
        <v>169</v>
      </c>
      <c r="C1498" s="4">
        <f t="shared" si="208"/>
        <v>1505</v>
      </c>
      <c r="D1498" s="4">
        <f>IF(B1498&gt;'Mortality Table'!$A$118,D1497,VLOOKUP(B1498,'Mortality Table'!$A$2:$B$118,2,FALSE))</f>
        <v>0.59733000000000003</v>
      </c>
      <c r="E1498" s="4">
        <f>IF(INT((C1498-1)/12)+1&gt;'Lapse Table'!$A$11,E1497,VLOOKUP(INT((C1498-1)/12)+1,'Lapse Table'!$A$2:$B$11,2,FALSE))/12</f>
        <v>0</v>
      </c>
      <c r="F1498" s="5">
        <f t="shared" si="215"/>
        <v>-47.856574865620338</v>
      </c>
      <c r="G1498" s="6">
        <f t="shared" si="209"/>
        <v>4.9777500000000002E-2</v>
      </c>
      <c r="H1498" s="6">
        <f t="shared" si="210"/>
        <v>0</v>
      </c>
      <c r="I1498" s="7">
        <f t="shared" si="211"/>
        <v>-1595.2191621873446</v>
      </c>
      <c r="J1498" s="8">
        <f t="shared" si="212"/>
        <v>49777.5</v>
      </c>
      <c r="K1498" s="7">
        <f t="shared" si="213"/>
        <v>-51372.719162187343</v>
      </c>
      <c r="L1498" s="4">
        <f>IF(A1498&gt;'Yield Curve'!A2112,L1497,(1+VLOOKUP(A1498,'Yield Curve'!A1491:B2113,2,FALSE))^(1/12)-1)</f>
        <v>7.9741404289037643E-3</v>
      </c>
      <c r="M1498" s="5">
        <f t="shared" si="214"/>
        <v>-0.37251246793339332</v>
      </c>
    </row>
    <row r="1499" spans="1:13" x14ac:dyDescent="0.25">
      <c r="A1499" s="4">
        <v>1491</v>
      </c>
      <c r="B1499" s="4">
        <f t="shared" si="207"/>
        <v>169</v>
      </c>
      <c r="C1499" s="4">
        <f t="shared" si="208"/>
        <v>1506</v>
      </c>
      <c r="D1499" s="4">
        <f>IF(B1499&gt;'Mortality Table'!$A$118,D1498,VLOOKUP(B1499,'Mortality Table'!$A$2:$B$118,2,FALSE))</f>
        <v>0.59733000000000003</v>
      </c>
      <c r="E1499" s="4">
        <f>IF(INT((C1499-1)/12)+1&gt;'Lapse Table'!$A$11,E1498,VLOOKUP(INT((C1499-1)/12)+1,'Lapse Table'!$A$2:$B$11,2,FALSE))/12</f>
        <v>0</v>
      </c>
      <c r="F1499" s="5">
        <f t="shared" si="215"/>
        <v>-47.906352365620336</v>
      </c>
      <c r="G1499" s="6">
        <f t="shared" si="209"/>
        <v>4.9777500000000002E-2</v>
      </c>
      <c r="H1499" s="6">
        <f t="shared" si="210"/>
        <v>0</v>
      </c>
      <c r="I1499" s="7">
        <f t="shared" si="211"/>
        <v>-1596.8784121873443</v>
      </c>
      <c r="J1499" s="8">
        <f t="shared" si="212"/>
        <v>49777.5</v>
      </c>
      <c r="K1499" s="7">
        <f t="shared" si="213"/>
        <v>-51374.378412187347</v>
      </c>
      <c r="L1499" s="4">
        <f>IF(A1499&gt;'Yield Curve'!A2113,L1498,(1+VLOOKUP(A1499,'Yield Curve'!A1492:B2114,2,FALSE))^(1/12)-1)</f>
        <v>7.9741404289037643E-3</v>
      </c>
      <c r="M1499" s="5">
        <f t="shared" si="214"/>
        <v>-0.36957743705952667</v>
      </c>
    </row>
    <row r="1500" spans="1:13" x14ac:dyDescent="0.25">
      <c r="A1500" s="4">
        <v>1492</v>
      </c>
      <c r="B1500" s="4">
        <f t="shared" si="207"/>
        <v>169</v>
      </c>
      <c r="C1500" s="4">
        <f t="shared" si="208"/>
        <v>1507</v>
      </c>
      <c r="D1500" s="4">
        <f>IF(B1500&gt;'Mortality Table'!$A$118,D1499,VLOOKUP(B1500,'Mortality Table'!$A$2:$B$118,2,FALSE))</f>
        <v>0.59733000000000003</v>
      </c>
      <c r="E1500" s="4">
        <f>IF(INT((C1500-1)/12)+1&gt;'Lapse Table'!$A$11,E1499,VLOOKUP(INT((C1500-1)/12)+1,'Lapse Table'!$A$2:$B$11,2,FALSE))/12</f>
        <v>0</v>
      </c>
      <c r="F1500" s="5">
        <f t="shared" si="215"/>
        <v>-47.956129865620333</v>
      </c>
      <c r="G1500" s="6">
        <f t="shared" si="209"/>
        <v>4.9777500000000002E-2</v>
      </c>
      <c r="H1500" s="6">
        <f t="shared" si="210"/>
        <v>0</v>
      </c>
      <c r="I1500" s="7">
        <f t="shared" si="211"/>
        <v>-1598.5376621873445</v>
      </c>
      <c r="J1500" s="8">
        <f t="shared" si="212"/>
        <v>49777.5</v>
      </c>
      <c r="K1500" s="7">
        <f t="shared" si="213"/>
        <v>-51376.037662187344</v>
      </c>
      <c r="L1500" s="4">
        <f>IF(A1500&gt;'Yield Curve'!A2114,L1499,(1+VLOOKUP(A1500,'Yield Curve'!A1493:B2115,2,FALSE))^(1/12)-1)</f>
        <v>7.9741404289037643E-3</v>
      </c>
      <c r="M1500" s="5">
        <f t="shared" si="214"/>
        <v>-0.36666553095193266</v>
      </c>
    </row>
    <row r="1501" spans="1:13" x14ac:dyDescent="0.25">
      <c r="A1501" s="4">
        <v>1493</v>
      </c>
      <c r="B1501" s="4">
        <f t="shared" si="207"/>
        <v>169</v>
      </c>
      <c r="C1501" s="4">
        <f t="shared" si="208"/>
        <v>1508</v>
      </c>
      <c r="D1501" s="4">
        <f>IF(B1501&gt;'Mortality Table'!$A$118,D1500,VLOOKUP(B1501,'Mortality Table'!$A$2:$B$118,2,FALSE))</f>
        <v>0.59733000000000003</v>
      </c>
      <c r="E1501" s="4">
        <f>IF(INT((C1501-1)/12)+1&gt;'Lapse Table'!$A$11,E1500,VLOOKUP(INT((C1501-1)/12)+1,'Lapse Table'!$A$2:$B$11,2,FALSE))/12</f>
        <v>0</v>
      </c>
      <c r="F1501" s="5">
        <f t="shared" si="215"/>
        <v>-48.005907365620331</v>
      </c>
      <c r="G1501" s="6">
        <f t="shared" si="209"/>
        <v>4.9777500000000002E-2</v>
      </c>
      <c r="H1501" s="6">
        <f t="shared" si="210"/>
        <v>0</v>
      </c>
      <c r="I1501" s="7">
        <f t="shared" si="211"/>
        <v>-1600.1969121873444</v>
      </c>
      <c r="J1501" s="8">
        <f t="shared" si="212"/>
        <v>49777.5</v>
      </c>
      <c r="K1501" s="7">
        <f t="shared" si="213"/>
        <v>-51377.696912187341</v>
      </c>
      <c r="L1501" s="4">
        <f>IF(A1501&gt;'Yield Curve'!A2115,L1500,(1+VLOOKUP(A1501,'Yield Curve'!A1494:B2116,2,FALSE))^(1/12)-1)</f>
        <v>7.9741404289037643E-3</v>
      </c>
      <c r="M1501" s="5">
        <f t="shared" si="214"/>
        <v>-0.36377656741631048</v>
      </c>
    </row>
    <row r="1502" spans="1:13" x14ac:dyDescent="0.25">
      <c r="A1502" s="4">
        <v>1494</v>
      </c>
      <c r="B1502" s="4">
        <f t="shared" si="207"/>
        <v>169</v>
      </c>
      <c r="C1502" s="4">
        <f t="shared" si="208"/>
        <v>1509</v>
      </c>
      <c r="D1502" s="4">
        <f>IF(B1502&gt;'Mortality Table'!$A$118,D1501,VLOOKUP(B1502,'Mortality Table'!$A$2:$B$118,2,FALSE))</f>
        <v>0.59733000000000003</v>
      </c>
      <c r="E1502" s="4">
        <f>IF(INT((C1502-1)/12)+1&gt;'Lapse Table'!$A$11,E1501,VLOOKUP(INT((C1502-1)/12)+1,'Lapse Table'!$A$2:$B$11,2,FALSE))/12</f>
        <v>0</v>
      </c>
      <c r="F1502" s="5">
        <f t="shared" si="215"/>
        <v>-48.055684865620329</v>
      </c>
      <c r="G1502" s="6">
        <f t="shared" si="209"/>
        <v>4.9777500000000002E-2</v>
      </c>
      <c r="H1502" s="6">
        <f t="shared" si="210"/>
        <v>0</v>
      </c>
      <c r="I1502" s="7">
        <f t="shared" si="211"/>
        <v>-1601.8561621873444</v>
      </c>
      <c r="J1502" s="8">
        <f t="shared" si="212"/>
        <v>49777.5</v>
      </c>
      <c r="K1502" s="7">
        <f t="shared" si="213"/>
        <v>-51379.356162187345</v>
      </c>
      <c r="L1502" s="4">
        <f>IF(A1502&gt;'Yield Curve'!A2116,L1501,(1+VLOOKUP(A1502,'Yield Curve'!A1495:B2117,2,FALSE))^(1/12)-1)</f>
        <v>7.9741404289037643E-3</v>
      </c>
      <c r="M1502" s="5">
        <f t="shared" si="214"/>
        <v>-0.36091036569379886</v>
      </c>
    </row>
    <row r="1503" spans="1:13" x14ac:dyDescent="0.25">
      <c r="A1503" s="4">
        <v>1495</v>
      </c>
      <c r="B1503" s="4">
        <f t="shared" si="207"/>
        <v>169</v>
      </c>
      <c r="C1503" s="4">
        <f t="shared" si="208"/>
        <v>1510</v>
      </c>
      <c r="D1503" s="4">
        <f>IF(B1503&gt;'Mortality Table'!$A$118,D1502,VLOOKUP(B1503,'Mortality Table'!$A$2:$B$118,2,FALSE))</f>
        <v>0.59733000000000003</v>
      </c>
      <c r="E1503" s="4">
        <f>IF(INT((C1503-1)/12)+1&gt;'Lapse Table'!$A$11,E1502,VLOOKUP(INT((C1503-1)/12)+1,'Lapse Table'!$A$2:$B$11,2,FALSE))/12</f>
        <v>0</v>
      </c>
      <c r="F1503" s="5">
        <f t="shared" si="215"/>
        <v>-48.105462365620326</v>
      </c>
      <c r="G1503" s="6">
        <f t="shared" si="209"/>
        <v>4.9777500000000002E-2</v>
      </c>
      <c r="H1503" s="6">
        <f t="shared" si="210"/>
        <v>0</v>
      </c>
      <c r="I1503" s="7">
        <f t="shared" si="211"/>
        <v>-1603.5154121873441</v>
      </c>
      <c r="J1503" s="8">
        <f t="shared" si="212"/>
        <v>49777.5</v>
      </c>
      <c r="K1503" s="7">
        <f t="shared" si="213"/>
        <v>-51381.015412187342</v>
      </c>
      <c r="L1503" s="4">
        <f>IF(A1503&gt;'Yield Curve'!A2117,L1502,(1+VLOOKUP(A1503,'Yield Curve'!A1496:B2118,2,FALSE))^(1/12)-1)</f>
        <v>7.9741404289037643E-3</v>
      </c>
      <c r="M1503" s="5">
        <f t="shared" si="214"/>
        <v>-0.35806674644966685</v>
      </c>
    </row>
    <row r="1504" spans="1:13" x14ac:dyDescent="0.25">
      <c r="A1504" s="4">
        <v>1496</v>
      </c>
      <c r="B1504" s="4">
        <f t="shared" si="207"/>
        <v>169</v>
      </c>
      <c r="C1504" s="4">
        <f t="shared" si="208"/>
        <v>1511</v>
      </c>
      <c r="D1504" s="4">
        <f>IF(B1504&gt;'Mortality Table'!$A$118,D1503,VLOOKUP(B1504,'Mortality Table'!$A$2:$B$118,2,FALSE))</f>
        <v>0.59733000000000003</v>
      </c>
      <c r="E1504" s="4">
        <f>IF(INT((C1504-1)/12)+1&gt;'Lapse Table'!$A$11,E1503,VLOOKUP(INT((C1504-1)/12)+1,'Lapse Table'!$A$2:$B$11,2,FALSE))/12</f>
        <v>0</v>
      </c>
      <c r="F1504" s="5">
        <f t="shared" si="215"/>
        <v>-48.155239865620324</v>
      </c>
      <c r="G1504" s="6">
        <f t="shared" si="209"/>
        <v>4.9777500000000002E-2</v>
      </c>
      <c r="H1504" s="6">
        <f t="shared" si="210"/>
        <v>0</v>
      </c>
      <c r="I1504" s="7">
        <f t="shared" si="211"/>
        <v>-1605.1746621873442</v>
      </c>
      <c r="J1504" s="8">
        <f t="shared" si="212"/>
        <v>49777.5</v>
      </c>
      <c r="K1504" s="7">
        <f t="shared" si="213"/>
        <v>-51382.674662187346</v>
      </c>
      <c r="L1504" s="4">
        <f>IF(A1504&gt;'Yield Curve'!A2118,L1503,(1+VLOOKUP(A1504,'Yield Curve'!A1497:B2119,2,FALSE))^(1/12)-1)</f>
        <v>7.9741404289037643E-3</v>
      </c>
      <c r="M1504" s="5">
        <f t="shared" si="214"/>
        <v>-0.35524553176209411</v>
      </c>
    </row>
    <row r="1505" spans="1:13" x14ac:dyDescent="0.25">
      <c r="A1505" s="4">
        <v>1497</v>
      </c>
      <c r="B1505" s="4">
        <f t="shared" si="207"/>
        <v>169</v>
      </c>
      <c r="C1505" s="4">
        <f t="shared" si="208"/>
        <v>1512</v>
      </c>
      <c r="D1505" s="4">
        <f>IF(B1505&gt;'Mortality Table'!$A$118,D1504,VLOOKUP(B1505,'Mortality Table'!$A$2:$B$118,2,FALSE))</f>
        <v>0.59733000000000003</v>
      </c>
      <c r="E1505" s="4">
        <f>IF(INT((C1505-1)/12)+1&gt;'Lapse Table'!$A$11,E1504,VLOOKUP(INT((C1505-1)/12)+1,'Lapse Table'!$A$2:$B$11,2,FALSE))/12</f>
        <v>0</v>
      </c>
      <c r="F1505" s="5">
        <f t="shared" si="215"/>
        <v>-48.205017365620321</v>
      </c>
      <c r="G1505" s="6">
        <f t="shared" si="209"/>
        <v>4.9777500000000002E-2</v>
      </c>
      <c r="H1505" s="6">
        <f t="shared" si="210"/>
        <v>0</v>
      </c>
      <c r="I1505" s="7">
        <f t="shared" si="211"/>
        <v>-1606.8339121873441</v>
      </c>
      <c r="J1505" s="8">
        <f t="shared" si="212"/>
        <v>49777.5</v>
      </c>
      <c r="K1505" s="7">
        <f t="shared" si="213"/>
        <v>-51384.333912187343</v>
      </c>
      <c r="L1505" s="4">
        <f>IF(A1505&gt;'Yield Curve'!A2119,L1504,(1+VLOOKUP(A1505,'Yield Curve'!A1498:B2120,2,FALSE))^(1/12)-1)</f>
        <v>7.9741404289037643E-3</v>
      </c>
      <c r="M1505" s="5">
        <f t="shared" si="214"/>
        <v>-0.35244654511103918</v>
      </c>
    </row>
    <row r="1506" spans="1:13" x14ac:dyDescent="0.25">
      <c r="A1506" s="4">
        <v>1498</v>
      </c>
      <c r="B1506" s="4">
        <f t="shared" si="207"/>
        <v>169</v>
      </c>
      <c r="C1506" s="4">
        <f t="shared" si="208"/>
        <v>1513</v>
      </c>
      <c r="D1506" s="4">
        <f>IF(B1506&gt;'Mortality Table'!$A$118,D1505,VLOOKUP(B1506,'Mortality Table'!$A$2:$B$118,2,FALSE))</f>
        <v>0.59733000000000003</v>
      </c>
      <c r="E1506" s="4">
        <f>IF(INT((C1506-1)/12)+1&gt;'Lapse Table'!$A$11,E1505,VLOOKUP(INT((C1506-1)/12)+1,'Lapse Table'!$A$2:$B$11,2,FALSE))/12</f>
        <v>0</v>
      </c>
      <c r="F1506" s="5">
        <f t="shared" si="215"/>
        <v>-48.254794865620319</v>
      </c>
      <c r="G1506" s="6">
        <f t="shared" si="209"/>
        <v>4.9777500000000002E-2</v>
      </c>
      <c r="H1506" s="6">
        <f t="shared" si="210"/>
        <v>0</v>
      </c>
      <c r="I1506" s="7">
        <f t="shared" si="211"/>
        <v>-1608.4931621873438</v>
      </c>
      <c r="J1506" s="8">
        <f t="shared" si="212"/>
        <v>49777.5</v>
      </c>
      <c r="K1506" s="7">
        <f t="shared" si="213"/>
        <v>-51385.99316218734</v>
      </c>
      <c r="L1506" s="4">
        <f>IF(A1506&gt;'Yield Curve'!A2120,L1505,(1+VLOOKUP(A1506,'Yield Curve'!A1499:B2121,2,FALSE))^(1/12)-1)</f>
        <v>7.9741404289037643E-3</v>
      </c>
      <c r="M1506" s="5">
        <f t="shared" si="214"/>
        <v>-0.34966961136719577</v>
      </c>
    </row>
    <row r="1507" spans="1:13" x14ac:dyDescent="0.25">
      <c r="A1507" s="4">
        <v>1499</v>
      </c>
      <c r="B1507" s="4">
        <f t="shared" si="207"/>
        <v>169</v>
      </c>
      <c r="C1507" s="4">
        <f t="shared" si="208"/>
        <v>1514</v>
      </c>
      <c r="D1507" s="4">
        <f>IF(B1507&gt;'Mortality Table'!$A$118,D1506,VLOOKUP(B1507,'Mortality Table'!$A$2:$B$118,2,FALSE))</f>
        <v>0.59733000000000003</v>
      </c>
      <c r="E1507" s="4">
        <f>IF(INT((C1507-1)/12)+1&gt;'Lapse Table'!$A$11,E1506,VLOOKUP(INT((C1507-1)/12)+1,'Lapse Table'!$A$2:$B$11,2,FALSE))/12</f>
        <v>0</v>
      </c>
      <c r="F1507" s="5">
        <f t="shared" si="215"/>
        <v>-48.304572365620317</v>
      </c>
      <c r="G1507" s="6">
        <f t="shared" si="209"/>
        <v>4.9777500000000002E-2</v>
      </c>
      <c r="H1507" s="6">
        <f t="shared" si="210"/>
        <v>0</v>
      </c>
      <c r="I1507" s="7">
        <f t="shared" si="211"/>
        <v>-1610.1524121873438</v>
      </c>
      <c r="J1507" s="8">
        <f t="shared" si="212"/>
        <v>49777.5</v>
      </c>
      <c r="K1507" s="7">
        <f t="shared" si="213"/>
        <v>-51387.652412187344</v>
      </c>
      <c r="L1507" s="4">
        <f>IF(A1507&gt;'Yield Curve'!A2121,L1506,(1+VLOOKUP(A1507,'Yield Curve'!A1500:B2122,2,FALSE))^(1/12)-1)</f>
        <v>7.9741404289037643E-3</v>
      </c>
      <c r="M1507" s="5">
        <f t="shared" si="214"/>
        <v>-0.34691455678103567</v>
      </c>
    </row>
    <row r="1508" spans="1:13" x14ac:dyDescent="0.25">
      <c r="A1508" s="4">
        <v>1500</v>
      </c>
      <c r="B1508" s="4">
        <f t="shared" si="207"/>
        <v>170</v>
      </c>
      <c r="C1508" s="4">
        <f t="shared" si="208"/>
        <v>1515</v>
      </c>
      <c r="D1508" s="4">
        <f>IF(B1508&gt;'Mortality Table'!$A$118,D1507,VLOOKUP(B1508,'Mortality Table'!$A$2:$B$118,2,FALSE))</f>
        <v>0.59733000000000003</v>
      </c>
      <c r="E1508" s="4">
        <f>IF(INT((C1508-1)/12)+1&gt;'Lapse Table'!$A$11,E1507,VLOOKUP(INT((C1508-1)/12)+1,'Lapse Table'!$A$2:$B$11,2,FALSE))/12</f>
        <v>0</v>
      </c>
      <c r="F1508" s="5">
        <f t="shared" si="215"/>
        <v>-48.354349865620314</v>
      </c>
      <c r="G1508" s="6">
        <f t="shared" si="209"/>
        <v>4.9777500000000002E-2</v>
      </c>
      <c r="H1508" s="6">
        <f t="shared" si="210"/>
        <v>0</v>
      </c>
      <c r="I1508" s="7">
        <f t="shared" si="211"/>
        <v>-1611.8116621873439</v>
      </c>
      <c r="J1508" s="8">
        <f t="shared" si="212"/>
        <v>49777.5</v>
      </c>
      <c r="K1508" s="7">
        <f t="shared" si="213"/>
        <v>-51389.311662187341</v>
      </c>
      <c r="L1508" s="4">
        <f>IF(A1508&gt;'Yield Curve'!A2122,L1507,(1+VLOOKUP(A1508,'Yield Curve'!A1501:B2123,2,FALSE))^(1/12)-1)</f>
        <v>7.9741404289037643E-3</v>
      </c>
      <c r="M1508" s="5">
        <f t="shared" si="214"/>
        <v>-0.34418120897193799</v>
      </c>
    </row>
    <row r="1509" spans="1:13" x14ac:dyDescent="0.25">
      <c r="A1509" s="4">
        <v>1501</v>
      </c>
      <c r="B1509" s="4">
        <f t="shared" si="207"/>
        <v>170</v>
      </c>
      <c r="C1509" s="4">
        <f t="shared" si="208"/>
        <v>1516</v>
      </c>
      <c r="D1509" s="4">
        <f>IF(B1509&gt;'Mortality Table'!$A$118,D1508,VLOOKUP(B1509,'Mortality Table'!$A$2:$B$118,2,FALSE))</f>
        <v>0.59733000000000003</v>
      </c>
      <c r="E1509" s="4">
        <f>IF(INT((C1509-1)/12)+1&gt;'Lapse Table'!$A$11,E1508,VLOOKUP(INT((C1509-1)/12)+1,'Lapse Table'!$A$2:$B$11,2,FALSE))/12</f>
        <v>0</v>
      </c>
      <c r="F1509" s="5">
        <f t="shared" si="215"/>
        <v>-48.404127365620312</v>
      </c>
      <c r="G1509" s="6">
        <f t="shared" si="209"/>
        <v>4.9777500000000002E-2</v>
      </c>
      <c r="H1509" s="6">
        <f t="shared" si="210"/>
        <v>0</v>
      </c>
      <c r="I1509" s="7">
        <f t="shared" si="211"/>
        <v>-1613.4709121873439</v>
      </c>
      <c r="J1509" s="8">
        <f t="shared" si="212"/>
        <v>49777.5</v>
      </c>
      <c r="K1509" s="7">
        <f t="shared" si="213"/>
        <v>-51390.970912187346</v>
      </c>
      <c r="L1509" s="4">
        <f>IF(A1509&gt;'Yield Curve'!A2123,L1508,(1+VLOOKUP(A1509,'Yield Curve'!A1502:B2124,2,FALSE))^(1/12)-1)</f>
        <v>7.9741404289037643E-3</v>
      </c>
      <c r="M1509" s="5">
        <f t="shared" si="214"/>
        <v>-0.34146939691740469</v>
      </c>
    </row>
    <row r="1510" spans="1:13" x14ac:dyDescent="0.25">
      <c r="A1510" s="4">
        <v>1502</v>
      </c>
      <c r="B1510" s="4">
        <f t="shared" si="207"/>
        <v>170</v>
      </c>
      <c r="C1510" s="4">
        <f t="shared" si="208"/>
        <v>1517</v>
      </c>
      <c r="D1510" s="4">
        <f>IF(B1510&gt;'Mortality Table'!$A$118,D1509,VLOOKUP(B1510,'Mortality Table'!$A$2:$B$118,2,FALSE))</f>
        <v>0.59733000000000003</v>
      </c>
      <c r="E1510" s="4">
        <f>IF(INT((C1510-1)/12)+1&gt;'Lapse Table'!$A$11,E1509,VLOOKUP(INT((C1510-1)/12)+1,'Lapse Table'!$A$2:$B$11,2,FALSE))/12</f>
        <v>0</v>
      </c>
      <c r="F1510" s="5">
        <f t="shared" si="215"/>
        <v>-48.453904865620309</v>
      </c>
      <c r="G1510" s="6">
        <f t="shared" si="209"/>
        <v>4.9777500000000002E-2</v>
      </c>
      <c r="H1510" s="6">
        <f t="shared" si="210"/>
        <v>0</v>
      </c>
      <c r="I1510" s="7">
        <f t="shared" si="211"/>
        <v>-1615.1301621873436</v>
      </c>
      <c r="J1510" s="8">
        <f t="shared" si="212"/>
        <v>49777.5</v>
      </c>
      <c r="K1510" s="7">
        <f t="shared" si="213"/>
        <v>-51392.630162187343</v>
      </c>
      <c r="L1510" s="4">
        <f>IF(A1510&gt;'Yield Curve'!A2124,L1509,(1+VLOOKUP(A1510,'Yield Curve'!A1503:B2125,2,FALSE))^(1/12)-1)</f>
        <v>7.9741404289037643E-3</v>
      </c>
      <c r="M1510" s="5">
        <f t="shared" si="214"/>
        <v>-0.33877895094236038</v>
      </c>
    </row>
    <row r="1511" spans="1:13" x14ac:dyDescent="0.25">
      <c r="A1511" s="4">
        <v>1503</v>
      </c>
      <c r="B1511" s="4">
        <f t="shared" si="207"/>
        <v>170</v>
      </c>
      <c r="C1511" s="4">
        <f t="shared" si="208"/>
        <v>1518</v>
      </c>
      <c r="D1511" s="4">
        <f>IF(B1511&gt;'Mortality Table'!$A$118,D1510,VLOOKUP(B1511,'Mortality Table'!$A$2:$B$118,2,FALSE))</f>
        <v>0.59733000000000003</v>
      </c>
      <c r="E1511" s="4">
        <f>IF(INT((C1511-1)/12)+1&gt;'Lapse Table'!$A$11,E1510,VLOOKUP(INT((C1511-1)/12)+1,'Lapse Table'!$A$2:$B$11,2,FALSE))/12</f>
        <v>0</v>
      </c>
      <c r="F1511" s="5">
        <f t="shared" si="215"/>
        <v>-48.503682365620307</v>
      </c>
      <c r="G1511" s="6">
        <f t="shared" si="209"/>
        <v>4.9777500000000002E-2</v>
      </c>
      <c r="H1511" s="6">
        <f t="shared" si="210"/>
        <v>0</v>
      </c>
      <c r="I1511" s="7">
        <f t="shared" si="211"/>
        <v>-1616.7894121873435</v>
      </c>
      <c r="J1511" s="8">
        <f t="shared" si="212"/>
        <v>49777.5</v>
      </c>
      <c r="K1511" s="7">
        <f t="shared" si="213"/>
        <v>-51394.289412187347</v>
      </c>
      <c r="L1511" s="4">
        <f>IF(A1511&gt;'Yield Curve'!A2125,L1510,(1+VLOOKUP(A1511,'Yield Curve'!A1504:B2126,2,FALSE))^(1/12)-1)</f>
        <v>7.9741404289037643E-3</v>
      </c>
      <c r="M1511" s="5">
        <f t="shared" si="214"/>
        <v>-0.33610970270853668</v>
      </c>
    </row>
    <row r="1512" spans="1:13" x14ac:dyDescent="0.25">
      <c r="A1512" s="4">
        <v>1504</v>
      </c>
      <c r="B1512" s="4">
        <f t="shared" si="207"/>
        <v>170</v>
      </c>
      <c r="C1512" s="4">
        <f t="shared" si="208"/>
        <v>1519</v>
      </c>
      <c r="D1512" s="4">
        <f>IF(B1512&gt;'Mortality Table'!$A$118,D1511,VLOOKUP(B1512,'Mortality Table'!$A$2:$B$118,2,FALSE))</f>
        <v>0.59733000000000003</v>
      </c>
      <c r="E1512" s="4">
        <f>IF(INT((C1512-1)/12)+1&gt;'Lapse Table'!$A$11,E1511,VLOOKUP(INT((C1512-1)/12)+1,'Lapse Table'!$A$2:$B$11,2,FALSE))/12</f>
        <v>0</v>
      </c>
      <c r="F1512" s="5">
        <f t="shared" si="215"/>
        <v>-48.553459865620304</v>
      </c>
      <c r="G1512" s="6">
        <f t="shared" si="209"/>
        <v>4.9777500000000002E-2</v>
      </c>
      <c r="H1512" s="6">
        <f t="shared" si="210"/>
        <v>0</v>
      </c>
      <c r="I1512" s="7">
        <f t="shared" si="211"/>
        <v>-1618.4486621873436</v>
      </c>
      <c r="J1512" s="8">
        <f t="shared" si="212"/>
        <v>49777.5</v>
      </c>
      <c r="K1512" s="7">
        <f t="shared" si="213"/>
        <v>-51395.948662187344</v>
      </c>
      <c r="L1512" s="4">
        <f>IF(A1512&gt;'Yield Curve'!A2126,L1511,(1+VLOOKUP(A1512,'Yield Curve'!A1505:B2127,2,FALSE))^(1/12)-1)</f>
        <v>7.9741404289037643E-3</v>
      </c>
      <c r="M1512" s="5">
        <f t="shared" si="214"/>
        <v>-0.33346148520393976</v>
      </c>
    </row>
    <row r="1513" spans="1:13" x14ac:dyDescent="0.25">
      <c r="A1513" s="4">
        <v>1505</v>
      </c>
      <c r="B1513" s="4">
        <f t="shared" si="207"/>
        <v>170</v>
      </c>
      <c r="C1513" s="4">
        <f t="shared" si="208"/>
        <v>1520</v>
      </c>
      <c r="D1513" s="4">
        <f>IF(B1513&gt;'Mortality Table'!$A$118,D1512,VLOOKUP(B1513,'Mortality Table'!$A$2:$B$118,2,FALSE))</f>
        <v>0.59733000000000003</v>
      </c>
      <c r="E1513" s="4">
        <f>IF(INT((C1513-1)/12)+1&gt;'Lapse Table'!$A$11,E1512,VLOOKUP(INT((C1513-1)/12)+1,'Lapse Table'!$A$2:$B$11,2,FALSE))/12</f>
        <v>0</v>
      </c>
      <c r="F1513" s="5">
        <f t="shared" si="215"/>
        <v>-48.603237365620302</v>
      </c>
      <c r="G1513" s="6">
        <f t="shared" si="209"/>
        <v>4.9777500000000002E-2</v>
      </c>
      <c r="H1513" s="6">
        <f t="shared" si="210"/>
        <v>0</v>
      </c>
      <c r="I1513" s="7">
        <f t="shared" si="211"/>
        <v>-1620.1079121873433</v>
      </c>
      <c r="J1513" s="8">
        <f t="shared" si="212"/>
        <v>49777.5</v>
      </c>
      <c r="K1513" s="7">
        <f t="shared" si="213"/>
        <v>-51397.607912187341</v>
      </c>
      <c r="L1513" s="4">
        <f>IF(A1513&gt;'Yield Curve'!A2127,L1512,(1+VLOOKUP(A1513,'Yield Curve'!A1506:B2128,2,FALSE))^(1/12)-1)</f>
        <v>7.9741404289037643E-3</v>
      </c>
      <c r="M1513" s="5">
        <f t="shared" si="214"/>
        <v>-0.33083413273240247</v>
      </c>
    </row>
    <row r="1514" spans="1:13" x14ac:dyDescent="0.25">
      <c r="A1514" s="4">
        <v>1506</v>
      </c>
      <c r="B1514" s="4">
        <f t="shared" si="207"/>
        <v>170</v>
      </c>
      <c r="C1514" s="4">
        <f t="shared" si="208"/>
        <v>1521</v>
      </c>
      <c r="D1514" s="4">
        <f>IF(B1514&gt;'Mortality Table'!$A$118,D1513,VLOOKUP(B1514,'Mortality Table'!$A$2:$B$118,2,FALSE))</f>
        <v>0.59733000000000003</v>
      </c>
      <c r="E1514" s="4">
        <f>IF(INT((C1514-1)/12)+1&gt;'Lapse Table'!$A$11,E1513,VLOOKUP(INT((C1514-1)/12)+1,'Lapse Table'!$A$2:$B$11,2,FALSE))/12</f>
        <v>0</v>
      </c>
      <c r="F1514" s="5">
        <f t="shared" si="215"/>
        <v>-48.6530148656203</v>
      </c>
      <c r="G1514" s="6">
        <f t="shared" si="209"/>
        <v>4.9777500000000002E-2</v>
      </c>
      <c r="H1514" s="6">
        <f t="shared" si="210"/>
        <v>0</v>
      </c>
      <c r="I1514" s="7">
        <f t="shared" si="211"/>
        <v>-1621.7671621873433</v>
      </c>
      <c r="J1514" s="8">
        <f t="shared" si="212"/>
        <v>49777.5</v>
      </c>
      <c r="K1514" s="7">
        <f t="shared" si="213"/>
        <v>-51399.267162187345</v>
      </c>
      <c r="L1514" s="4">
        <f>IF(A1514&gt;'Yield Curve'!A2128,L1513,(1+VLOOKUP(A1514,'Yield Curve'!A1507:B2129,2,FALSE))^(1/12)-1)</f>
        <v>7.9741404289037643E-3</v>
      </c>
      <c r="M1514" s="5">
        <f t="shared" si="214"/>
        <v>-0.32822748090321641</v>
      </c>
    </row>
    <row r="1515" spans="1:13" x14ac:dyDescent="0.25">
      <c r="A1515" s="4">
        <v>1507</v>
      </c>
      <c r="B1515" s="4">
        <f t="shared" si="207"/>
        <v>170</v>
      </c>
      <c r="C1515" s="4">
        <f t="shared" si="208"/>
        <v>1522</v>
      </c>
      <c r="D1515" s="4">
        <f>IF(B1515&gt;'Mortality Table'!$A$118,D1514,VLOOKUP(B1515,'Mortality Table'!$A$2:$B$118,2,FALSE))</f>
        <v>0.59733000000000003</v>
      </c>
      <c r="E1515" s="4">
        <f>IF(INT((C1515-1)/12)+1&gt;'Lapse Table'!$A$11,E1514,VLOOKUP(INT((C1515-1)/12)+1,'Lapse Table'!$A$2:$B$11,2,FALSE))/12</f>
        <v>0</v>
      </c>
      <c r="F1515" s="5">
        <f t="shared" si="215"/>
        <v>-48.702792365620297</v>
      </c>
      <c r="G1515" s="6">
        <f t="shared" si="209"/>
        <v>4.9777500000000002E-2</v>
      </c>
      <c r="H1515" s="6">
        <f t="shared" si="210"/>
        <v>0</v>
      </c>
      <c r="I1515" s="7">
        <f t="shared" si="211"/>
        <v>-1623.4264121873432</v>
      </c>
      <c r="J1515" s="8">
        <f t="shared" si="212"/>
        <v>49777.5</v>
      </c>
      <c r="K1515" s="7">
        <f t="shared" si="213"/>
        <v>-51400.926412187342</v>
      </c>
      <c r="L1515" s="4">
        <f>IF(A1515&gt;'Yield Curve'!A2129,L1514,(1+VLOOKUP(A1515,'Yield Curve'!A1508:B2130,2,FALSE))^(1/12)-1)</f>
        <v>7.9741404289037643E-3</v>
      </c>
      <c r="M1515" s="5">
        <f t="shared" si="214"/>
        <v>-0.32564136662084747</v>
      </c>
    </row>
    <row r="1516" spans="1:13" x14ac:dyDescent="0.25">
      <c r="A1516" s="4">
        <v>1508</v>
      </c>
      <c r="B1516" s="4">
        <f t="shared" si="207"/>
        <v>170</v>
      </c>
      <c r="C1516" s="4">
        <f t="shared" si="208"/>
        <v>1523</v>
      </c>
      <c r="D1516" s="4">
        <f>IF(B1516&gt;'Mortality Table'!$A$118,D1515,VLOOKUP(B1516,'Mortality Table'!$A$2:$B$118,2,FALSE))</f>
        <v>0.59733000000000003</v>
      </c>
      <c r="E1516" s="4">
        <f>IF(INT((C1516-1)/12)+1&gt;'Lapse Table'!$A$11,E1515,VLOOKUP(INT((C1516-1)/12)+1,'Lapse Table'!$A$2:$B$11,2,FALSE))/12</f>
        <v>0</v>
      </c>
      <c r="F1516" s="5">
        <f t="shared" si="215"/>
        <v>-48.752569865620295</v>
      </c>
      <c r="G1516" s="6">
        <f t="shared" si="209"/>
        <v>4.9777500000000002E-2</v>
      </c>
      <c r="H1516" s="6">
        <f t="shared" si="210"/>
        <v>0</v>
      </c>
      <c r="I1516" s="7">
        <f t="shared" si="211"/>
        <v>-1625.0856621873434</v>
      </c>
      <c r="J1516" s="8">
        <f t="shared" si="212"/>
        <v>49777.5</v>
      </c>
      <c r="K1516" s="7">
        <f t="shared" si="213"/>
        <v>-51402.585662187346</v>
      </c>
      <c r="L1516" s="4">
        <f>IF(A1516&gt;'Yield Curve'!A2130,L1515,(1+VLOOKUP(A1516,'Yield Curve'!A1509:B2131,2,FALSE))^(1/12)-1)</f>
        <v>7.9741404289037643E-3</v>
      </c>
      <c r="M1516" s="5">
        <f t="shared" si="214"/>
        <v>-0.32307562807473122</v>
      </c>
    </row>
    <row r="1517" spans="1:13" x14ac:dyDescent="0.25">
      <c r="A1517" s="4">
        <v>1509</v>
      </c>
      <c r="B1517" s="4">
        <f t="shared" si="207"/>
        <v>170</v>
      </c>
      <c r="C1517" s="4">
        <f t="shared" si="208"/>
        <v>1524</v>
      </c>
      <c r="D1517" s="4">
        <f>IF(B1517&gt;'Mortality Table'!$A$118,D1516,VLOOKUP(B1517,'Mortality Table'!$A$2:$B$118,2,FALSE))</f>
        <v>0.59733000000000003</v>
      </c>
      <c r="E1517" s="4">
        <f>IF(INT((C1517-1)/12)+1&gt;'Lapse Table'!$A$11,E1516,VLOOKUP(INT((C1517-1)/12)+1,'Lapse Table'!$A$2:$B$11,2,FALSE))/12</f>
        <v>0</v>
      </c>
      <c r="F1517" s="5">
        <f t="shared" si="215"/>
        <v>-48.802347365620292</v>
      </c>
      <c r="G1517" s="6">
        <f t="shared" si="209"/>
        <v>4.9777500000000002E-2</v>
      </c>
      <c r="H1517" s="6">
        <f t="shared" si="210"/>
        <v>0</v>
      </c>
      <c r="I1517" s="7">
        <f t="shared" si="211"/>
        <v>-1626.7449121873431</v>
      </c>
      <c r="J1517" s="8">
        <f t="shared" si="212"/>
        <v>49777.5</v>
      </c>
      <c r="K1517" s="7">
        <f t="shared" si="213"/>
        <v>-51404.244912187343</v>
      </c>
      <c r="L1517" s="4">
        <f>IF(A1517&gt;'Yield Curve'!A2131,L1516,(1+VLOOKUP(A1517,'Yield Curve'!A1510:B2132,2,FALSE))^(1/12)-1)</f>
        <v>7.9741404289037643E-3</v>
      </c>
      <c r="M1517" s="5">
        <f t="shared" si="214"/>
        <v>-0.32053010472915022</v>
      </c>
    </row>
    <row r="1518" spans="1:13" x14ac:dyDescent="0.25">
      <c r="A1518" s="4">
        <v>1510</v>
      </c>
      <c r="B1518" s="4">
        <f t="shared" si="207"/>
        <v>170</v>
      </c>
      <c r="C1518" s="4">
        <f t="shared" si="208"/>
        <v>1525</v>
      </c>
      <c r="D1518" s="4">
        <f>IF(B1518&gt;'Mortality Table'!$A$118,D1517,VLOOKUP(B1518,'Mortality Table'!$A$2:$B$118,2,FALSE))</f>
        <v>0.59733000000000003</v>
      </c>
      <c r="E1518" s="4">
        <f>IF(INT((C1518-1)/12)+1&gt;'Lapse Table'!$A$11,E1517,VLOOKUP(INT((C1518-1)/12)+1,'Lapse Table'!$A$2:$B$11,2,FALSE))/12</f>
        <v>0</v>
      </c>
      <c r="F1518" s="5">
        <f t="shared" si="215"/>
        <v>-48.85212486562029</v>
      </c>
      <c r="G1518" s="6">
        <f t="shared" si="209"/>
        <v>4.9777500000000002E-2</v>
      </c>
      <c r="H1518" s="6">
        <f t="shared" si="210"/>
        <v>0</v>
      </c>
      <c r="I1518" s="7">
        <f t="shared" si="211"/>
        <v>-1628.404162187343</v>
      </c>
      <c r="J1518" s="8">
        <f t="shared" si="212"/>
        <v>49777.5</v>
      </c>
      <c r="K1518" s="7">
        <f t="shared" si="213"/>
        <v>-51405.90416218734</v>
      </c>
      <c r="L1518" s="4">
        <f>IF(A1518&gt;'Yield Curve'!A2132,L1517,(1+VLOOKUP(A1518,'Yield Curve'!A1511:B2133,2,FALSE))^(1/12)-1)</f>
        <v>7.9741404289037643E-3</v>
      </c>
      <c r="M1518" s="5">
        <f t="shared" si="214"/>
        <v>-0.3180046373131894</v>
      </c>
    </row>
    <row r="1519" spans="1:13" x14ac:dyDescent="0.25">
      <c r="A1519" s="4">
        <v>1511</v>
      </c>
      <c r="B1519" s="4">
        <f t="shared" si="207"/>
        <v>170</v>
      </c>
      <c r="C1519" s="4">
        <f t="shared" si="208"/>
        <v>1526</v>
      </c>
      <c r="D1519" s="4">
        <f>IF(B1519&gt;'Mortality Table'!$A$118,D1518,VLOOKUP(B1519,'Mortality Table'!$A$2:$B$118,2,FALSE))</f>
        <v>0.59733000000000003</v>
      </c>
      <c r="E1519" s="4">
        <f>IF(INT((C1519-1)/12)+1&gt;'Lapse Table'!$A$11,E1518,VLOOKUP(INT((C1519-1)/12)+1,'Lapse Table'!$A$2:$B$11,2,FALSE))/12</f>
        <v>0</v>
      </c>
      <c r="F1519" s="5">
        <f t="shared" si="215"/>
        <v>-48.901902365620288</v>
      </c>
      <c r="G1519" s="6">
        <f t="shared" si="209"/>
        <v>4.9777500000000002E-2</v>
      </c>
      <c r="H1519" s="6">
        <f t="shared" si="210"/>
        <v>0</v>
      </c>
      <c r="I1519" s="7">
        <f t="shared" si="211"/>
        <v>-1630.0634121873429</v>
      </c>
      <c r="J1519" s="8">
        <f t="shared" si="212"/>
        <v>49777.5</v>
      </c>
      <c r="K1519" s="7">
        <f t="shared" si="213"/>
        <v>-51407.563412187345</v>
      </c>
      <c r="L1519" s="4">
        <f>IF(A1519&gt;'Yield Curve'!A2133,L1518,(1+VLOOKUP(A1519,'Yield Curve'!A1512:B2134,2,FALSE))^(1/12)-1)</f>
        <v>7.9741404289037643E-3</v>
      </c>
      <c r="M1519" s="5">
        <f t="shared" si="214"/>
        <v>-0.31549906781077153</v>
      </c>
    </row>
    <row r="1520" spans="1:13" x14ac:dyDescent="0.25">
      <c r="A1520" s="4">
        <v>1512</v>
      </c>
      <c r="B1520" s="4">
        <f t="shared" si="207"/>
        <v>171</v>
      </c>
      <c r="C1520" s="4">
        <f t="shared" si="208"/>
        <v>1527</v>
      </c>
      <c r="D1520" s="4">
        <f>IF(B1520&gt;'Mortality Table'!$A$118,D1519,VLOOKUP(B1520,'Mortality Table'!$A$2:$B$118,2,FALSE))</f>
        <v>0.59733000000000003</v>
      </c>
      <c r="E1520" s="4">
        <f>IF(INT((C1520-1)/12)+1&gt;'Lapse Table'!$A$11,E1519,VLOOKUP(INT((C1520-1)/12)+1,'Lapse Table'!$A$2:$B$11,2,FALSE))/12</f>
        <v>0</v>
      </c>
      <c r="F1520" s="5">
        <f t="shared" si="215"/>
        <v>-48.951679865620285</v>
      </c>
      <c r="G1520" s="6">
        <f t="shared" si="209"/>
        <v>4.9777500000000002E-2</v>
      </c>
      <c r="H1520" s="6">
        <f t="shared" si="210"/>
        <v>0</v>
      </c>
      <c r="I1520" s="7">
        <f t="shared" si="211"/>
        <v>-1631.7226621873426</v>
      </c>
      <c r="J1520" s="8">
        <f t="shared" si="212"/>
        <v>49777.5</v>
      </c>
      <c r="K1520" s="7">
        <f t="shared" si="213"/>
        <v>-51409.222662187341</v>
      </c>
      <c r="L1520" s="4">
        <f>IF(A1520&gt;'Yield Curve'!A2134,L1519,(1+VLOOKUP(A1520,'Yield Curve'!A1513:B2135,2,FALSE))^(1/12)-1)</f>
        <v>7.9741404289037643E-3</v>
      </c>
      <c r="M1520" s="5">
        <f t="shared" si="214"/>
        <v>-0.31301323945077075</v>
      </c>
    </row>
    <row r="1521" spans="1:13" x14ac:dyDescent="0.25">
      <c r="A1521" s="4">
        <v>1513</v>
      </c>
      <c r="B1521" s="4">
        <f t="shared" si="207"/>
        <v>171</v>
      </c>
      <c r="C1521" s="4">
        <f t="shared" si="208"/>
        <v>1528</v>
      </c>
      <c r="D1521" s="4">
        <f>IF(B1521&gt;'Mortality Table'!$A$118,D1520,VLOOKUP(B1521,'Mortality Table'!$A$2:$B$118,2,FALSE))</f>
        <v>0.59733000000000003</v>
      </c>
      <c r="E1521" s="4">
        <f>IF(INT((C1521-1)/12)+1&gt;'Lapse Table'!$A$11,E1520,VLOOKUP(INT((C1521-1)/12)+1,'Lapse Table'!$A$2:$B$11,2,FALSE))/12</f>
        <v>0</v>
      </c>
      <c r="F1521" s="5">
        <f t="shared" si="215"/>
        <v>-49.001457365620283</v>
      </c>
      <c r="G1521" s="6">
        <f t="shared" si="209"/>
        <v>4.9777500000000002E-2</v>
      </c>
      <c r="H1521" s="6">
        <f t="shared" si="210"/>
        <v>0</v>
      </c>
      <c r="I1521" s="7">
        <f t="shared" si="211"/>
        <v>-1633.3819121873428</v>
      </c>
      <c r="J1521" s="8">
        <f t="shared" si="212"/>
        <v>49777.5</v>
      </c>
      <c r="K1521" s="7">
        <f t="shared" si="213"/>
        <v>-51410.881912187346</v>
      </c>
      <c r="L1521" s="4">
        <f>IF(A1521&gt;'Yield Curve'!A2135,L1520,(1+VLOOKUP(A1521,'Yield Curve'!A1514:B2136,2,FALSE))^(1/12)-1)</f>
        <v>7.9741404289037643E-3</v>
      </c>
      <c r="M1521" s="5">
        <f t="shared" si="214"/>
        <v>-0.31054699669720492</v>
      </c>
    </row>
    <row r="1522" spans="1:13" x14ac:dyDescent="0.25">
      <c r="A1522" s="4">
        <v>1514</v>
      </c>
      <c r="B1522" s="4">
        <f t="shared" si="207"/>
        <v>171</v>
      </c>
      <c r="C1522" s="4">
        <f t="shared" si="208"/>
        <v>1529</v>
      </c>
      <c r="D1522" s="4">
        <f>IF(B1522&gt;'Mortality Table'!$A$118,D1521,VLOOKUP(B1522,'Mortality Table'!$A$2:$B$118,2,FALSE))</f>
        <v>0.59733000000000003</v>
      </c>
      <c r="E1522" s="4">
        <f>IF(INT((C1522-1)/12)+1&gt;'Lapse Table'!$A$11,E1521,VLOOKUP(INT((C1522-1)/12)+1,'Lapse Table'!$A$2:$B$11,2,FALSE))/12</f>
        <v>0</v>
      </c>
      <c r="F1522" s="5">
        <f t="shared" si="215"/>
        <v>-49.05123486562028</v>
      </c>
      <c r="G1522" s="6">
        <f t="shared" si="209"/>
        <v>4.9777500000000002E-2</v>
      </c>
      <c r="H1522" s="6">
        <f t="shared" si="210"/>
        <v>0</v>
      </c>
      <c r="I1522" s="7">
        <f t="shared" si="211"/>
        <v>-1635.0411621873427</v>
      </c>
      <c r="J1522" s="8">
        <f t="shared" si="212"/>
        <v>49777.5</v>
      </c>
      <c r="K1522" s="7">
        <f t="shared" si="213"/>
        <v>-51412.541162187343</v>
      </c>
      <c r="L1522" s="4">
        <f>IF(A1522&gt;'Yield Curve'!A2136,L1521,(1+VLOOKUP(A1522,'Yield Curve'!A1515:B2137,2,FALSE))^(1/12)-1)</f>
        <v>7.9741404289037643E-3</v>
      </c>
      <c r="M1522" s="5">
        <f t="shared" si="214"/>
        <v>-0.30810018523950361</v>
      </c>
    </row>
    <row r="1523" spans="1:13" x14ac:dyDescent="0.25">
      <c r="A1523" s="4">
        <v>1515</v>
      </c>
      <c r="B1523" s="4">
        <f t="shared" si="207"/>
        <v>171</v>
      </c>
      <c r="C1523" s="4">
        <f t="shared" si="208"/>
        <v>1530</v>
      </c>
      <c r="D1523" s="4">
        <f>IF(B1523&gt;'Mortality Table'!$A$118,D1522,VLOOKUP(B1523,'Mortality Table'!$A$2:$B$118,2,FALSE))</f>
        <v>0.59733000000000003</v>
      </c>
      <c r="E1523" s="4">
        <f>IF(INT((C1523-1)/12)+1&gt;'Lapse Table'!$A$11,E1522,VLOOKUP(INT((C1523-1)/12)+1,'Lapse Table'!$A$2:$B$11,2,FALSE))/12</f>
        <v>0</v>
      </c>
      <c r="F1523" s="5">
        <f t="shared" si="215"/>
        <v>-49.101012365620278</v>
      </c>
      <c r="G1523" s="6">
        <f t="shared" si="209"/>
        <v>4.9777500000000002E-2</v>
      </c>
      <c r="H1523" s="6">
        <f t="shared" si="210"/>
        <v>0</v>
      </c>
      <c r="I1523" s="7">
        <f t="shared" si="211"/>
        <v>-1636.7004121873426</v>
      </c>
      <c r="J1523" s="8">
        <f t="shared" si="212"/>
        <v>49777.5</v>
      </c>
      <c r="K1523" s="7">
        <f t="shared" si="213"/>
        <v>-51414.20041218734</v>
      </c>
      <c r="L1523" s="4">
        <f>IF(A1523&gt;'Yield Curve'!A2137,L1522,(1+VLOOKUP(A1523,'Yield Curve'!A1516:B2138,2,FALSE))^(1/12)-1)</f>
        <v>7.9741404289037643E-3</v>
      </c>
      <c r="M1523" s="5">
        <f t="shared" si="214"/>
        <v>-0.30567265198285432</v>
      </c>
    </row>
    <row r="1524" spans="1:13" x14ac:dyDescent="0.25">
      <c r="A1524" s="4">
        <v>1516</v>
      </c>
      <c r="B1524" s="4">
        <f t="shared" si="207"/>
        <v>171</v>
      </c>
      <c r="C1524" s="4">
        <f t="shared" si="208"/>
        <v>1531</v>
      </c>
      <c r="D1524" s="4">
        <f>IF(B1524&gt;'Mortality Table'!$A$118,D1523,VLOOKUP(B1524,'Mortality Table'!$A$2:$B$118,2,FALSE))</f>
        <v>0.59733000000000003</v>
      </c>
      <c r="E1524" s="4">
        <f>IF(INT((C1524-1)/12)+1&gt;'Lapse Table'!$A$11,E1523,VLOOKUP(INT((C1524-1)/12)+1,'Lapse Table'!$A$2:$B$11,2,FALSE))/12</f>
        <v>0</v>
      </c>
      <c r="F1524" s="5">
        <f t="shared" si="215"/>
        <v>-49.150789865620276</v>
      </c>
      <c r="G1524" s="6">
        <f t="shared" si="209"/>
        <v>4.9777500000000002E-2</v>
      </c>
      <c r="H1524" s="6">
        <f t="shared" si="210"/>
        <v>0</v>
      </c>
      <c r="I1524" s="7">
        <f t="shared" si="211"/>
        <v>-1638.3596621873423</v>
      </c>
      <c r="J1524" s="8">
        <f t="shared" si="212"/>
        <v>49777.5</v>
      </c>
      <c r="K1524" s="7">
        <f t="shared" si="213"/>
        <v>-51415.859662187344</v>
      </c>
      <c r="L1524" s="4">
        <f>IF(A1524&gt;'Yield Curve'!A2138,L1523,(1+VLOOKUP(A1524,'Yield Curve'!A1517:B2139,2,FALSE))^(1/12)-1)</f>
        <v>7.9741404289037643E-3</v>
      </c>
      <c r="M1524" s="5">
        <f t="shared" si="214"/>
        <v>-0.3032642450386237</v>
      </c>
    </row>
    <row r="1525" spans="1:13" x14ac:dyDescent="0.25">
      <c r="A1525" s="4">
        <v>1517</v>
      </c>
      <c r="B1525" s="4">
        <f t="shared" si="207"/>
        <v>171</v>
      </c>
      <c r="C1525" s="4">
        <f t="shared" si="208"/>
        <v>1532</v>
      </c>
      <c r="D1525" s="4">
        <f>IF(B1525&gt;'Mortality Table'!$A$118,D1524,VLOOKUP(B1525,'Mortality Table'!$A$2:$B$118,2,FALSE))</f>
        <v>0.59733000000000003</v>
      </c>
      <c r="E1525" s="4">
        <f>IF(INT((C1525-1)/12)+1&gt;'Lapse Table'!$A$11,E1524,VLOOKUP(INT((C1525-1)/12)+1,'Lapse Table'!$A$2:$B$11,2,FALSE))/12</f>
        <v>0</v>
      </c>
      <c r="F1525" s="5">
        <f t="shared" si="215"/>
        <v>-49.200567365620273</v>
      </c>
      <c r="G1525" s="6">
        <f t="shared" si="209"/>
        <v>4.9777500000000002E-2</v>
      </c>
      <c r="H1525" s="6">
        <f t="shared" si="210"/>
        <v>0</v>
      </c>
      <c r="I1525" s="7">
        <f t="shared" si="211"/>
        <v>-1640.0189121873425</v>
      </c>
      <c r="J1525" s="8">
        <f t="shared" si="212"/>
        <v>49777.5</v>
      </c>
      <c r="K1525" s="7">
        <f t="shared" si="213"/>
        <v>-51417.518912187341</v>
      </c>
      <c r="L1525" s="4">
        <f>IF(A1525&gt;'Yield Curve'!A2139,L1524,(1+VLOOKUP(A1525,'Yield Curve'!A1518:B2140,2,FALSE))^(1/12)-1)</f>
        <v>7.9741404289037643E-3</v>
      </c>
      <c r="M1525" s="5">
        <f t="shared" si="214"/>
        <v>-0.30087481371485536</v>
      </c>
    </row>
    <row r="1526" spans="1:13" x14ac:dyDescent="0.25">
      <c r="A1526" s="4">
        <v>1518</v>
      </c>
      <c r="B1526" s="4">
        <f t="shared" si="207"/>
        <v>171</v>
      </c>
      <c r="C1526" s="4">
        <f t="shared" si="208"/>
        <v>1533</v>
      </c>
      <c r="D1526" s="4">
        <f>IF(B1526&gt;'Mortality Table'!$A$118,D1525,VLOOKUP(B1526,'Mortality Table'!$A$2:$B$118,2,FALSE))</f>
        <v>0.59733000000000003</v>
      </c>
      <c r="E1526" s="4">
        <f>IF(INT((C1526-1)/12)+1&gt;'Lapse Table'!$A$11,E1525,VLOOKUP(INT((C1526-1)/12)+1,'Lapse Table'!$A$2:$B$11,2,FALSE))/12</f>
        <v>0</v>
      </c>
      <c r="F1526" s="5">
        <f t="shared" si="215"/>
        <v>-49.250344865620271</v>
      </c>
      <c r="G1526" s="6">
        <f t="shared" si="209"/>
        <v>4.9777500000000002E-2</v>
      </c>
      <c r="H1526" s="6">
        <f t="shared" si="210"/>
        <v>0</v>
      </c>
      <c r="I1526" s="7">
        <f t="shared" si="211"/>
        <v>-1641.6781621873424</v>
      </c>
      <c r="J1526" s="8">
        <f t="shared" si="212"/>
        <v>49777.5</v>
      </c>
      <c r="K1526" s="7">
        <f t="shared" si="213"/>
        <v>-51419.178162187345</v>
      </c>
      <c r="L1526" s="4">
        <f>IF(A1526&gt;'Yield Curve'!A2140,L1525,(1+VLOOKUP(A1526,'Yield Curve'!A1519:B2141,2,FALSE))^(1/12)-1)</f>
        <v>7.9741404289037643E-3</v>
      </c>
      <c r="M1526" s="5">
        <f t="shared" si="214"/>
        <v>-0.29850420850684084</v>
      </c>
    </row>
    <row r="1527" spans="1:13" x14ac:dyDescent="0.25">
      <c r="A1527" s="4">
        <v>1519</v>
      </c>
      <c r="B1527" s="4">
        <f t="shared" si="207"/>
        <v>171</v>
      </c>
      <c r="C1527" s="4">
        <f t="shared" si="208"/>
        <v>1534</v>
      </c>
      <c r="D1527" s="4">
        <f>IF(B1527&gt;'Mortality Table'!$A$118,D1526,VLOOKUP(B1527,'Mortality Table'!$A$2:$B$118,2,FALSE))</f>
        <v>0.59733000000000003</v>
      </c>
      <c r="E1527" s="4">
        <f>IF(INT((C1527-1)/12)+1&gt;'Lapse Table'!$A$11,E1526,VLOOKUP(INT((C1527-1)/12)+1,'Lapse Table'!$A$2:$B$11,2,FALSE))/12</f>
        <v>0</v>
      </c>
      <c r="F1527" s="5">
        <f t="shared" si="215"/>
        <v>-49.300122365620268</v>
      </c>
      <c r="G1527" s="6">
        <f t="shared" si="209"/>
        <v>4.9777500000000002E-2</v>
      </c>
      <c r="H1527" s="6">
        <f t="shared" si="210"/>
        <v>0</v>
      </c>
      <c r="I1527" s="7">
        <f t="shared" si="211"/>
        <v>-1643.3374121873421</v>
      </c>
      <c r="J1527" s="8">
        <f t="shared" si="212"/>
        <v>49777.5</v>
      </c>
      <c r="K1527" s="7">
        <f t="shared" si="213"/>
        <v>-51420.837412187342</v>
      </c>
      <c r="L1527" s="4">
        <f>IF(A1527&gt;'Yield Curve'!A2141,L1526,(1+VLOOKUP(A1527,'Yield Curve'!A1520:B2142,2,FALSE))^(1/12)-1)</f>
        <v>7.9741404289037643E-3</v>
      </c>
      <c r="M1527" s="5">
        <f t="shared" si="214"/>
        <v>-0.29615228108776653</v>
      </c>
    </row>
    <row r="1528" spans="1:13" x14ac:dyDescent="0.25">
      <c r="A1528" s="4">
        <v>1520</v>
      </c>
      <c r="B1528" s="4">
        <f t="shared" si="207"/>
        <v>171</v>
      </c>
      <c r="C1528" s="4">
        <f t="shared" si="208"/>
        <v>1535</v>
      </c>
      <c r="D1528" s="4">
        <f>IF(B1528&gt;'Mortality Table'!$A$118,D1527,VLOOKUP(B1528,'Mortality Table'!$A$2:$B$118,2,FALSE))</f>
        <v>0.59733000000000003</v>
      </c>
      <c r="E1528" s="4">
        <f>IF(INT((C1528-1)/12)+1&gt;'Lapse Table'!$A$11,E1527,VLOOKUP(INT((C1528-1)/12)+1,'Lapse Table'!$A$2:$B$11,2,FALSE))/12</f>
        <v>0</v>
      </c>
      <c r="F1528" s="5">
        <f t="shared" si="215"/>
        <v>-49.349899865620266</v>
      </c>
      <c r="G1528" s="6">
        <f t="shared" si="209"/>
        <v>4.9777500000000002E-2</v>
      </c>
      <c r="H1528" s="6">
        <f t="shared" si="210"/>
        <v>0</v>
      </c>
      <c r="I1528" s="7">
        <f t="shared" si="211"/>
        <v>-1644.9966621873421</v>
      </c>
      <c r="J1528" s="8">
        <f t="shared" si="212"/>
        <v>49777.5</v>
      </c>
      <c r="K1528" s="7">
        <f t="shared" si="213"/>
        <v>-51422.496662187339</v>
      </c>
      <c r="L1528" s="4">
        <f>IF(A1528&gt;'Yield Curve'!A2142,L1527,(1+VLOOKUP(A1528,'Yield Curve'!A1521:B2143,2,FALSE))^(1/12)-1)</f>
        <v>7.9741404289037643E-3</v>
      </c>
      <c r="M1528" s="5">
        <f t="shared" si="214"/>
        <v>-0.29381888429943354</v>
      </c>
    </row>
    <row r="1529" spans="1:13" x14ac:dyDescent="0.25">
      <c r="A1529" s="4">
        <v>1521</v>
      </c>
      <c r="B1529" s="4">
        <f t="shared" si="207"/>
        <v>171</v>
      </c>
      <c r="C1529" s="4">
        <f t="shared" si="208"/>
        <v>1536</v>
      </c>
      <c r="D1529" s="4">
        <f>IF(B1529&gt;'Mortality Table'!$A$118,D1528,VLOOKUP(B1529,'Mortality Table'!$A$2:$B$118,2,FALSE))</f>
        <v>0.59733000000000003</v>
      </c>
      <c r="E1529" s="4">
        <f>IF(INT((C1529-1)/12)+1&gt;'Lapse Table'!$A$11,E1528,VLOOKUP(INT((C1529-1)/12)+1,'Lapse Table'!$A$2:$B$11,2,FALSE))/12</f>
        <v>0</v>
      </c>
      <c r="F1529" s="5">
        <f t="shared" si="215"/>
        <v>-49.399677365620263</v>
      </c>
      <c r="G1529" s="6">
        <f t="shared" si="209"/>
        <v>4.9777500000000002E-2</v>
      </c>
      <c r="H1529" s="6">
        <f t="shared" si="210"/>
        <v>0</v>
      </c>
      <c r="I1529" s="7">
        <f t="shared" si="211"/>
        <v>-1646.6559121873422</v>
      </c>
      <c r="J1529" s="8">
        <f t="shared" si="212"/>
        <v>49777.5</v>
      </c>
      <c r="K1529" s="7">
        <f t="shared" si="213"/>
        <v>-51424.155912187343</v>
      </c>
      <c r="L1529" s="4">
        <f>IF(A1529&gt;'Yield Curve'!A2143,L1528,(1+VLOOKUP(A1529,'Yield Curve'!A1522:B2144,2,FALSE))^(1/12)-1)</f>
        <v>7.9741404289037643E-3</v>
      </c>
      <c r="M1529" s="5">
        <f t="shared" si="214"/>
        <v>-0.29150387214305057</v>
      </c>
    </row>
    <row r="1530" spans="1:13" x14ac:dyDescent="0.25">
      <c r="A1530" s="4">
        <v>1522</v>
      </c>
      <c r="B1530" s="4">
        <f t="shared" si="207"/>
        <v>171</v>
      </c>
      <c r="C1530" s="4">
        <f t="shared" si="208"/>
        <v>1537</v>
      </c>
      <c r="D1530" s="4">
        <f>IF(B1530&gt;'Mortality Table'!$A$118,D1529,VLOOKUP(B1530,'Mortality Table'!$A$2:$B$118,2,FALSE))</f>
        <v>0.59733000000000003</v>
      </c>
      <c r="E1530" s="4">
        <f>IF(INT((C1530-1)/12)+1&gt;'Lapse Table'!$A$11,E1529,VLOOKUP(INT((C1530-1)/12)+1,'Lapse Table'!$A$2:$B$11,2,FALSE))/12</f>
        <v>0</v>
      </c>
      <c r="F1530" s="5">
        <f t="shared" si="215"/>
        <v>-49.449454865620261</v>
      </c>
      <c r="G1530" s="6">
        <f t="shared" si="209"/>
        <v>4.9777500000000002E-2</v>
      </c>
      <c r="H1530" s="6">
        <f t="shared" si="210"/>
        <v>0</v>
      </c>
      <c r="I1530" s="7">
        <f t="shared" si="211"/>
        <v>-1648.3151621873421</v>
      </c>
      <c r="J1530" s="8">
        <f t="shared" si="212"/>
        <v>49777.5</v>
      </c>
      <c r="K1530" s="7">
        <f t="shared" si="213"/>
        <v>-51425.81516218734</v>
      </c>
      <c r="L1530" s="4">
        <f>IF(A1530&gt;'Yield Curve'!A2144,L1529,(1+VLOOKUP(A1530,'Yield Curve'!A1523:B2145,2,FALSE))^(1/12)-1)</f>
        <v>7.9741404289037643E-3</v>
      </c>
      <c r="M1530" s="5">
        <f t="shared" si="214"/>
        <v>-0.28920709977009978</v>
      </c>
    </row>
    <row r="1531" spans="1:13" x14ac:dyDescent="0.25">
      <c r="A1531" s="4">
        <v>1523</v>
      </c>
      <c r="B1531" s="4">
        <f t="shared" si="207"/>
        <v>171</v>
      </c>
      <c r="C1531" s="4">
        <f t="shared" si="208"/>
        <v>1538</v>
      </c>
      <c r="D1531" s="4">
        <f>IF(B1531&gt;'Mortality Table'!$A$118,D1530,VLOOKUP(B1531,'Mortality Table'!$A$2:$B$118,2,FALSE))</f>
        <v>0.59733000000000003</v>
      </c>
      <c r="E1531" s="4">
        <f>IF(INT((C1531-1)/12)+1&gt;'Lapse Table'!$A$11,E1530,VLOOKUP(INT((C1531-1)/12)+1,'Lapse Table'!$A$2:$B$11,2,FALSE))/12</f>
        <v>0</v>
      </c>
      <c r="F1531" s="5">
        <f t="shared" si="215"/>
        <v>-49.499232365620259</v>
      </c>
      <c r="G1531" s="6">
        <f t="shared" si="209"/>
        <v>4.9777500000000002E-2</v>
      </c>
      <c r="H1531" s="6">
        <f t="shared" si="210"/>
        <v>0</v>
      </c>
      <c r="I1531" s="7">
        <f t="shared" si="211"/>
        <v>-1649.9744121873418</v>
      </c>
      <c r="J1531" s="8">
        <f t="shared" si="212"/>
        <v>49777.5</v>
      </c>
      <c r="K1531" s="7">
        <f t="shared" si="213"/>
        <v>-51427.474412187345</v>
      </c>
      <c r="L1531" s="4">
        <f>IF(A1531&gt;'Yield Curve'!A2145,L1530,(1+VLOOKUP(A1531,'Yield Curve'!A1524:B2146,2,FALSE))^(1/12)-1)</f>
        <v>7.9741404289037643E-3</v>
      </c>
      <c r="M1531" s="5">
        <f t="shared" si="214"/>
        <v>-0.28692842347327396</v>
      </c>
    </row>
    <row r="1532" spans="1:13" x14ac:dyDescent="0.25">
      <c r="A1532" s="4">
        <v>1524</v>
      </c>
      <c r="B1532" s="4">
        <f t="shared" si="207"/>
        <v>172</v>
      </c>
      <c r="C1532" s="4">
        <f t="shared" si="208"/>
        <v>1539</v>
      </c>
      <c r="D1532" s="4">
        <f>IF(B1532&gt;'Mortality Table'!$A$118,D1531,VLOOKUP(B1532,'Mortality Table'!$A$2:$B$118,2,FALSE))</f>
        <v>0.59733000000000003</v>
      </c>
      <c r="E1532" s="4">
        <f>IF(INT((C1532-1)/12)+1&gt;'Lapse Table'!$A$11,E1531,VLOOKUP(INT((C1532-1)/12)+1,'Lapse Table'!$A$2:$B$11,2,FALSE))/12</f>
        <v>0</v>
      </c>
      <c r="F1532" s="5">
        <f t="shared" si="215"/>
        <v>-49.549009865620256</v>
      </c>
      <c r="G1532" s="6">
        <f t="shared" si="209"/>
        <v>4.9777500000000002E-2</v>
      </c>
      <c r="H1532" s="6">
        <f t="shared" si="210"/>
        <v>0</v>
      </c>
      <c r="I1532" s="7">
        <f t="shared" si="211"/>
        <v>-1651.6336621873418</v>
      </c>
      <c r="J1532" s="8">
        <f t="shared" si="212"/>
        <v>49777.5</v>
      </c>
      <c r="K1532" s="7">
        <f t="shared" si="213"/>
        <v>-51429.133662187342</v>
      </c>
      <c r="L1532" s="4">
        <f>IF(A1532&gt;'Yield Curve'!A2146,L1531,(1+VLOOKUP(A1532,'Yield Curve'!A1525:B2147,2,FALSE))^(1/12)-1)</f>
        <v>7.9741404289037643E-3</v>
      </c>
      <c r="M1532" s="5">
        <f t="shared" si="214"/>
        <v>-0.2846677006774857</v>
      </c>
    </row>
    <row r="1533" spans="1:13" x14ac:dyDescent="0.25">
      <c r="A1533" s="4">
        <v>1525</v>
      </c>
      <c r="B1533" s="4">
        <f t="shared" si="207"/>
        <v>172</v>
      </c>
      <c r="C1533" s="4">
        <f t="shared" si="208"/>
        <v>1540</v>
      </c>
      <c r="D1533" s="4">
        <f>IF(B1533&gt;'Mortality Table'!$A$118,D1532,VLOOKUP(B1533,'Mortality Table'!$A$2:$B$118,2,FALSE))</f>
        <v>0.59733000000000003</v>
      </c>
      <c r="E1533" s="4">
        <f>IF(INT((C1533-1)/12)+1&gt;'Lapse Table'!$A$11,E1532,VLOOKUP(INT((C1533-1)/12)+1,'Lapse Table'!$A$2:$B$11,2,FALSE))/12</f>
        <v>0</v>
      </c>
      <c r="F1533" s="5">
        <f t="shared" si="215"/>
        <v>-49.598787365620254</v>
      </c>
      <c r="G1533" s="6">
        <f t="shared" si="209"/>
        <v>4.9777500000000002E-2</v>
      </c>
      <c r="H1533" s="6">
        <f t="shared" si="210"/>
        <v>0</v>
      </c>
      <c r="I1533" s="7">
        <f t="shared" si="211"/>
        <v>-1653.2929121873419</v>
      </c>
      <c r="J1533" s="8">
        <f t="shared" si="212"/>
        <v>49777.5</v>
      </c>
      <c r="K1533" s="7">
        <f t="shared" si="213"/>
        <v>-51430.792912187339</v>
      </c>
      <c r="L1533" s="4">
        <f>IF(A1533&gt;'Yield Curve'!A2147,L1532,(1+VLOOKUP(A1533,'Yield Curve'!A1526:B2148,2,FALSE))^(1/12)-1)</f>
        <v>7.9741404289037643E-3</v>
      </c>
      <c r="M1533" s="5">
        <f t="shared" si="214"/>
        <v>-0.28242478993094711</v>
      </c>
    </row>
    <row r="1534" spans="1:13" x14ac:dyDescent="0.25">
      <c r="A1534" s="4">
        <v>1526</v>
      </c>
      <c r="B1534" s="4">
        <f t="shared" si="207"/>
        <v>172</v>
      </c>
      <c r="C1534" s="4">
        <f t="shared" si="208"/>
        <v>1541</v>
      </c>
      <c r="D1534" s="4">
        <f>IF(B1534&gt;'Mortality Table'!$A$118,D1533,VLOOKUP(B1534,'Mortality Table'!$A$2:$B$118,2,FALSE))</f>
        <v>0.59733000000000003</v>
      </c>
      <c r="E1534" s="4">
        <f>IF(INT((C1534-1)/12)+1&gt;'Lapse Table'!$A$11,E1533,VLOOKUP(INT((C1534-1)/12)+1,'Lapse Table'!$A$2:$B$11,2,FALSE))/12</f>
        <v>0</v>
      </c>
      <c r="F1534" s="5">
        <f t="shared" si="215"/>
        <v>-49.648564865620251</v>
      </c>
      <c r="G1534" s="6">
        <f t="shared" si="209"/>
        <v>4.9777500000000002E-2</v>
      </c>
      <c r="H1534" s="6">
        <f t="shared" si="210"/>
        <v>0</v>
      </c>
      <c r="I1534" s="7">
        <f t="shared" si="211"/>
        <v>-1654.9521621873419</v>
      </c>
      <c r="J1534" s="8">
        <f t="shared" si="212"/>
        <v>49777.5</v>
      </c>
      <c r="K1534" s="7">
        <f t="shared" si="213"/>
        <v>-51432.452162187343</v>
      </c>
      <c r="L1534" s="4">
        <f>IF(A1534&gt;'Yield Curve'!A2148,L1533,(1+VLOOKUP(A1534,'Yield Curve'!A1527:B2149,2,FALSE))^(1/12)-1)</f>
        <v>7.9741404289037643E-3</v>
      </c>
      <c r="M1534" s="5">
        <f t="shared" si="214"/>
        <v>-0.28019955089632032</v>
      </c>
    </row>
    <row r="1535" spans="1:13" x14ac:dyDescent="0.25">
      <c r="A1535" s="4">
        <v>1527</v>
      </c>
      <c r="B1535" s="4">
        <f t="shared" si="207"/>
        <v>172</v>
      </c>
      <c r="C1535" s="4">
        <f t="shared" si="208"/>
        <v>1542</v>
      </c>
      <c r="D1535" s="4">
        <f>IF(B1535&gt;'Mortality Table'!$A$118,D1534,VLOOKUP(B1535,'Mortality Table'!$A$2:$B$118,2,FALSE))</f>
        <v>0.59733000000000003</v>
      </c>
      <c r="E1535" s="4">
        <f>IF(INT((C1535-1)/12)+1&gt;'Lapse Table'!$A$11,E1534,VLOOKUP(INT((C1535-1)/12)+1,'Lapse Table'!$A$2:$B$11,2,FALSE))/12</f>
        <v>0</v>
      </c>
      <c r="F1535" s="5">
        <f t="shared" si="215"/>
        <v>-49.698342365620249</v>
      </c>
      <c r="G1535" s="6">
        <f t="shared" si="209"/>
        <v>4.9777500000000002E-2</v>
      </c>
      <c r="H1535" s="6">
        <f t="shared" si="210"/>
        <v>0</v>
      </c>
      <c r="I1535" s="7">
        <f t="shared" si="211"/>
        <v>-1656.6114121873416</v>
      </c>
      <c r="J1535" s="8">
        <f t="shared" si="212"/>
        <v>49777.5</v>
      </c>
      <c r="K1535" s="7">
        <f t="shared" si="213"/>
        <v>-51434.11141218734</v>
      </c>
      <c r="L1535" s="4">
        <f>IF(A1535&gt;'Yield Curve'!A2149,L1534,(1+VLOOKUP(A1535,'Yield Curve'!A1528:B2150,2,FALSE))^(1/12)-1)</f>
        <v>7.9741404289037643E-3</v>
      </c>
      <c r="M1535" s="5">
        <f t="shared" si="214"/>
        <v>-0.2779918443419363</v>
      </c>
    </row>
    <row r="1536" spans="1:13" x14ac:dyDescent="0.25">
      <c r="A1536" s="4">
        <v>1528</v>
      </c>
      <c r="B1536" s="4">
        <f t="shared" si="207"/>
        <v>172</v>
      </c>
      <c r="C1536" s="4">
        <f t="shared" si="208"/>
        <v>1543</v>
      </c>
      <c r="D1536" s="4">
        <f>IF(B1536&gt;'Mortality Table'!$A$118,D1535,VLOOKUP(B1536,'Mortality Table'!$A$2:$B$118,2,FALSE))</f>
        <v>0.59733000000000003</v>
      </c>
      <c r="E1536" s="4">
        <f>IF(INT((C1536-1)/12)+1&gt;'Lapse Table'!$A$11,E1535,VLOOKUP(INT((C1536-1)/12)+1,'Lapse Table'!$A$2:$B$11,2,FALSE))/12</f>
        <v>0</v>
      </c>
      <c r="F1536" s="5">
        <f t="shared" si="215"/>
        <v>-49.748119865620247</v>
      </c>
      <c r="G1536" s="6">
        <f t="shared" si="209"/>
        <v>4.9777500000000002E-2</v>
      </c>
      <c r="H1536" s="6">
        <f t="shared" si="210"/>
        <v>0</v>
      </c>
      <c r="I1536" s="7">
        <f t="shared" si="211"/>
        <v>-1658.2706621873415</v>
      </c>
      <c r="J1536" s="8">
        <f t="shared" si="212"/>
        <v>49777.5</v>
      </c>
      <c r="K1536" s="7">
        <f t="shared" si="213"/>
        <v>-51435.770662187344</v>
      </c>
      <c r="L1536" s="4">
        <f>IF(A1536&gt;'Yield Curve'!A2150,L1535,(1+VLOOKUP(A1536,'Yield Curve'!A1529:B2151,2,FALSE))^(1/12)-1)</f>
        <v>7.9741404289037643E-3</v>
      </c>
      <c r="M1536" s="5">
        <f t="shared" si="214"/>
        <v>-0.27580153213308473</v>
      </c>
    </row>
    <row r="1537" spans="1:13" x14ac:dyDescent="0.25">
      <c r="A1537" s="4">
        <v>1529</v>
      </c>
      <c r="B1537" s="4">
        <f t="shared" si="207"/>
        <v>172</v>
      </c>
      <c r="C1537" s="4">
        <f t="shared" si="208"/>
        <v>1544</v>
      </c>
      <c r="D1537" s="4">
        <f>IF(B1537&gt;'Mortality Table'!$A$118,D1536,VLOOKUP(B1537,'Mortality Table'!$A$2:$B$118,2,FALSE))</f>
        <v>0.59733000000000003</v>
      </c>
      <c r="E1537" s="4">
        <f>IF(INT((C1537-1)/12)+1&gt;'Lapse Table'!$A$11,E1536,VLOOKUP(INT((C1537-1)/12)+1,'Lapse Table'!$A$2:$B$11,2,FALSE))/12</f>
        <v>0</v>
      </c>
      <c r="F1537" s="5">
        <f t="shared" si="215"/>
        <v>-49.797897365620244</v>
      </c>
      <c r="G1537" s="6">
        <f t="shared" si="209"/>
        <v>4.9777500000000002E-2</v>
      </c>
      <c r="H1537" s="6">
        <f t="shared" si="210"/>
        <v>0</v>
      </c>
      <c r="I1537" s="7">
        <f t="shared" si="211"/>
        <v>-1659.9299121873416</v>
      </c>
      <c r="J1537" s="8">
        <f t="shared" si="212"/>
        <v>49777.5</v>
      </c>
      <c r="K1537" s="7">
        <f t="shared" si="213"/>
        <v>-51437.429912187341</v>
      </c>
      <c r="L1537" s="4">
        <f>IF(A1537&gt;'Yield Curve'!A2151,L1536,(1+VLOOKUP(A1537,'Yield Curve'!A1530:B2152,2,FALSE))^(1/12)-1)</f>
        <v>7.9741404289037643E-3</v>
      </c>
      <c r="M1537" s="5">
        <f t="shared" si="214"/>
        <v>-0.27362847722337136</v>
      </c>
    </row>
    <row r="1538" spans="1:13" x14ac:dyDescent="0.25">
      <c r="A1538" s="4">
        <v>1530</v>
      </c>
      <c r="B1538" s="4">
        <f t="shared" si="207"/>
        <v>172</v>
      </c>
      <c r="C1538" s="4">
        <f t="shared" si="208"/>
        <v>1545</v>
      </c>
      <c r="D1538" s="4">
        <f>IF(B1538&gt;'Mortality Table'!$A$118,D1537,VLOOKUP(B1538,'Mortality Table'!$A$2:$B$118,2,FALSE))</f>
        <v>0.59733000000000003</v>
      </c>
      <c r="E1538" s="4">
        <f>IF(INT((C1538-1)/12)+1&gt;'Lapse Table'!$A$11,E1537,VLOOKUP(INT((C1538-1)/12)+1,'Lapse Table'!$A$2:$B$11,2,FALSE))/12</f>
        <v>0</v>
      </c>
      <c r="F1538" s="5">
        <f t="shared" si="215"/>
        <v>-49.847674865620242</v>
      </c>
      <c r="G1538" s="6">
        <f t="shared" si="209"/>
        <v>4.9777500000000002E-2</v>
      </c>
      <c r="H1538" s="6">
        <f t="shared" si="210"/>
        <v>0</v>
      </c>
      <c r="I1538" s="7">
        <f t="shared" si="211"/>
        <v>-1661.5891621873413</v>
      </c>
      <c r="J1538" s="8">
        <f t="shared" si="212"/>
        <v>49777.5</v>
      </c>
      <c r="K1538" s="7">
        <f t="shared" si="213"/>
        <v>-51439.089162187338</v>
      </c>
      <c r="L1538" s="4">
        <f>IF(A1538&gt;'Yield Curve'!A2152,L1537,(1+VLOOKUP(A1538,'Yield Curve'!A1531:B2153,2,FALSE))^(1/12)-1)</f>
        <v>7.9741404289037643E-3</v>
      </c>
      <c r="M1538" s="5">
        <f t="shared" si="214"/>
        <v>-0.27147254364614326</v>
      </c>
    </row>
    <row r="1539" spans="1:13" x14ac:dyDescent="0.25">
      <c r="A1539" s="4">
        <v>1531</v>
      </c>
      <c r="B1539" s="4">
        <f t="shared" si="207"/>
        <v>172</v>
      </c>
      <c r="C1539" s="4">
        <f t="shared" si="208"/>
        <v>1546</v>
      </c>
      <c r="D1539" s="4">
        <f>IF(B1539&gt;'Mortality Table'!$A$118,D1538,VLOOKUP(B1539,'Mortality Table'!$A$2:$B$118,2,FALSE))</f>
        <v>0.59733000000000003</v>
      </c>
      <c r="E1539" s="4">
        <f>IF(INT((C1539-1)/12)+1&gt;'Lapse Table'!$A$11,E1538,VLOOKUP(INT((C1539-1)/12)+1,'Lapse Table'!$A$2:$B$11,2,FALSE))/12</f>
        <v>0</v>
      </c>
      <c r="F1539" s="5">
        <f t="shared" si="215"/>
        <v>-49.897452365620239</v>
      </c>
      <c r="G1539" s="6">
        <f t="shared" si="209"/>
        <v>4.9777500000000002E-2</v>
      </c>
      <c r="H1539" s="6">
        <f t="shared" si="210"/>
        <v>0</v>
      </c>
      <c r="I1539" s="7">
        <f t="shared" si="211"/>
        <v>-1663.2484121873413</v>
      </c>
      <c r="J1539" s="8">
        <f t="shared" si="212"/>
        <v>49777.5</v>
      </c>
      <c r="K1539" s="7">
        <f t="shared" si="213"/>
        <v>-51440.748412187342</v>
      </c>
      <c r="L1539" s="4">
        <f>IF(A1539&gt;'Yield Curve'!A2153,L1538,(1+VLOOKUP(A1539,'Yield Curve'!A1532:B2154,2,FALSE))^(1/12)-1)</f>
        <v>7.9741404289037643E-3</v>
      </c>
      <c r="M1539" s="5">
        <f t="shared" si="214"/>
        <v>-0.2693335965059826</v>
      </c>
    </row>
    <row r="1540" spans="1:13" x14ac:dyDescent="0.25">
      <c r="A1540" s="4">
        <v>1532</v>
      </c>
      <c r="B1540" s="4">
        <f t="shared" si="207"/>
        <v>172</v>
      </c>
      <c r="C1540" s="4">
        <f t="shared" si="208"/>
        <v>1547</v>
      </c>
      <c r="D1540" s="4">
        <f>IF(B1540&gt;'Mortality Table'!$A$118,D1539,VLOOKUP(B1540,'Mortality Table'!$A$2:$B$118,2,FALSE))</f>
        <v>0.59733000000000003</v>
      </c>
      <c r="E1540" s="4">
        <f>IF(INT((C1540-1)/12)+1&gt;'Lapse Table'!$A$11,E1539,VLOOKUP(INT((C1540-1)/12)+1,'Lapse Table'!$A$2:$B$11,2,FALSE))/12</f>
        <v>0</v>
      </c>
      <c r="F1540" s="5">
        <f t="shared" si="215"/>
        <v>-49.947229865620237</v>
      </c>
      <c r="G1540" s="6">
        <f t="shared" si="209"/>
        <v>4.9777500000000002E-2</v>
      </c>
      <c r="H1540" s="6">
        <f t="shared" si="210"/>
        <v>0</v>
      </c>
      <c r="I1540" s="7">
        <f t="shared" si="211"/>
        <v>-1664.9076621873412</v>
      </c>
      <c r="J1540" s="8">
        <f t="shared" si="212"/>
        <v>49777.5</v>
      </c>
      <c r="K1540" s="7">
        <f t="shared" si="213"/>
        <v>-51442.407662187339</v>
      </c>
      <c r="L1540" s="4">
        <f>IF(A1540&gt;'Yield Curve'!A2154,L1539,(1+VLOOKUP(A1540,'Yield Curve'!A1533:B2155,2,FALSE))^(1/12)-1)</f>
        <v>7.9741404289037643E-3</v>
      </c>
      <c r="M1540" s="5">
        <f t="shared" si="214"/>
        <v>-0.26721150197026661</v>
      </c>
    </row>
    <row r="1541" spans="1:13" x14ac:dyDescent="0.25">
      <c r="A1541" s="4">
        <v>1533</v>
      </c>
      <c r="B1541" s="4">
        <f t="shared" si="207"/>
        <v>172</v>
      </c>
      <c r="C1541" s="4">
        <f t="shared" si="208"/>
        <v>1548</v>
      </c>
      <c r="D1541" s="4">
        <f>IF(B1541&gt;'Mortality Table'!$A$118,D1540,VLOOKUP(B1541,'Mortality Table'!$A$2:$B$118,2,FALSE))</f>
        <v>0.59733000000000003</v>
      </c>
      <c r="E1541" s="4">
        <f>IF(INT((C1541-1)/12)+1&gt;'Lapse Table'!$A$11,E1540,VLOOKUP(INT((C1541-1)/12)+1,'Lapse Table'!$A$2:$B$11,2,FALSE))/12</f>
        <v>0</v>
      </c>
      <c r="F1541" s="5">
        <f t="shared" si="215"/>
        <v>-49.997007365620235</v>
      </c>
      <c r="G1541" s="6">
        <f t="shared" si="209"/>
        <v>4.9777500000000002E-2</v>
      </c>
      <c r="H1541" s="6">
        <f t="shared" si="210"/>
        <v>0</v>
      </c>
      <c r="I1541" s="7">
        <f t="shared" si="211"/>
        <v>-1666.5669121873414</v>
      </c>
      <c r="J1541" s="8">
        <f t="shared" si="212"/>
        <v>49777.5</v>
      </c>
      <c r="K1541" s="7">
        <f t="shared" si="213"/>
        <v>-51444.066912187343</v>
      </c>
      <c r="L1541" s="4">
        <f>IF(A1541&gt;'Yield Curve'!A2155,L1540,(1+VLOOKUP(A1541,'Yield Curve'!A1534:B2156,2,FALSE))^(1/12)-1)</f>
        <v>7.9741404289037643E-3</v>
      </c>
      <c r="M1541" s="5">
        <f t="shared" si="214"/>
        <v>-0.26510612726079441</v>
      </c>
    </row>
    <row r="1542" spans="1:13" x14ac:dyDescent="0.25">
      <c r="A1542" s="4">
        <v>1534</v>
      </c>
      <c r="B1542" s="4">
        <f t="shared" si="207"/>
        <v>172</v>
      </c>
      <c r="C1542" s="4">
        <f t="shared" si="208"/>
        <v>1549</v>
      </c>
      <c r="D1542" s="4">
        <f>IF(B1542&gt;'Mortality Table'!$A$118,D1541,VLOOKUP(B1542,'Mortality Table'!$A$2:$B$118,2,FALSE))</f>
        <v>0.59733000000000003</v>
      </c>
      <c r="E1542" s="4">
        <f>IF(INT((C1542-1)/12)+1&gt;'Lapse Table'!$A$11,E1541,VLOOKUP(INT((C1542-1)/12)+1,'Lapse Table'!$A$2:$B$11,2,FALSE))/12</f>
        <v>0</v>
      </c>
      <c r="F1542" s="5">
        <f t="shared" si="215"/>
        <v>-50.046784865620232</v>
      </c>
      <c r="G1542" s="6">
        <f t="shared" si="209"/>
        <v>4.9777500000000002E-2</v>
      </c>
      <c r="H1542" s="6">
        <f t="shared" si="210"/>
        <v>0</v>
      </c>
      <c r="I1542" s="7">
        <f t="shared" si="211"/>
        <v>-1668.2261621873411</v>
      </c>
      <c r="J1542" s="8">
        <f t="shared" si="212"/>
        <v>49777.5</v>
      </c>
      <c r="K1542" s="7">
        <f t="shared" si="213"/>
        <v>-51445.72616218734</v>
      </c>
      <c r="L1542" s="4">
        <f>IF(A1542&gt;'Yield Curve'!A2156,L1541,(1+VLOOKUP(A1542,'Yield Curve'!A1535:B2157,2,FALSE))^(1/12)-1)</f>
        <v>7.9741404289037643E-3</v>
      </c>
      <c r="M1542" s="5">
        <f t="shared" si="214"/>
        <v>-0.2630173406454796</v>
      </c>
    </row>
    <row r="1543" spans="1:13" x14ac:dyDescent="0.25">
      <c r="A1543" s="4">
        <v>1535</v>
      </c>
      <c r="B1543" s="4">
        <f t="shared" si="207"/>
        <v>172</v>
      </c>
      <c r="C1543" s="4">
        <f t="shared" si="208"/>
        <v>1550</v>
      </c>
      <c r="D1543" s="4">
        <f>IF(B1543&gt;'Mortality Table'!$A$118,D1542,VLOOKUP(B1543,'Mortality Table'!$A$2:$B$118,2,FALSE))</f>
        <v>0.59733000000000003</v>
      </c>
      <c r="E1543" s="4">
        <f>IF(INT((C1543-1)/12)+1&gt;'Lapse Table'!$A$11,E1542,VLOOKUP(INT((C1543-1)/12)+1,'Lapse Table'!$A$2:$B$11,2,FALSE))/12</f>
        <v>0</v>
      </c>
      <c r="F1543" s="5">
        <f t="shared" si="215"/>
        <v>-50.09656236562023</v>
      </c>
      <c r="G1543" s="6">
        <f t="shared" si="209"/>
        <v>4.9777500000000002E-2</v>
      </c>
      <c r="H1543" s="6">
        <f t="shared" si="210"/>
        <v>0</v>
      </c>
      <c r="I1543" s="7">
        <f t="shared" si="211"/>
        <v>-1669.885412187341</v>
      </c>
      <c r="J1543" s="8">
        <f t="shared" si="212"/>
        <v>49777.5</v>
      </c>
      <c r="K1543" s="7">
        <f t="shared" si="213"/>
        <v>-51447.385412187345</v>
      </c>
      <c r="L1543" s="4">
        <f>IF(A1543&gt;'Yield Curve'!A2157,L1542,(1+VLOOKUP(A1543,'Yield Curve'!A1536:B2158,2,FALSE))^(1/12)-1)</f>
        <v>7.9741404289037643E-3</v>
      </c>
      <c r="M1543" s="5">
        <f t="shared" si="214"/>
        <v>-0.26094501143010856</v>
      </c>
    </row>
    <row r="1544" spans="1:13" x14ac:dyDescent="0.25">
      <c r="A1544" s="4">
        <v>1536</v>
      </c>
      <c r="B1544" s="4">
        <f t="shared" si="207"/>
        <v>173</v>
      </c>
      <c r="C1544" s="4">
        <f t="shared" si="208"/>
        <v>1551</v>
      </c>
      <c r="D1544" s="4">
        <f>IF(B1544&gt;'Mortality Table'!$A$118,D1543,VLOOKUP(B1544,'Mortality Table'!$A$2:$B$118,2,FALSE))</f>
        <v>0.59733000000000003</v>
      </c>
      <c r="E1544" s="4">
        <f>IF(INT((C1544-1)/12)+1&gt;'Lapse Table'!$A$11,E1543,VLOOKUP(INT((C1544-1)/12)+1,'Lapse Table'!$A$2:$B$11,2,FALSE))/12</f>
        <v>0</v>
      </c>
      <c r="F1544" s="5">
        <f t="shared" si="215"/>
        <v>-50.146339865620227</v>
      </c>
      <c r="G1544" s="6">
        <f t="shared" si="209"/>
        <v>4.9777500000000002E-2</v>
      </c>
      <c r="H1544" s="6">
        <f t="shared" si="210"/>
        <v>0</v>
      </c>
      <c r="I1544" s="7">
        <f t="shared" si="211"/>
        <v>-1671.5446621873409</v>
      </c>
      <c r="J1544" s="8">
        <f t="shared" si="212"/>
        <v>49777.5</v>
      </c>
      <c r="K1544" s="7">
        <f t="shared" si="213"/>
        <v>-51449.044662187342</v>
      </c>
      <c r="L1544" s="4">
        <f>IF(A1544&gt;'Yield Curve'!A2158,L1543,(1+VLOOKUP(A1544,'Yield Curve'!A1537:B2159,2,FALSE))^(1/12)-1)</f>
        <v>7.9741404289037643E-3</v>
      </c>
      <c r="M1544" s="5">
        <f t="shared" si="214"/>
        <v>-0.25888900995016345</v>
      </c>
    </row>
    <row r="1545" spans="1:13" x14ac:dyDescent="0.25">
      <c r="A1545" s="4">
        <v>1537</v>
      </c>
      <c r="B1545" s="4">
        <f t="shared" si="207"/>
        <v>173</v>
      </c>
      <c r="C1545" s="4">
        <f t="shared" si="208"/>
        <v>1552</v>
      </c>
      <c r="D1545" s="4">
        <f>IF(B1545&gt;'Mortality Table'!$A$118,D1544,VLOOKUP(B1545,'Mortality Table'!$A$2:$B$118,2,FALSE))</f>
        <v>0.59733000000000003</v>
      </c>
      <c r="E1545" s="4">
        <f>IF(INT((C1545-1)/12)+1&gt;'Lapse Table'!$A$11,E1544,VLOOKUP(INT((C1545-1)/12)+1,'Lapse Table'!$A$2:$B$11,2,FALSE))/12</f>
        <v>0</v>
      </c>
      <c r="F1545" s="5">
        <f t="shared" si="215"/>
        <v>-50.196117365620225</v>
      </c>
      <c r="G1545" s="6">
        <f t="shared" si="209"/>
        <v>4.9777500000000002E-2</v>
      </c>
      <c r="H1545" s="6">
        <f t="shared" si="210"/>
        <v>0</v>
      </c>
      <c r="I1545" s="7">
        <f t="shared" si="211"/>
        <v>-1673.2039121873406</v>
      </c>
      <c r="J1545" s="8">
        <f t="shared" si="212"/>
        <v>49777.5</v>
      </c>
      <c r="K1545" s="7">
        <f t="shared" si="213"/>
        <v>-51450.703912187339</v>
      </c>
      <c r="L1545" s="4">
        <f>IF(A1545&gt;'Yield Curve'!A2159,L1544,(1+VLOOKUP(A1545,'Yield Curve'!A1538:B2160,2,FALSE))^(1/12)-1)</f>
        <v>7.9741404289037643E-3</v>
      </c>
      <c r="M1545" s="5">
        <f t="shared" si="214"/>
        <v>-0.25684920756270979</v>
      </c>
    </row>
    <row r="1546" spans="1:13" x14ac:dyDescent="0.25">
      <c r="A1546" s="4">
        <v>1538</v>
      </c>
      <c r="B1546" s="4">
        <f t="shared" ref="B1546:B1609" si="216">INT($B$3+A1546/12)</f>
        <v>173</v>
      </c>
      <c r="C1546" s="4">
        <f t="shared" ref="C1546:C1609" si="217">$B$4+A1546</f>
        <v>1553</v>
      </c>
      <c r="D1546" s="4">
        <f>IF(B1546&gt;'Mortality Table'!$A$118,D1545,VLOOKUP(B1546,'Mortality Table'!$A$2:$B$118,2,FALSE))</f>
        <v>0.59733000000000003</v>
      </c>
      <c r="E1546" s="4">
        <f>IF(INT((C1546-1)/12)+1&gt;'Lapse Table'!$A$11,E1545,VLOOKUP(INT((C1546-1)/12)+1,'Lapse Table'!$A$2:$B$11,2,FALSE))/12</f>
        <v>0</v>
      </c>
      <c r="F1546" s="5">
        <f t="shared" si="215"/>
        <v>-50.245894865620222</v>
      </c>
      <c r="G1546" s="6">
        <f t="shared" ref="G1546:G1609" si="218">D1546/12*(1-0.5*E1546)</f>
        <v>4.9777500000000002E-2</v>
      </c>
      <c r="H1546" s="6">
        <f t="shared" ref="H1546:H1609" si="219">E1546*(1-0.5*D1546)</f>
        <v>0</v>
      </c>
      <c r="I1546" s="7">
        <f t="shared" ref="I1546:I1609" si="220">F1546*$B$5/12</f>
        <v>-1674.8631621873408</v>
      </c>
      <c r="J1546" s="8">
        <f t="shared" ref="J1546:J1609" si="221">$B$6*G1546</f>
        <v>49777.5</v>
      </c>
      <c r="K1546" s="7">
        <f t="shared" ref="K1546:K1609" si="222">I1546-J1546</f>
        <v>-51452.363162187343</v>
      </c>
      <c r="L1546" s="4">
        <f>IF(A1546&gt;'Yield Curve'!A2160,L1545,(1+VLOOKUP(A1546,'Yield Curve'!A1539:B2161,2,FALSE))^(1/12)-1)</f>
        <v>7.9741404289037643E-3</v>
      </c>
      <c r="M1546" s="5">
        <f t="shared" ref="M1546:M1609" si="223">K1546*(1+L1546)^-A1546</f>
        <v>-0.25482547663834798</v>
      </c>
    </row>
    <row r="1547" spans="1:13" x14ac:dyDescent="0.25">
      <c r="A1547" s="4">
        <v>1539</v>
      </c>
      <c r="B1547" s="4">
        <f t="shared" si="216"/>
        <v>173</v>
      </c>
      <c r="C1547" s="4">
        <f t="shared" si="217"/>
        <v>1554</v>
      </c>
      <c r="D1547" s="4">
        <f>IF(B1547&gt;'Mortality Table'!$A$118,D1546,VLOOKUP(B1547,'Mortality Table'!$A$2:$B$118,2,FALSE))</f>
        <v>0.59733000000000003</v>
      </c>
      <c r="E1547" s="4">
        <f>IF(INT((C1547-1)/12)+1&gt;'Lapse Table'!$A$11,E1546,VLOOKUP(INT((C1547-1)/12)+1,'Lapse Table'!$A$2:$B$11,2,FALSE))/12</f>
        <v>0</v>
      </c>
      <c r="F1547" s="5">
        <f t="shared" ref="F1547:F1610" si="224">F1546-G1547-H1547</f>
        <v>-50.29567236562022</v>
      </c>
      <c r="G1547" s="6">
        <f t="shared" si="218"/>
        <v>4.9777500000000002E-2</v>
      </c>
      <c r="H1547" s="6">
        <f t="shared" si="219"/>
        <v>0</v>
      </c>
      <c r="I1547" s="7">
        <f t="shared" si="220"/>
        <v>-1676.5224121873407</v>
      </c>
      <c r="J1547" s="8">
        <f t="shared" si="221"/>
        <v>49777.5</v>
      </c>
      <c r="K1547" s="7">
        <f t="shared" si="222"/>
        <v>-51454.02241218734</v>
      </c>
      <c r="L1547" s="4">
        <f>IF(A1547&gt;'Yield Curve'!A2161,L1546,(1+VLOOKUP(A1547,'Yield Curve'!A1540:B2162,2,FALSE))^(1/12)-1)</f>
        <v>7.9741404289037643E-3</v>
      </c>
      <c r="M1547" s="5">
        <f t="shared" si="223"/>
        <v>-0.25281769055322773</v>
      </c>
    </row>
    <row r="1548" spans="1:13" x14ac:dyDescent="0.25">
      <c r="A1548" s="4">
        <v>1540</v>
      </c>
      <c r="B1548" s="4">
        <f t="shared" si="216"/>
        <v>173</v>
      </c>
      <c r="C1548" s="4">
        <f t="shared" si="217"/>
        <v>1555</v>
      </c>
      <c r="D1548" s="4">
        <f>IF(B1548&gt;'Mortality Table'!$A$118,D1547,VLOOKUP(B1548,'Mortality Table'!$A$2:$B$118,2,FALSE))</f>
        <v>0.59733000000000003</v>
      </c>
      <c r="E1548" s="4">
        <f>IF(INT((C1548-1)/12)+1&gt;'Lapse Table'!$A$11,E1547,VLOOKUP(INT((C1548-1)/12)+1,'Lapse Table'!$A$2:$B$11,2,FALSE))/12</f>
        <v>0</v>
      </c>
      <c r="F1548" s="5">
        <f t="shared" si="224"/>
        <v>-50.345449865620218</v>
      </c>
      <c r="G1548" s="6">
        <f t="shared" si="218"/>
        <v>4.9777500000000002E-2</v>
      </c>
      <c r="H1548" s="6">
        <f t="shared" si="219"/>
        <v>0</v>
      </c>
      <c r="I1548" s="7">
        <f t="shared" si="220"/>
        <v>-1678.1816621873406</v>
      </c>
      <c r="J1548" s="8">
        <f t="shared" si="221"/>
        <v>49777.5</v>
      </c>
      <c r="K1548" s="7">
        <f t="shared" si="222"/>
        <v>-51455.681662187344</v>
      </c>
      <c r="L1548" s="4">
        <f>IF(A1548&gt;'Yield Curve'!A2162,L1547,(1+VLOOKUP(A1548,'Yield Curve'!A1541:B2163,2,FALSE))^(1/12)-1)</f>
        <v>7.9741404289037643E-3</v>
      </c>
      <c r="M1548" s="5">
        <f t="shared" si="223"/>
        <v>-0.25082572368112627</v>
      </c>
    </row>
    <row r="1549" spans="1:13" x14ac:dyDescent="0.25">
      <c r="A1549" s="4">
        <v>1541</v>
      </c>
      <c r="B1549" s="4">
        <f t="shared" si="216"/>
        <v>173</v>
      </c>
      <c r="C1549" s="4">
        <f t="shared" si="217"/>
        <v>1556</v>
      </c>
      <c r="D1549" s="4">
        <f>IF(B1549&gt;'Mortality Table'!$A$118,D1548,VLOOKUP(B1549,'Mortality Table'!$A$2:$B$118,2,FALSE))</f>
        <v>0.59733000000000003</v>
      </c>
      <c r="E1549" s="4">
        <f>IF(INT((C1549-1)/12)+1&gt;'Lapse Table'!$A$11,E1548,VLOOKUP(INT((C1549-1)/12)+1,'Lapse Table'!$A$2:$B$11,2,FALSE))/12</f>
        <v>0</v>
      </c>
      <c r="F1549" s="5">
        <f t="shared" si="224"/>
        <v>-50.395227365620215</v>
      </c>
      <c r="G1549" s="6">
        <f t="shared" si="218"/>
        <v>4.9777500000000002E-2</v>
      </c>
      <c r="H1549" s="6">
        <f t="shared" si="219"/>
        <v>0</v>
      </c>
      <c r="I1549" s="7">
        <f t="shared" si="220"/>
        <v>-1679.8409121873403</v>
      </c>
      <c r="J1549" s="8">
        <f t="shared" si="221"/>
        <v>49777.5</v>
      </c>
      <c r="K1549" s="7">
        <f t="shared" si="222"/>
        <v>-51457.340912187341</v>
      </c>
      <c r="L1549" s="4">
        <f>IF(A1549&gt;'Yield Curve'!A2163,L1548,(1+VLOOKUP(A1549,'Yield Curve'!A1542:B2164,2,FALSE))^(1/12)-1)</f>
        <v>7.9741404289037643E-3</v>
      </c>
      <c r="M1549" s="5">
        <f t="shared" si="223"/>
        <v>-0.24884945138558806</v>
      </c>
    </row>
    <row r="1550" spans="1:13" x14ac:dyDescent="0.25">
      <c r="A1550" s="4">
        <v>1542</v>
      </c>
      <c r="B1550" s="4">
        <f t="shared" si="216"/>
        <v>173</v>
      </c>
      <c r="C1550" s="4">
        <f t="shared" si="217"/>
        <v>1557</v>
      </c>
      <c r="D1550" s="4">
        <f>IF(B1550&gt;'Mortality Table'!$A$118,D1549,VLOOKUP(B1550,'Mortality Table'!$A$2:$B$118,2,FALSE))</f>
        <v>0.59733000000000003</v>
      </c>
      <c r="E1550" s="4">
        <f>IF(INT((C1550-1)/12)+1&gt;'Lapse Table'!$A$11,E1549,VLOOKUP(INT((C1550-1)/12)+1,'Lapse Table'!$A$2:$B$11,2,FALSE))/12</f>
        <v>0</v>
      </c>
      <c r="F1550" s="5">
        <f t="shared" si="224"/>
        <v>-50.445004865620213</v>
      </c>
      <c r="G1550" s="6">
        <f t="shared" si="218"/>
        <v>4.9777500000000002E-2</v>
      </c>
      <c r="H1550" s="6">
        <f t="shared" si="219"/>
        <v>0</v>
      </c>
      <c r="I1550" s="7">
        <f t="shared" si="220"/>
        <v>-1681.5001621873405</v>
      </c>
      <c r="J1550" s="8">
        <f t="shared" si="221"/>
        <v>49777.5</v>
      </c>
      <c r="K1550" s="7">
        <f t="shared" si="222"/>
        <v>-51459.000162187338</v>
      </c>
      <c r="L1550" s="4">
        <f>IF(A1550&gt;'Yield Curve'!A2164,L1549,(1+VLOOKUP(A1550,'Yield Curve'!A1543:B2165,2,FALSE))^(1/12)-1)</f>
        <v>7.9741404289037643E-3</v>
      </c>
      <c r="M1550" s="5">
        <f t="shared" si="223"/>
        <v>-0.24688875001212757</v>
      </c>
    </row>
    <row r="1551" spans="1:13" x14ac:dyDescent="0.25">
      <c r="A1551" s="4">
        <v>1543</v>
      </c>
      <c r="B1551" s="4">
        <f t="shared" si="216"/>
        <v>173</v>
      </c>
      <c r="C1551" s="4">
        <f t="shared" si="217"/>
        <v>1558</v>
      </c>
      <c r="D1551" s="4">
        <f>IF(B1551&gt;'Mortality Table'!$A$118,D1550,VLOOKUP(B1551,'Mortality Table'!$A$2:$B$118,2,FALSE))</f>
        <v>0.59733000000000003</v>
      </c>
      <c r="E1551" s="4">
        <f>IF(INT((C1551-1)/12)+1&gt;'Lapse Table'!$A$11,E1550,VLOOKUP(INT((C1551-1)/12)+1,'Lapse Table'!$A$2:$B$11,2,FALSE))/12</f>
        <v>0</v>
      </c>
      <c r="F1551" s="5">
        <f t="shared" si="224"/>
        <v>-50.49478236562021</v>
      </c>
      <c r="G1551" s="6">
        <f t="shared" si="218"/>
        <v>4.9777500000000002E-2</v>
      </c>
      <c r="H1551" s="6">
        <f t="shared" si="219"/>
        <v>0</v>
      </c>
      <c r="I1551" s="7">
        <f t="shared" si="220"/>
        <v>-1683.1594121873404</v>
      </c>
      <c r="J1551" s="8">
        <f t="shared" si="221"/>
        <v>49777.5</v>
      </c>
      <c r="K1551" s="7">
        <f t="shared" si="222"/>
        <v>-51460.659412187342</v>
      </c>
      <c r="L1551" s="4">
        <f>IF(A1551&gt;'Yield Curve'!A2165,L1550,(1+VLOOKUP(A1551,'Yield Curve'!A1544:B2166,2,FALSE))^(1/12)-1)</f>
        <v>7.9741404289037643E-3</v>
      </c>
      <c r="M1551" s="5">
        <f t="shared" si="223"/>
        <v>-0.24494349688049197</v>
      </c>
    </row>
    <row r="1552" spans="1:13" x14ac:dyDescent="0.25">
      <c r="A1552" s="4">
        <v>1544</v>
      </c>
      <c r="B1552" s="4">
        <f t="shared" si="216"/>
        <v>173</v>
      </c>
      <c r="C1552" s="4">
        <f t="shared" si="217"/>
        <v>1559</v>
      </c>
      <c r="D1552" s="4">
        <f>IF(B1552&gt;'Mortality Table'!$A$118,D1551,VLOOKUP(B1552,'Mortality Table'!$A$2:$B$118,2,FALSE))</f>
        <v>0.59733000000000003</v>
      </c>
      <c r="E1552" s="4">
        <f>IF(INT((C1552-1)/12)+1&gt;'Lapse Table'!$A$11,E1551,VLOOKUP(INT((C1552-1)/12)+1,'Lapse Table'!$A$2:$B$11,2,FALSE))/12</f>
        <v>0</v>
      </c>
      <c r="F1552" s="5">
        <f t="shared" si="224"/>
        <v>-50.544559865620208</v>
      </c>
      <c r="G1552" s="6">
        <f t="shared" si="218"/>
        <v>4.9777500000000002E-2</v>
      </c>
      <c r="H1552" s="6">
        <f t="shared" si="219"/>
        <v>0</v>
      </c>
      <c r="I1552" s="7">
        <f t="shared" si="220"/>
        <v>-1684.8186621873401</v>
      </c>
      <c r="J1552" s="8">
        <f t="shared" si="221"/>
        <v>49777.5</v>
      </c>
      <c r="K1552" s="7">
        <f t="shared" si="222"/>
        <v>-51462.318662187339</v>
      </c>
      <c r="L1552" s="4">
        <f>IF(A1552&gt;'Yield Curve'!A2166,L1551,(1+VLOOKUP(A1552,'Yield Curve'!A1545:B2167,2,FALSE))^(1/12)-1)</f>
        <v>7.9741404289037643E-3</v>
      </c>
      <c r="M1552" s="5">
        <f t="shared" si="223"/>
        <v>-0.24301357027698597</v>
      </c>
    </row>
    <row r="1553" spans="1:13" x14ac:dyDescent="0.25">
      <c r="A1553" s="4">
        <v>1545</v>
      </c>
      <c r="B1553" s="4">
        <f t="shared" si="216"/>
        <v>173</v>
      </c>
      <c r="C1553" s="4">
        <f t="shared" si="217"/>
        <v>1560</v>
      </c>
      <c r="D1553" s="4">
        <f>IF(B1553&gt;'Mortality Table'!$A$118,D1552,VLOOKUP(B1553,'Mortality Table'!$A$2:$B$118,2,FALSE))</f>
        <v>0.59733000000000003</v>
      </c>
      <c r="E1553" s="4">
        <f>IF(INT((C1553-1)/12)+1&gt;'Lapse Table'!$A$11,E1552,VLOOKUP(INT((C1553-1)/12)+1,'Lapse Table'!$A$2:$B$11,2,FALSE))/12</f>
        <v>0</v>
      </c>
      <c r="F1553" s="5">
        <f t="shared" si="224"/>
        <v>-50.594337365620206</v>
      </c>
      <c r="G1553" s="6">
        <f t="shared" si="218"/>
        <v>4.9777500000000002E-2</v>
      </c>
      <c r="H1553" s="6">
        <f t="shared" si="219"/>
        <v>0</v>
      </c>
      <c r="I1553" s="7">
        <f t="shared" si="220"/>
        <v>-1686.4779121873401</v>
      </c>
      <c r="J1553" s="8">
        <f t="shared" si="221"/>
        <v>49777.5</v>
      </c>
      <c r="K1553" s="7">
        <f t="shared" si="222"/>
        <v>-51463.977912187343</v>
      </c>
      <c r="L1553" s="4">
        <f>IF(A1553&gt;'Yield Curve'!A2167,L1552,(1+VLOOKUP(A1553,'Yield Curve'!A1546:B2168,2,FALSE))^(1/12)-1)</f>
        <v>7.9741404289037643E-3</v>
      </c>
      <c r="M1553" s="5">
        <f t="shared" si="223"/>
        <v>-0.24109884944685708</v>
      </c>
    </row>
    <row r="1554" spans="1:13" x14ac:dyDescent="0.25">
      <c r="A1554" s="4">
        <v>1546</v>
      </c>
      <c r="B1554" s="4">
        <f t="shared" si="216"/>
        <v>173</v>
      </c>
      <c r="C1554" s="4">
        <f t="shared" si="217"/>
        <v>1561</v>
      </c>
      <c r="D1554" s="4">
        <f>IF(B1554&gt;'Mortality Table'!$A$118,D1553,VLOOKUP(B1554,'Mortality Table'!$A$2:$B$118,2,FALSE))</f>
        <v>0.59733000000000003</v>
      </c>
      <c r="E1554" s="4">
        <f>IF(INT((C1554-1)/12)+1&gt;'Lapse Table'!$A$11,E1553,VLOOKUP(INT((C1554-1)/12)+1,'Lapse Table'!$A$2:$B$11,2,FALSE))/12</f>
        <v>0</v>
      </c>
      <c r="F1554" s="5">
        <f t="shared" si="224"/>
        <v>-50.644114865620203</v>
      </c>
      <c r="G1554" s="6">
        <f t="shared" si="218"/>
        <v>4.9777500000000002E-2</v>
      </c>
      <c r="H1554" s="6">
        <f t="shared" si="219"/>
        <v>0</v>
      </c>
      <c r="I1554" s="7">
        <f t="shared" si="220"/>
        <v>-1688.1371621873402</v>
      </c>
      <c r="J1554" s="8">
        <f t="shared" si="221"/>
        <v>49777.5</v>
      </c>
      <c r="K1554" s="7">
        <f t="shared" si="222"/>
        <v>-51465.63716218734</v>
      </c>
      <c r="L1554" s="4">
        <f>IF(A1554&gt;'Yield Curve'!A2168,L1553,(1+VLOOKUP(A1554,'Yield Curve'!A1547:B2169,2,FALSE))^(1/12)-1)</f>
        <v>7.9741404289037643E-3</v>
      </c>
      <c r="M1554" s="5">
        <f t="shared" si="223"/>
        <v>-0.23919921458673984</v>
      </c>
    </row>
    <row r="1555" spans="1:13" x14ac:dyDescent="0.25">
      <c r="A1555" s="4">
        <v>1547</v>
      </c>
      <c r="B1555" s="4">
        <f t="shared" si="216"/>
        <v>173</v>
      </c>
      <c r="C1555" s="4">
        <f t="shared" si="217"/>
        <v>1562</v>
      </c>
      <c r="D1555" s="4">
        <f>IF(B1555&gt;'Mortality Table'!$A$118,D1554,VLOOKUP(B1555,'Mortality Table'!$A$2:$B$118,2,FALSE))</f>
        <v>0.59733000000000003</v>
      </c>
      <c r="E1555" s="4">
        <f>IF(INT((C1555-1)/12)+1&gt;'Lapse Table'!$A$11,E1554,VLOOKUP(INT((C1555-1)/12)+1,'Lapse Table'!$A$2:$B$11,2,FALSE))/12</f>
        <v>0</v>
      </c>
      <c r="F1555" s="5">
        <f t="shared" si="224"/>
        <v>-50.693892365620201</v>
      </c>
      <c r="G1555" s="6">
        <f t="shared" si="218"/>
        <v>4.9777500000000002E-2</v>
      </c>
      <c r="H1555" s="6">
        <f t="shared" si="219"/>
        <v>0</v>
      </c>
      <c r="I1555" s="7">
        <f t="shared" si="220"/>
        <v>-1689.7964121873401</v>
      </c>
      <c r="J1555" s="8">
        <f t="shared" si="221"/>
        <v>49777.5</v>
      </c>
      <c r="K1555" s="7">
        <f t="shared" si="222"/>
        <v>-51467.296412187337</v>
      </c>
      <c r="L1555" s="4">
        <f>IF(A1555&gt;'Yield Curve'!A2169,L1554,(1+VLOOKUP(A1555,'Yield Curve'!A1548:B2170,2,FALSE))^(1/12)-1)</f>
        <v>7.9741404289037643E-3</v>
      </c>
      <c r="M1555" s="5">
        <f t="shared" si="223"/>
        <v>-0.23731454683716099</v>
      </c>
    </row>
    <row r="1556" spans="1:13" x14ac:dyDescent="0.25">
      <c r="A1556" s="4">
        <v>1548</v>
      </c>
      <c r="B1556" s="4">
        <f t="shared" si="216"/>
        <v>174</v>
      </c>
      <c r="C1556" s="4">
        <f t="shared" si="217"/>
        <v>1563</v>
      </c>
      <c r="D1556" s="4">
        <f>IF(B1556&gt;'Mortality Table'!$A$118,D1555,VLOOKUP(B1556,'Mortality Table'!$A$2:$B$118,2,FALSE))</f>
        <v>0.59733000000000003</v>
      </c>
      <c r="E1556" s="4">
        <f>IF(INT((C1556-1)/12)+1&gt;'Lapse Table'!$A$11,E1555,VLOOKUP(INT((C1556-1)/12)+1,'Lapse Table'!$A$2:$B$11,2,FALSE))/12</f>
        <v>0</v>
      </c>
      <c r="F1556" s="5">
        <f t="shared" si="224"/>
        <v>-50.743669865620198</v>
      </c>
      <c r="G1556" s="6">
        <f t="shared" si="218"/>
        <v>4.9777500000000002E-2</v>
      </c>
      <c r="H1556" s="6">
        <f t="shared" si="219"/>
        <v>0</v>
      </c>
      <c r="I1556" s="7">
        <f t="shared" si="220"/>
        <v>-1691.4556621873398</v>
      </c>
      <c r="J1556" s="8">
        <f t="shared" si="221"/>
        <v>49777.5</v>
      </c>
      <c r="K1556" s="7">
        <f t="shared" si="222"/>
        <v>-51468.955662187342</v>
      </c>
      <c r="L1556" s="4">
        <f>IF(A1556&gt;'Yield Curve'!A2170,L1555,(1+VLOOKUP(A1556,'Yield Curve'!A1549:B2171,2,FALSE))^(1/12)-1)</f>
        <v>7.9741404289037643E-3</v>
      </c>
      <c r="M1556" s="5">
        <f t="shared" si="223"/>
        <v>-0.23544472827510238</v>
      </c>
    </row>
    <row r="1557" spans="1:13" x14ac:dyDescent="0.25">
      <c r="A1557" s="4">
        <v>1549</v>
      </c>
      <c r="B1557" s="4">
        <f t="shared" si="216"/>
        <v>174</v>
      </c>
      <c r="C1557" s="4">
        <f t="shared" si="217"/>
        <v>1564</v>
      </c>
      <c r="D1557" s="4">
        <f>IF(B1557&gt;'Mortality Table'!$A$118,D1556,VLOOKUP(B1557,'Mortality Table'!$A$2:$B$118,2,FALSE))</f>
        <v>0.59733000000000003</v>
      </c>
      <c r="E1557" s="4">
        <f>IF(INT((C1557-1)/12)+1&gt;'Lapse Table'!$A$11,E1556,VLOOKUP(INT((C1557-1)/12)+1,'Lapse Table'!$A$2:$B$11,2,FALSE))/12</f>
        <v>0</v>
      </c>
      <c r="F1557" s="5">
        <f t="shared" si="224"/>
        <v>-50.793447365620196</v>
      </c>
      <c r="G1557" s="6">
        <f t="shared" si="218"/>
        <v>4.9777500000000002E-2</v>
      </c>
      <c r="H1557" s="6">
        <f t="shared" si="219"/>
        <v>0</v>
      </c>
      <c r="I1557" s="7">
        <f t="shared" si="220"/>
        <v>-1693.1149121873398</v>
      </c>
      <c r="J1557" s="8">
        <f t="shared" si="221"/>
        <v>49777.5</v>
      </c>
      <c r="K1557" s="7">
        <f t="shared" si="222"/>
        <v>-51470.614912187339</v>
      </c>
      <c r="L1557" s="4">
        <f>IF(A1557&gt;'Yield Curve'!A2171,L1556,(1+VLOOKUP(A1557,'Yield Curve'!A1550:B2172,2,FALSE))^(1/12)-1)</f>
        <v>7.9741404289037643E-3</v>
      </c>
      <c r="M1557" s="5">
        <f t="shared" si="223"/>
        <v>-0.23358964190662354</v>
      </c>
    </row>
    <row r="1558" spans="1:13" x14ac:dyDescent="0.25">
      <c r="A1558" s="4">
        <v>1550</v>
      </c>
      <c r="B1558" s="4">
        <f t="shared" si="216"/>
        <v>174</v>
      </c>
      <c r="C1558" s="4">
        <f t="shared" si="217"/>
        <v>1565</v>
      </c>
      <c r="D1558" s="4">
        <f>IF(B1558&gt;'Mortality Table'!$A$118,D1557,VLOOKUP(B1558,'Mortality Table'!$A$2:$B$118,2,FALSE))</f>
        <v>0.59733000000000003</v>
      </c>
      <c r="E1558" s="4">
        <f>IF(INT((C1558-1)/12)+1&gt;'Lapse Table'!$A$11,E1557,VLOOKUP(INT((C1558-1)/12)+1,'Lapse Table'!$A$2:$B$11,2,FALSE))/12</f>
        <v>0</v>
      </c>
      <c r="F1558" s="5">
        <f t="shared" si="224"/>
        <v>-50.843224865620193</v>
      </c>
      <c r="G1558" s="6">
        <f t="shared" si="218"/>
        <v>4.9777500000000002E-2</v>
      </c>
      <c r="H1558" s="6">
        <f t="shared" si="219"/>
        <v>0</v>
      </c>
      <c r="I1558" s="7">
        <f t="shared" si="220"/>
        <v>-1694.7741621873399</v>
      </c>
      <c r="J1558" s="8">
        <f t="shared" si="221"/>
        <v>49777.5</v>
      </c>
      <c r="K1558" s="7">
        <f t="shared" si="222"/>
        <v>-51472.274162187343</v>
      </c>
      <c r="L1558" s="4">
        <f>IF(A1558&gt;'Yield Curve'!A2172,L1557,(1+VLOOKUP(A1558,'Yield Curve'!A1551:B2173,2,FALSE))^(1/12)-1)</f>
        <v>7.9741404289037643E-3</v>
      </c>
      <c r="M1558" s="5">
        <f t="shared" si="223"/>
        <v>-0.23174917165954156</v>
      </c>
    </row>
    <row r="1559" spans="1:13" x14ac:dyDescent="0.25">
      <c r="A1559" s="4">
        <v>1551</v>
      </c>
      <c r="B1559" s="4">
        <f t="shared" si="216"/>
        <v>174</v>
      </c>
      <c r="C1559" s="4">
        <f t="shared" si="217"/>
        <v>1566</v>
      </c>
      <c r="D1559" s="4">
        <f>IF(B1559&gt;'Mortality Table'!$A$118,D1558,VLOOKUP(B1559,'Mortality Table'!$A$2:$B$118,2,FALSE))</f>
        <v>0.59733000000000003</v>
      </c>
      <c r="E1559" s="4">
        <f>IF(INT((C1559-1)/12)+1&gt;'Lapse Table'!$A$11,E1558,VLOOKUP(INT((C1559-1)/12)+1,'Lapse Table'!$A$2:$B$11,2,FALSE))/12</f>
        <v>0</v>
      </c>
      <c r="F1559" s="5">
        <f t="shared" si="224"/>
        <v>-50.893002365620191</v>
      </c>
      <c r="G1559" s="6">
        <f t="shared" si="218"/>
        <v>4.9777500000000002E-2</v>
      </c>
      <c r="H1559" s="6">
        <f t="shared" si="219"/>
        <v>0</v>
      </c>
      <c r="I1559" s="7">
        <f t="shared" si="220"/>
        <v>-1696.4334121873399</v>
      </c>
      <c r="J1559" s="8">
        <f t="shared" si="221"/>
        <v>49777.5</v>
      </c>
      <c r="K1559" s="7">
        <f t="shared" si="222"/>
        <v>-51473.93341218734</v>
      </c>
      <c r="L1559" s="4">
        <f>IF(A1559&gt;'Yield Curve'!A2173,L1558,(1+VLOOKUP(A1559,'Yield Curve'!A1552:B2174,2,FALSE))^(1/12)-1)</f>
        <v>7.9741404289037643E-3</v>
      </c>
      <c r="M1559" s="5">
        <f t="shared" si="223"/>
        <v>-0.2299232023761692</v>
      </c>
    </row>
    <row r="1560" spans="1:13" x14ac:dyDescent="0.25">
      <c r="A1560" s="4">
        <v>1552</v>
      </c>
      <c r="B1560" s="4">
        <f t="shared" si="216"/>
        <v>174</v>
      </c>
      <c r="C1560" s="4">
        <f t="shared" si="217"/>
        <v>1567</v>
      </c>
      <c r="D1560" s="4">
        <f>IF(B1560&gt;'Mortality Table'!$A$118,D1559,VLOOKUP(B1560,'Mortality Table'!$A$2:$B$118,2,FALSE))</f>
        <v>0.59733000000000003</v>
      </c>
      <c r="E1560" s="4">
        <f>IF(INT((C1560-1)/12)+1&gt;'Lapse Table'!$A$11,E1559,VLOOKUP(INT((C1560-1)/12)+1,'Lapse Table'!$A$2:$B$11,2,FALSE))/12</f>
        <v>0</v>
      </c>
      <c r="F1560" s="5">
        <f t="shared" si="224"/>
        <v>-50.942779865620189</v>
      </c>
      <c r="G1560" s="6">
        <f t="shared" si="218"/>
        <v>4.9777500000000002E-2</v>
      </c>
      <c r="H1560" s="6">
        <f t="shared" si="219"/>
        <v>0</v>
      </c>
      <c r="I1560" s="7">
        <f t="shared" si="220"/>
        <v>-1698.0926621873396</v>
      </c>
      <c r="J1560" s="8">
        <f t="shared" si="221"/>
        <v>49777.5</v>
      </c>
      <c r="K1560" s="7">
        <f t="shared" si="222"/>
        <v>-51475.592662187337</v>
      </c>
      <c r="L1560" s="4">
        <f>IF(A1560&gt;'Yield Curve'!A2174,L1559,(1+VLOOKUP(A1560,'Yield Curve'!A1553:B2175,2,FALSE))^(1/12)-1)</f>
        <v>7.9741404289037643E-3</v>
      </c>
      <c r="M1560" s="5">
        <f t="shared" si="223"/>
        <v>-0.22811161980610978</v>
      </c>
    </row>
    <row r="1561" spans="1:13" x14ac:dyDescent="0.25">
      <c r="A1561" s="4">
        <v>1553</v>
      </c>
      <c r="B1561" s="4">
        <f t="shared" si="216"/>
        <v>174</v>
      </c>
      <c r="C1561" s="4">
        <f t="shared" si="217"/>
        <v>1568</v>
      </c>
      <c r="D1561" s="4">
        <f>IF(B1561&gt;'Mortality Table'!$A$118,D1560,VLOOKUP(B1561,'Mortality Table'!$A$2:$B$118,2,FALSE))</f>
        <v>0.59733000000000003</v>
      </c>
      <c r="E1561" s="4">
        <f>IF(INT((C1561-1)/12)+1&gt;'Lapse Table'!$A$11,E1560,VLOOKUP(INT((C1561-1)/12)+1,'Lapse Table'!$A$2:$B$11,2,FALSE))/12</f>
        <v>0</v>
      </c>
      <c r="F1561" s="5">
        <f t="shared" si="224"/>
        <v>-50.992557365620186</v>
      </c>
      <c r="G1561" s="6">
        <f t="shared" si="218"/>
        <v>4.9777500000000002E-2</v>
      </c>
      <c r="H1561" s="6">
        <f t="shared" si="219"/>
        <v>0</v>
      </c>
      <c r="I1561" s="7">
        <f t="shared" si="220"/>
        <v>-1699.7519121873395</v>
      </c>
      <c r="J1561" s="8">
        <f t="shared" si="221"/>
        <v>49777.5</v>
      </c>
      <c r="K1561" s="7">
        <f t="shared" si="222"/>
        <v>-51477.251912187341</v>
      </c>
      <c r="L1561" s="4">
        <f>IF(A1561&gt;'Yield Curve'!A2175,L1560,(1+VLOOKUP(A1561,'Yield Curve'!A1554:B2176,2,FALSE))^(1/12)-1)</f>
        <v>7.9741404289037643E-3</v>
      </c>
      <c r="M1561" s="5">
        <f t="shared" si="223"/>
        <v>-0.22631431059910945</v>
      </c>
    </row>
    <row r="1562" spans="1:13" x14ac:dyDescent="0.25">
      <c r="A1562" s="4">
        <v>1554</v>
      </c>
      <c r="B1562" s="4">
        <f t="shared" si="216"/>
        <v>174</v>
      </c>
      <c r="C1562" s="4">
        <f t="shared" si="217"/>
        <v>1569</v>
      </c>
      <c r="D1562" s="4">
        <f>IF(B1562&gt;'Mortality Table'!$A$118,D1561,VLOOKUP(B1562,'Mortality Table'!$A$2:$B$118,2,FALSE))</f>
        <v>0.59733000000000003</v>
      </c>
      <c r="E1562" s="4">
        <f>IF(INT((C1562-1)/12)+1&gt;'Lapse Table'!$A$11,E1561,VLOOKUP(INT((C1562-1)/12)+1,'Lapse Table'!$A$2:$B$11,2,FALSE))/12</f>
        <v>0</v>
      </c>
      <c r="F1562" s="5">
        <f t="shared" si="224"/>
        <v>-51.042334865620184</v>
      </c>
      <c r="G1562" s="6">
        <f t="shared" si="218"/>
        <v>4.9777500000000002E-2</v>
      </c>
      <c r="H1562" s="6">
        <f t="shared" si="219"/>
        <v>0</v>
      </c>
      <c r="I1562" s="7">
        <f t="shared" si="220"/>
        <v>-1701.4111621873396</v>
      </c>
      <c r="J1562" s="8">
        <f t="shared" si="221"/>
        <v>49777.5</v>
      </c>
      <c r="K1562" s="7">
        <f t="shared" si="222"/>
        <v>-51478.911162187338</v>
      </c>
      <c r="L1562" s="4">
        <f>IF(A1562&gt;'Yield Curve'!A2176,L1561,(1+VLOOKUP(A1562,'Yield Curve'!A1555:B2177,2,FALSE))^(1/12)-1)</f>
        <v>7.9741404289037643E-3</v>
      </c>
      <c r="M1562" s="5">
        <f t="shared" si="223"/>
        <v>-0.22453116229796477</v>
      </c>
    </row>
    <row r="1563" spans="1:13" x14ac:dyDescent="0.25">
      <c r="A1563" s="4">
        <v>1555</v>
      </c>
      <c r="B1563" s="4">
        <f t="shared" si="216"/>
        <v>174</v>
      </c>
      <c r="C1563" s="4">
        <f t="shared" si="217"/>
        <v>1570</v>
      </c>
      <c r="D1563" s="4">
        <f>IF(B1563&gt;'Mortality Table'!$A$118,D1562,VLOOKUP(B1563,'Mortality Table'!$A$2:$B$118,2,FALSE))</f>
        <v>0.59733000000000003</v>
      </c>
      <c r="E1563" s="4">
        <f>IF(INT((C1563-1)/12)+1&gt;'Lapse Table'!$A$11,E1562,VLOOKUP(INT((C1563-1)/12)+1,'Lapse Table'!$A$2:$B$11,2,FALSE))/12</f>
        <v>0</v>
      </c>
      <c r="F1563" s="5">
        <f t="shared" si="224"/>
        <v>-51.092112365620181</v>
      </c>
      <c r="G1563" s="6">
        <f t="shared" si="218"/>
        <v>4.9777500000000002E-2</v>
      </c>
      <c r="H1563" s="6">
        <f t="shared" si="219"/>
        <v>0</v>
      </c>
      <c r="I1563" s="7">
        <f t="shared" si="220"/>
        <v>-1703.0704121873393</v>
      </c>
      <c r="J1563" s="8">
        <f t="shared" si="221"/>
        <v>49777.5</v>
      </c>
      <c r="K1563" s="7">
        <f t="shared" si="222"/>
        <v>-51480.570412187342</v>
      </c>
      <c r="L1563" s="4">
        <f>IF(A1563&gt;'Yield Curve'!A2177,L1562,(1+VLOOKUP(A1563,'Yield Curve'!A1556:B2178,2,FALSE))^(1/12)-1)</f>
        <v>7.9741404289037643E-3</v>
      </c>
      <c r="M1563" s="5">
        <f t="shared" si="223"/>
        <v>-0.22276206333148735</v>
      </c>
    </row>
    <row r="1564" spans="1:13" x14ac:dyDescent="0.25">
      <c r="A1564" s="4">
        <v>1556</v>
      </c>
      <c r="B1564" s="4">
        <f t="shared" si="216"/>
        <v>174</v>
      </c>
      <c r="C1564" s="4">
        <f t="shared" si="217"/>
        <v>1571</v>
      </c>
      <c r="D1564" s="4">
        <f>IF(B1564&gt;'Mortality Table'!$A$118,D1563,VLOOKUP(B1564,'Mortality Table'!$A$2:$B$118,2,FALSE))</f>
        <v>0.59733000000000003</v>
      </c>
      <c r="E1564" s="4">
        <f>IF(INT((C1564-1)/12)+1&gt;'Lapse Table'!$A$11,E1563,VLOOKUP(INT((C1564-1)/12)+1,'Lapse Table'!$A$2:$B$11,2,FALSE))/12</f>
        <v>0</v>
      </c>
      <c r="F1564" s="5">
        <f t="shared" si="224"/>
        <v>-51.141889865620179</v>
      </c>
      <c r="G1564" s="6">
        <f t="shared" si="218"/>
        <v>4.9777500000000002E-2</v>
      </c>
      <c r="H1564" s="6">
        <f t="shared" si="219"/>
        <v>0</v>
      </c>
      <c r="I1564" s="7">
        <f t="shared" si="220"/>
        <v>-1704.7296621873393</v>
      </c>
      <c r="J1564" s="8">
        <f t="shared" si="221"/>
        <v>49777.5</v>
      </c>
      <c r="K1564" s="7">
        <f t="shared" si="222"/>
        <v>-51482.229662187339</v>
      </c>
      <c r="L1564" s="4">
        <f>IF(A1564&gt;'Yield Curve'!A2178,L1563,(1+VLOOKUP(A1564,'Yield Curve'!A1557:B2179,2,FALSE))^(1/12)-1)</f>
        <v>7.9741404289037643E-3</v>
      </c>
      <c r="M1564" s="5">
        <f t="shared" si="223"/>
        <v>-0.22100690300752276</v>
      </c>
    </row>
    <row r="1565" spans="1:13" x14ac:dyDescent="0.25">
      <c r="A1565" s="4">
        <v>1557</v>
      </c>
      <c r="B1565" s="4">
        <f t="shared" si="216"/>
        <v>174</v>
      </c>
      <c r="C1565" s="4">
        <f t="shared" si="217"/>
        <v>1572</v>
      </c>
      <c r="D1565" s="4">
        <f>IF(B1565&gt;'Mortality Table'!$A$118,D1564,VLOOKUP(B1565,'Mortality Table'!$A$2:$B$118,2,FALSE))</f>
        <v>0.59733000000000003</v>
      </c>
      <c r="E1565" s="4">
        <f>IF(INT((C1565-1)/12)+1&gt;'Lapse Table'!$A$11,E1564,VLOOKUP(INT((C1565-1)/12)+1,'Lapse Table'!$A$2:$B$11,2,FALSE))/12</f>
        <v>0</v>
      </c>
      <c r="F1565" s="5">
        <f t="shared" si="224"/>
        <v>-51.191667365620177</v>
      </c>
      <c r="G1565" s="6">
        <f t="shared" si="218"/>
        <v>4.9777500000000002E-2</v>
      </c>
      <c r="H1565" s="6">
        <f t="shared" si="219"/>
        <v>0</v>
      </c>
      <c r="I1565" s="7">
        <f t="shared" si="220"/>
        <v>-1706.3889121873392</v>
      </c>
      <c r="J1565" s="8">
        <f t="shared" si="221"/>
        <v>49777.5</v>
      </c>
      <c r="K1565" s="7">
        <f t="shared" si="222"/>
        <v>-51483.888912187336</v>
      </c>
      <c r="L1565" s="4">
        <f>IF(A1565&gt;'Yield Curve'!A2179,L1564,(1+VLOOKUP(A1565,'Yield Curve'!A1558:B2180,2,FALSE))^(1/12)-1)</f>
        <v>7.9741404289037643E-3</v>
      </c>
      <c r="M1565" s="5">
        <f t="shared" si="223"/>
        <v>-0.2192655715060256</v>
      </c>
    </row>
    <row r="1566" spans="1:13" x14ac:dyDescent="0.25">
      <c r="A1566" s="4">
        <v>1558</v>
      </c>
      <c r="B1566" s="4">
        <f t="shared" si="216"/>
        <v>174</v>
      </c>
      <c r="C1566" s="4">
        <f t="shared" si="217"/>
        <v>1573</v>
      </c>
      <c r="D1566" s="4">
        <f>IF(B1566&gt;'Mortality Table'!$A$118,D1565,VLOOKUP(B1566,'Mortality Table'!$A$2:$B$118,2,FALSE))</f>
        <v>0.59733000000000003</v>
      </c>
      <c r="E1566" s="4">
        <f>IF(INT((C1566-1)/12)+1&gt;'Lapse Table'!$A$11,E1565,VLOOKUP(INT((C1566-1)/12)+1,'Lapse Table'!$A$2:$B$11,2,FALSE))/12</f>
        <v>0</v>
      </c>
      <c r="F1566" s="5">
        <f t="shared" si="224"/>
        <v>-51.241444865620174</v>
      </c>
      <c r="G1566" s="6">
        <f t="shared" si="218"/>
        <v>4.9777500000000002E-2</v>
      </c>
      <c r="H1566" s="6">
        <f t="shared" si="219"/>
        <v>0</v>
      </c>
      <c r="I1566" s="7">
        <f t="shared" si="220"/>
        <v>-1708.0481621873394</v>
      </c>
      <c r="J1566" s="8">
        <f t="shared" si="221"/>
        <v>49777.5</v>
      </c>
      <c r="K1566" s="7">
        <f t="shared" si="222"/>
        <v>-51485.54816218734</v>
      </c>
      <c r="L1566" s="4">
        <f>IF(A1566&gt;'Yield Curve'!A2180,L1565,(1+VLOOKUP(A1566,'Yield Curve'!A1559:B2181,2,FALSE))^(1/12)-1)</f>
        <v>7.9741404289037643E-3</v>
      </c>
      <c r="M1566" s="5">
        <f t="shared" si="223"/>
        <v>-0.21753795987218846</v>
      </c>
    </row>
    <row r="1567" spans="1:13" x14ac:dyDescent="0.25">
      <c r="A1567" s="4">
        <v>1559</v>
      </c>
      <c r="B1567" s="4">
        <f t="shared" si="216"/>
        <v>174</v>
      </c>
      <c r="C1567" s="4">
        <f t="shared" si="217"/>
        <v>1574</v>
      </c>
      <c r="D1567" s="4">
        <f>IF(B1567&gt;'Mortality Table'!$A$118,D1566,VLOOKUP(B1567,'Mortality Table'!$A$2:$B$118,2,FALSE))</f>
        <v>0.59733000000000003</v>
      </c>
      <c r="E1567" s="4">
        <f>IF(INT((C1567-1)/12)+1&gt;'Lapse Table'!$A$11,E1566,VLOOKUP(INT((C1567-1)/12)+1,'Lapse Table'!$A$2:$B$11,2,FALSE))/12</f>
        <v>0</v>
      </c>
      <c r="F1567" s="5">
        <f t="shared" si="224"/>
        <v>-51.291222365620172</v>
      </c>
      <c r="G1567" s="6">
        <f t="shared" si="218"/>
        <v>4.9777500000000002E-2</v>
      </c>
      <c r="H1567" s="6">
        <f t="shared" si="219"/>
        <v>0</v>
      </c>
      <c r="I1567" s="7">
        <f t="shared" si="220"/>
        <v>-1709.7074121873391</v>
      </c>
      <c r="J1567" s="8">
        <f t="shared" si="221"/>
        <v>49777.5</v>
      </c>
      <c r="K1567" s="7">
        <f t="shared" si="222"/>
        <v>-51487.207412187337</v>
      </c>
      <c r="L1567" s="4">
        <f>IF(A1567&gt;'Yield Curve'!A2181,L1566,(1+VLOOKUP(A1567,'Yield Curve'!A1560:B2182,2,FALSE))^(1/12)-1)</f>
        <v>7.9741404289037643E-3</v>
      </c>
      <c r="M1567" s="5">
        <f t="shared" si="223"/>
        <v>-0.21582396000962453</v>
      </c>
    </row>
    <row r="1568" spans="1:13" x14ac:dyDescent="0.25">
      <c r="A1568" s="4">
        <v>1560</v>
      </c>
      <c r="B1568" s="4">
        <f t="shared" si="216"/>
        <v>175</v>
      </c>
      <c r="C1568" s="4">
        <f t="shared" si="217"/>
        <v>1575</v>
      </c>
      <c r="D1568" s="4">
        <f>IF(B1568&gt;'Mortality Table'!$A$118,D1567,VLOOKUP(B1568,'Mortality Table'!$A$2:$B$118,2,FALSE))</f>
        <v>0.59733000000000003</v>
      </c>
      <c r="E1568" s="4">
        <f>IF(INT((C1568-1)/12)+1&gt;'Lapse Table'!$A$11,E1567,VLOOKUP(INT((C1568-1)/12)+1,'Lapse Table'!$A$2:$B$11,2,FALSE))/12</f>
        <v>0</v>
      </c>
      <c r="F1568" s="5">
        <f t="shared" si="224"/>
        <v>-51.340999865620169</v>
      </c>
      <c r="G1568" s="6">
        <f t="shared" si="218"/>
        <v>4.9777500000000002E-2</v>
      </c>
      <c r="H1568" s="6">
        <f t="shared" si="219"/>
        <v>0</v>
      </c>
      <c r="I1568" s="7">
        <f t="shared" si="220"/>
        <v>-1711.366662187339</v>
      </c>
      <c r="J1568" s="8">
        <f t="shared" si="221"/>
        <v>49777.5</v>
      </c>
      <c r="K1568" s="7">
        <f t="shared" si="222"/>
        <v>-51488.866662187342</v>
      </c>
      <c r="L1568" s="4">
        <f>IF(A1568&gt;'Yield Curve'!A2182,L1567,(1+VLOOKUP(A1568,'Yield Curve'!A1561:B2183,2,FALSE))^(1/12)-1)</f>
        <v>7.9741404289037643E-3</v>
      </c>
      <c r="M1568" s="5">
        <f t="shared" si="223"/>
        <v>-0.21412346467360477</v>
      </c>
    </row>
    <row r="1569" spans="1:13" x14ac:dyDescent="0.25">
      <c r="A1569" s="4">
        <v>1561</v>
      </c>
      <c r="B1569" s="4">
        <f t="shared" si="216"/>
        <v>175</v>
      </c>
      <c r="C1569" s="4">
        <f t="shared" si="217"/>
        <v>1576</v>
      </c>
      <c r="D1569" s="4">
        <f>IF(B1569&gt;'Mortality Table'!$A$118,D1568,VLOOKUP(B1569,'Mortality Table'!$A$2:$B$118,2,FALSE))</f>
        <v>0.59733000000000003</v>
      </c>
      <c r="E1569" s="4">
        <f>IF(INT((C1569-1)/12)+1&gt;'Lapse Table'!$A$11,E1568,VLOOKUP(INT((C1569-1)/12)+1,'Lapse Table'!$A$2:$B$11,2,FALSE))/12</f>
        <v>0</v>
      </c>
      <c r="F1569" s="5">
        <f t="shared" si="224"/>
        <v>-51.390777365620167</v>
      </c>
      <c r="G1569" s="6">
        <f t="shared" si="218"/>
        <v>4.9777500000000002E-2</v>
      </c>
      <c r="H1569" s="6">
        <f t="shared" si="219"/>
        <v>0</v>
      </c>
      <c r="I1569" s="7">
        <f t="shared" si="220"/>
        <v>-1713.0259121873389</v>
      </c>
      <c r="J1569" s="8">
        <f t="shared" si="221"/>
        <v>49777.5</v>
      </c>
      <c r="K1569" s="7">
        <f t="shared" si="222"/>
        <v>-51490.525912187339</v>
      </c>
      <c r="L1569" s="4">
        <f>IF(A1569&gt;'Yield Curve'!A2183,L1568,(1+VLOOKUP(A1569,'Yield Curve'!A1562:B2184,2,FALSE))^(1/12)-1)</f>
        <v>7.9741404289037643E-3</v>
      </c>
      <c r="M1569" s="5">
        <f t="shared" si="223"/>
        <v>-0.21243636746434869</v>
      </c>
    </row>
    <row r="1570" spans="1:13" x14ac:dyDescent="0.25">
      <c r="A1570" s="4">
        <v>1562</v>
      </c>
      <c r="B1570" s="4">
        <f t="shared" si="216"/>
        <v>175</v>
      </c>
      <c r="C1570" s="4">
        <f t="shared" si="217"/>
        <v>1577</v>
      </c>
      <c r="D1570" s="4">
        <f>IF(B1570&gt;'Mortality Table'!$A$118,D1569,VLOOKUP(B1570,'Mortality Table'!$A$2:$B$118,2,FALSE))</f>
        <v>0.59733000000000003</v>
      </c>
      <c r="E1570" s="4">
        <f>IF(INT((C1570-1)/12)+1&gt;'Lapse Table'!$A$11,E1569,VLOOKUP(INT((C1570-1)/12)+1,'Lapse Table'!$A$2:$B$11,2,FALSE))/12</f>
        <v>0</v>
      </c>
      <c r="F1570" s="5">
        <f t="shared" si="224"/>
        <v>-51.440554865620165</v>
      </c>
      <c r="G1570" s="6">
        <f t="shared" si="218"/>
        <v>4.9777500000000002E-2</v>
      </c>
      <c r="H1570" s="6">
        <f t="shared" si="219"/>
        <v>0</v>
      </c>
      <c r="I1570" s="7">
        <f t="shared" si="220"/>
        <v>-1714.6851621873386</v>
      </c>
      <c r="J1570" s="8">
        <f t="shared" si="221"/>
        <v>49777.5</v>
      </c>
      <c r="K1570" s="7">
        <f t="shared" si="222"/>
        <v>-51492.185162187336</v>
      </c>
      <c r="L1570" s="4">
        <f>IF(A1570&gt;'Yield Curve'!A2184,L1569,(1+VLOOKUP(A1570,'Yield Curve'!A1563:B2185,2,FALSE))^(1/12)-1)</f>
        <v>7.9741404289037643E-3</v>
      </c>
      <c r="M1570" s="5">
        <f t="shared" si="223"/>
        <v>-0.21076256282036643</v>
      </c>
    </row>
    <row r="1571" spans="1:13" x14ac:dyDescent="0.25">
      <c r="A1571" s="4">
        <v>1563</v>
      </c>
      <c r="B1571" s="4">
        <f t="shared" si="216"/>
        <v>175</v>
      </c>
      <c r="C1571" s="4">
        <f t="shared" si="217"/>
        <v>1578</v>
      </c>
      <c r="D1571" s="4">
        <f>IF(B1571&gt;'Mortality Table'!$A$118,D1570,VLOOKUP(B1571,'Mortality Table'!$A$2:$B$118,2,FALSE))</f>
        <v>0.59733000000000003</v>
      </c>
      <c r="E1571" s="4">
        <f>IF(INT((C1571-1)/12)+1&gt;'Lapse Table'!$A$11,E1570,VLOOKUP(INT((C1571-1)/12)+1,'Lapse Table'!$A$2:$B$11,2,FALSE))/12</f>
        <v>0</v>
      </c>
      <c r="F1571" s="5">
        <f t="shared" si="224"/>
        <v>-51.490332365620162</v>
      </c>
      <c r="G1571" s="6">
        <f t="shared" si="218"/>
        <v>4.9777500000000002E-2</v>
      </c>
      <c r="H1571" s="6">
        <f t="shared" si="219"/>
        <v>0</v>
      </c>
      <c r="I1571" s="7">
        <f t="shared" si="220"/>
        <v>-1716.3444121873388</v>
      </c>
      <c r="J1571" s="8">
        <f t="shared" si="221"/>
        <v>49777.5</v>
      </c>
      <c r="K1571" s="7">
        <f t="shared" si="222"/>
        <v>-51493.84441218734</v>
      </c>
      <c r="L1571" s="4">
        <f>IF(A1571&gt;'Yield Curve'!A2185,L1570,(1+VLOOKUP(A1571,'Yield Curve'!A1564:B2186,2,FALSE))^(1/12)-1)</f>
        <v>7.9741404289037643E-3</v>
      </c>
      <c r="M1571" s="5">
        <f t="shared" si="223"/>
        <v>-0.20910194601185497</v>
      </c>
    </row>
    <row r="1572" spans="1:13" x14ac:dyDescent="0.25">
      <c r="A1572" s="4">
        <v>1564</v>
      </c>
      <c r="B1572" s="4">
        <f t="shared" si="216"/>
        <v>175</v>
      </c>
      <c r="C1572" s="4">
        <f t="shared" si="217"/>
        <v>1579</v>
      </c>
      <c r="D1572" s="4">
        <f>IF(B1572&gt;'Mortality Table'!$A$118,D1571,VLOOKUP(B1572,'Mortality Table'!$A$2:$B$118,2,FALSE))</f>
        <v>0.59733000000000003</v>
      </c>
      <c r="E1572" s="4">
        <f>IF(INT((C1572-1)/12)+1&gt;'Lapse Table'!$A$11,E1571,VLOOKUP(INT((C1572-1)/12)+1,'Lapse Table'!$A$2:$B$11,2,FALSE))/12</f>
        <v>0</v>
      </c>
      <c r="F1572" s="5">
        <f t="shared" si="224"/>
        <v>-51.54010986562016</v>
      </c>
      <c r="G1572" s="6">
        <f t="shared" si="218"/>
        <v>4.9777500000000002E-2</v>
      </c>
      <c r="H1572" s="6">
        <f t="shared" si="219"/>
        <v>0</v>
      </c>
      <c r="I1572" s="7">
        <f t="shared" si="220"/>
        <v>-1718.0036621873387</v>
      </c>
      <c r="J1572" s="8">
        <f t="shared" si="221"/>
        <v>49777.5</v>
      </c>
      <c r="K1572" s="7">
        <f t="shared" si="222"/>
        <v>-51495.503662187337</v>
      </c>
      <c r="L1572" s="4">
        <f>IF(A1572&gt;'Yield Curve'!A2186,L1571,(1+VLOOKUP(A1572,'Yield Curve'!A1565:B2187,2,FALSE))^(1/12)-1)</f>
        <v>7.9741404289037643E-3</v>
      </c>
      <c r="M1572" s="5">
        <f t="shared" si="223"/>
        <v>-0.20745441313414495</v>
      </c>
    </row>
    <row r="1573" spans="1:13" x14ac:dyDescent="0.25">
      <c r="A1573" s="4">
        <v>1565</v>
      </c>
      <c r="B1573" s="4">
        <f t="shared" si="216"/>
        <v>175</v>
      </c>
      <c r="C1573" s="4">
        <f t="shared" si="217"/>
        <v>1580</v>
      </c>
      <c r="D1573" s="4">
        <f>IF(B1573&gt;'Mortality Table'!$A$118,D1572,VLOOKUP(B1573,'Mortality Table'!$A$2:$B$118,2,FALSE))</f>
        <v>0.59733000000000003</v>
      </c>
      <c r="E1573" s="4">
        <f>IF(INT((C1573-1)/12)+1&gt;'Lapse Table'!$A$11,E1572,VLOOKUP(INT((C1573-1)/12)+1,'Lapse Table'!$A$2:$B$11,2,FALSE))/12</f>
        <v>0</v>
      </c>
      <c r="F1573" s="5">
        <f t="shared" si="224"/>
        <v>-51.589887365620157</v>
      </c>
      <c r="G1573" s="6">
        <f t="shared" si="218"/>
        <v>4.9777500000000002E-2</v>
      </c>
      <c r="H1573" s="6">
        <f t="shared" si="219"/>
        <v>0</v>
      </c>
      <c r="I1573" s="7">
        <f t="shared" si="220"/>
        <v>-1719.6629121873386</v>
      </c>
      <c r="J1573" s="8">
        <f t="shared" si="221"/>
        <v>49777.5</v>
      </c>
      <c r="K1573" s="7">
        <f t="shared" si="222"/>
        <v>-51497.162912187341</v>
      </c>
      <c r="L1573" s="4">
        <f>IF(A1573&gt;'Yield Curve'!A2187,L1572,(1+VLOOKUP(A1573,'Yield Curve'!A1566:B2188,2,FALSE))^(1/12)-1)</f>
        <v>7.9741404289037643E-3</v>
      </c>
      <c r="M1573" s="5">
        <f t="shared" si="223"/>
        <v>-0.20581986110120062</v>
      </c>
    </row>
    <row r="1574" spans="1:13" x14ac:dyDescent="0.25">
      <c r="A1574" s="4">
        <v>1566</v>
      </c>
      <c r="B1574" s="4">
        <f t="shared" si="216"/>
        <v>175</v>
      </c>
      <c r="C1574" s="4">
        <f t="shared" si="217"/>
        <v>1581</v>
      </c>
      <c r="D1574" s="4">
        <f>IF(B1574&gt;'Mortality Table'!$A$118,D1573,VLOOKUP(B1574,'Mortality Table'!$A$2:$B$118,2,FALSE))</f>
        <v>0.59733000000000003</v>
      </c>
      <c r="E1574" s="4">
        <f>IF(INT((C1574-1)/12)+1&gt;'Lapse Table'!$A$11,E1573,VLOOKUP(INT((C1574-1)/12)+1,'Lapse Table'!$A$2:$B$11,2,FALSE))/12</f>
        <v>0</v>
      </c>
      <c r="F1574" s="5">
        <f t="shared" si="224"/>
        <v>-51.639664865620155</v>
      </c>
      <c r="G1574" s="6">
        <f t="shared" si="218"/>
        <v>4.9777500000000002E-2</v>
      </c>
      <c r="H1574" s="6">
        <f t="shared" si="219"/>
        <v>0</v>
      </c>
      <c r="I1574" s="7">
        <f t="shared" si="220"/>
        <v>-1721.3221621873383</v>
      </c>
      <c r="J1574" s="8">
        <f t="shared" si="221"/>
        <v>49777.5</v>
      </c>
      <c r="K1574" s="7">
        <f t="shared" si="222"/>
        <v>-51498.822162187338</v>
      </c>
      <c r="L1574" s="4">
        <f>IF(A1574&gt;'Yield Curve'!A2188,L1573,(1+VLOOKUP(A1574,'Yield Curve'!A1567:B2189,2,FALSE))^(1/12)-1)</f>
        <v>7.9741404289037643E-3</v>
      </c>
      <c r="M1574" s="5">
        <f t="shared" si="223"/>
        <v>-0.20419818763916942</v>
      </c>
    </row>
    <row r="1575" spans="1:13" x14ac:dyDescent="0.25">
      <c r="A1575" s="4">
        <v>1567</v>
      </c>
      <c r="B1575" s="4">
        <f t="shared" si="216"/>
        <v>175</v>
      </c>
      <c r="C1575" s="4">
        <f t="shared" si="217"/>
        <v>1582</v>
      </c>
      <c r="D1575" s="4">
        <f>IF(B1575&gt;'Mortality Table'!$A$118,D1574,VLOOKUP(B1575,'Mortality Table'!$A$2:$B$118,2,FALSE))</f>
        <v>0.59733000000000003</v>
      </c>
      <c r="E1575" s="4">
        <f>IF(INT((C1575-1)/12)+1&gt;'Lapse Table'!$A$11,E1574,VLOOKUP(INT((C1575-1)/12)+1,'Lapse Table'!$A$2:$B$11,2,FALSE))/12</f>
        <v>0</v>
      </c>
      <c r="F1575" s="5">
        <f t="shared" si="224"/>
        <v>-51.689442365620152</v>
      </c>
      <c r="G1575" s="6">
        <f t="shared" si="218"/>
        <v>4.9777500000000002E-2</v>
      </c>
      <c r="H1575" s="6">
        <f t="shared" si="219"/>
        <v>0</v>
      </c>
      <c r="I1575" s="7">
        <f t="shared" si="220"/>
        <v>-1722.9814121873385</v>
      </c>
      <c r="J1575" s="8">
        <f t="shared" si="221"/>
        <v>49777.5</v>
      </c>
      <c r="K1575" s="7">
        <f t="shared" si="222"/>
        <v>-51500.481412187335</v>
      </c>
      <c r="L1575" s="4">
        <f>IF(A1575&gt;'Yield Curve'!A2189,L1574,(1+VLOOKUP(A1575,'Yield Curve'!A1568:B2190,2,FALSE))^(1/12)-1)</f>
        <v>7.9741404289037643E-3</v>
      </c>
      <c r="M1575" s="5">
        <f t="shared" si="223"/>
        <v>-0.20258929127998362</v>
      </c>
    </row>
    <row r="1576" spans="1:13" x14ac:dyDescent="0.25">
      <c r="A1576" s="4">
        <v>1568</v>
      </c>
      <c r="B1576" s="4">
        <f t="shared" si="216"/>
        <v>175</v>
      </c>
      <c r="C1576" s="4">
        <f t="shared" si="217"/>
        <v>1583</v>
      </c>
      <c r="D1576" s="4">
        <f>IF(B1576&gt;'Mortality Table'!$A$118,D1575,VLOOKUP(B1576,'Mortality Table'!$A$2:$B$118,2,FALSE))</f>
        <v>0.59733000000000003</v>
      </c>
      <c r="E1576" s="4">
        <f>IF(INT((C1576-1)/12)+1&gt;'Lapse Table'!$A$11,E1575,VLOOKUP(INT((C1576-1)/12)+1,'Lapse Table'!$A$2:$B$11,2,FALSE))/12</f>
        <v>0</v>
      </c>
      <c r="F1576" s="5">
        <f t="shared" si="224"/>
        <v>-51.73921986562015</v>
      </c>
      <c r="G1576" s="6">
        <f t="shared" si="218"/>
        <v>4.9777500000000002E-2</v>
      </c>
      <c r="H1576" s="6">
        <f t="shared" si="219"/>
        <v>0</v>
      </c>
      <c r="I1576" s="7">
        <f t="shared" si="220"/>
        <v>-1724.6406621873384</v>
      </c>
      <c r="J1576" s="8">
        <f t="shared" si="221"/>
        <v>49777.5</v>
      </c>
      <c r="K1576" s="7">
        <f t="shared" si="222"/>
        <v>-51502.140662187339</v>
      </c>
      <c r="L1576" s="4">
        <f>IF(A1576&gt;'Yield Curve'!A2190,L1575,(1+VLOOKUP(A1576,'Yield Curve'!A1569:B2191,2,FALSE))^(1/12)-1)</f>
        <v>7.9741404289037643E-3</v>
      </c>
      <c r="M1576" s="5">
        <f t="shared" si="223"/>
        <v>-0.20099307135501157</v>
      </c>
    </row>
    <row r="1577" spans="1:13" x14ac:dyDescent="0.25">
      <c r="A1577" s="4">
        <v>1569</v>
      </c>
      <c r="B1577" s="4">
        <f t="shared" si="216"/>
        <v>175</v>
      </c>
      <c r="C1577" s="4">
        <f t="shared" si="217"/>
        <v>1584</v>
      </c>
      <c r="D1577" s="4">
        <f>IF(B1577&gt;'Mortality Table'!$A$118,D1576,VLOOKUP(B1577,'Mortality Table'!$A$2:$B$118,2,FALSE))</f>
        <v>0.59733000000000003</v>
      </c>
      <c r="E1577" s="4">
        <f>IF(INT((C1577-1)/12)+1&gt;'Lapse Table'!$A$11,E1576,VLOOKUP(INT((C1577-1)/12)+1,'Lapse Table'!$A$2:$B$11,2,FALSE))/12</f>
        <v>0</v>
      </c>
      <c r="F1577" s="5">
        <f t="shared" si="224"/>
        <v>-51.788997365620148</v>
      </c>
      <c r="G1577" s="6">
        <f t="shared" si="218"/>
        <v>4.9777500000000002E-2</v>
      </c>
      <c r="H1577" s="6">
        <f t="shared" si="219"/>
        <v>0</v>
      </c>
      <c r="I1577" s="7">
        <f t="shared" si="220"/>
        <v>-1726.2999121873381</v>
      </c>
      <c r="J1577" s="8">
        <f t="shared" si="221"/>
        <v>49777.5</v>
      </c>
      <c r="K1577" s="7">
        <f t="shared" si="222"/>
        <v>-51503.799912187336</v>
      </c>
      <c r="L1577" s="4">
        <f>IF(A1577&gt;'Yield Curve'!A2191,L1576,(1+VLOOKUP(A1577,'Yield Curve'!A1570:B2192,2,FALSE))^(1/12)-1)</f>
        <v>7.9741404289037643E-3</v>
      </c>
      <c r="M1577" s="5">
        <f t="shared" si="223"/>
        <v>-0.19940942798875985</v>
      </c>
    </row>
    <row r="1578" spans="1:13" x14ac:dyDescent="0.25">
      <c r="A1578" s="4">
        <v>1570</v>
      </c>
      <c r="B1578" s="4">
        <f t="shared" si="216"/>
        <v>175</v>
      </c>
      <c r="C1578" s="4">
        <f t="shared" si="217"/>
        <v>1585</v>
      </c>
      <c r="D1578" s="4">
        <f>IF(B1578&gt;'Mortality Table'!$A$118,D1577,VLOOKUP(B1578,'Mortality Table'!$A$2:$B$118,2,FALSE))</f>
        <v>0.59733000000000003</v>
      </c>
      <c r="E1578" s="4">
        <f>IF(INT((C1578-1)/12)+1&gt;'Lapse Table'!$A$11,E1577,VLOOKUP(INT((C1578-1)/12)+1,'Lapse Table'!$A$2:$B$11,2,FALSE))/12</f>
        <v>0</v>
      </c>
      <c r="F1578" s="5">
        <f t="shared" si="224"/>
        <v>-51.838774865620145</v>
      </c>
      <c r="G1578" s="6">
        <f t="shared" si="218"/>
        <v>4.9777500000000002E-2</v>
      </c>
      <c r="H1578" s="6">
        <f t="shared" si="219"/>
        <v>0</v>
      </c>
      <c r="I1578" s="7">
        <f t="shared" si="220"/>
        <v>-1727.9591621873381</v>
      </c>
      <c r="J1578" s="8">
        <f t="shared" si="221"/>
        <v>49777.5</v>
      </c>
      <c r="K1578" s="7">
        <f t="shared" si="222"/>
        <v>-51505.459162187341</v>
      </c>
      <c r="L1578" s="4">
        <f>IF(A1578&gt;'Yield Curve'!A2192,L1577,(1+VLOOKUP(A1578,'Yield Curve'!A1571:B2193,2,FALSE))^(1/12)-1)</f>
        <v>7.9741404289037643E-3</v>
      </c>
      <c r="M1578" s="5">
        <f t="shared" si="223"/>
        <v>-0.19783826209262381</v>
      </c>
    </row>
    <row r="1579" spans="1:13" x14ac:dyDescent="0.25">
      <c r="A1579" s="4">
        <v>1571</v>
      </c>
      <c r="B1579" s="4">
        <f t="shared" si="216"/>
        <v>175</v>
      </c>
      <c r="C1579" s="4">
        <f t="shared" si="217"/>
        <v>1586</v>
      </c>
      <c r="D1579" s="4">
        <f>IF(B1579&gt;'Mortality Table'!$A$118,D1578,VLOOKUP(B1579,'Mortality Table'!$A$2:$B$118,2,FALSE))</f>
        <v>0.59733000000000003</v>
      </c>
      <c r="E1579" s="4">
        <f>IF(INT((C1579-1)/12)+1&gt;'Lapse Table'!$A$11,E1578,VLOOKUP(INT((C1579-1)/12)+1,'Lapse Table'!$A$2:$B$11,2,FALSE))/12</f>
        <v>0</v>
      </c>
      <c r="F1579" s="5">
        <f t="shared" si="224"/>
        <v>-51.888552365620143</v>
      </c>
      <c r="G1579" s="6">
        <f t="shared" si="218"/>
        <v>4.9777500000000002E-2</v>
      </c>
      <c r="H1579" s="6">
        <f t="shared" si="219"/>
        <v>0</v>
      </c>
      <c r="I1579" s="7">
        <f t="shared" si="220"/>
        <v>-1729.6184121873382</v>
      </c>
      <c r="J1579" s="8">
        <f t="shared" si="221"/>
        <v>49777.5</v>
      </c>
      <c r="K1579" s="7">
        <f t="shared" si="222"/>
        <v>-51507.118412187338</v>
      </c>
      <c r="L1579" s="4">
        <f>IF(A1579&gt;'Yield Curve'!A2193,L1578,(1+VLOOKUP(A1579,'Yield Curve'!A1572:B2194,2,FALSE))^(1/12)-1)</f>
        <v>7.9741404289037643E-3</v>
      </c>
      <c r="M1579" s="5">
        <f t="shared" si="223"/>
        <v>-0.19627947535868825</v>
      </c>
    </row>
    <row r="1580" spans="1:13" x14ac:dyDescent="0.25">
      <c r="A1580" s="4">
        <v>1572</v>
      </c>
      <c r="B1580" s="4">
        <f t="shared" si="216"/>
        <v>176</v>
      </c>
      <c r="C1580" s="4">
        <f t="shared" si="217"/>
        <v>1587</v>
      </c>
      <c r="D1580" s="4">
        <f>IF(B1580&gt;'Mortality Table'!$A$118,D1579,VLOOKUP(B1580,'Mortality Table'!$A$2:$B$118,2,FALSE))</f>
        <v>0.59733000000000003</v>
      </c>
      <c r="E1580" s="4">
        <f>IF(INT((C1580-1)/12)+1&gt;'Lapse Table'!$A$11,E1579,VLOOKUP(INT((C1580-1)/12)+1,'Lapse Table'!$A$2:$B$11,2,FALSE))/12</f>
        <v>0</v>
      </c>
      <c r="F1580" s="5">
        <f t="shared" si="224"/>
        <v>-51.93832986562014</v>
      </c>
      <c r="G1580" s="6">
        <f t="shared" si="218"/>
        <v>4.9777500000000002E-2</v>
      </c>
      <c r="H1580" s="6">
        <f t="shared" si="219"/>
        <v>0</v>
      </c>
      <c r="I1580" s="7">
        <f t="shared" si="220"/>
        <v>-1731.2776621873381</v>
      </c>
      <c r="J1580" s="8">
        <f t="shared" si="221"/>
        <v>49777.5</v>
      </c>
      <c r="K1580" s="7">
        <f t="shared" si="222"/>
        <v>-51508.777662187334</v>
      </c>
      <c r="L1580" s="4">
        <f>IF(A1580&gt;'Yield Curve'!A2194,L1579,(1+VLOOKUP(A1580,'Yield Curve'!A1573:B2195,2,FALSE))^(1/12)-1)</f>
        <v>7.9741404289037643E-3</v>
      </c>
      <c r="M1580" s="5">
        <f t="shared" si="223"/>
        <v>-0.19473297025357691</v>
      </c>
    </row>
    <row r="1581" spans="1:13" x14ac:dyDescent="0.25">
      <c r="A1581" s="4">
        <v>1573</v>
      </c>
      <c r="B1581" s="4">
        <f t="shared" si="216"/>
        <v>176</v>
      </c>
      <c r="C1581" s="4">
        <f t="shared" si="217"/>
        <v>1588</v>
      </c>
      <c r="D1581" s="4">
        <f>IF(B1581&gt;'Mortality Table'!$A$118,D1580,VLOOKUP(B1581,'Mortality Table'!$A$2:$B$118,2,FALSE))</f>
        <v>0.59733000000000003</v>
      </c>
      <c r="E1581" s="4">
        <f>IF(INT((C1581-1)/12)+1&gt;'Lapse Table'!$A$11,E1580,VLOOKUP(INT((C1581-1)/12)+1,'Lapse Table'!$A$2:$B$11,2,FALSE))/12</f>
        <v>0</v>
      </c>
      <c r="F1581" s="5">
        <f t="shared" si="224"/>
        <v>-51.988107365620138</v>
      </c>
      <c r="G1581" s="6">
        <f t="shared" si="218"/>
        <v>4.9777500000000002E-2</v>
      </c>
      <c r="H1581" s="6">
        <f t="shared" si="219"/>
        <v>0</v>
      </c>
      <c r="I1581" s="7">
        <f t="shared" si="220"/>
        <v>-1732.9369121873378</v>
      </c>
      <c r="J1581" s="8">
        <f t="shared" si="221"/>
        <v>49777.5</v>
      </c>
      <c r="K1581" s="7">
        <f t="shared" si="222"/>
        <v>-51510.436912187339</v>
      </c>
      <c r="L1581" s="4">
        <f>IF(A1581&gt;'Yield Curve'!A2195,L1580,(1+VLOOKUP(A1581,'Yield Curve'!A1574:B2196,2,FALSE))^(1/12)-1)</f>
        <v>7.9741404289037643E-3</v>
      </c>
      <c r="M1581" s="5">
        <f t="shared" si="223"/>
        <v>-0.19319865001235006</v>
      </c>
    </row>
    <row r="1582" spans="1:13" x14ac:dyDescent="0.25">
      <c r="A1582" s="4">
        <v>1574</v>
      </c>
      <c r="B1582" s="4">
        <f t="shared" si="216"/>
        <v>176</v>
      </c>
      <c r="C1582" s="4">
        <f t="shared" si="217"/>
        <v>1589</v>
      </c>
      <c r="D1582" s="4">
        <f>IF(B1582&gt;'Mortality Table'!$A$118,D1581,VLOOKUP(B1582,'Mortality Table'!$A$2:$B$118,2,FALSE))</f>
        <v>0.59733000000000003</v>
      </c>
      <c r="E1582" s="4">
        <f>IF(INT((C1582-1)/12)+1&gt;'Lapse Table'!$A$11,E1581,VLOOKUP(INT((C1582-1)/12)+1,'Lapse Table'!$A$2:$B$11,2,FALSE))/12</f>
        <v>0</v>
      </c>
      <c r="F1582" s="5">
        <f t="shared" si="224"/>
        <v>-52.037884865620136</v>
      </c>
      <c r="G1582" s="6">
        <f t="shared" si="218"/>
        <v>4.9777500000000002E-2</v>
      </c>
      <c r="H1582" s="6">
        <f t="shared" si="219"/>
        <v>0</v>
      </c>
      <c r="I1582" s="7">
        <f t="shared" si="220"/>
        <v>-1734.5961621873378</v>
      </c>
      <c r="J1582" s="8">
        <f t="shared" si="221"/>
        <v>49777.5</v>
      </c>
      <c r="K1582" s="7">
        <f t="shared" si="222"/>
        <v>-51512.096162187336</v>
      </c>
      <c r="L1582" s="4">
        <f>IF(A1582&gt;'Yield Curve'!A2196,L1581,(1+VLOOKUP(A1582,'Yield Curve'!A1575:B2197,2,FALSE))^(1/12)-1)</f>
        <v>7.9741404289037643E-3</v>
      </c>
      <c r="M1582" s="5">
        <f t="shared" si="223"/>
        <v>-0.19167641863245011</v>
      </c>
    </row>
    <row r="1583" spans="1:13" x14ac:dyDescent="0.25">
      <c r="A1583" s="4">
        <v>1575</v>
      </c>
      <c r="B1583" s="4">
        <f t="shared" si="216"/>
        <v>176</v>
      </c>
      <c r="C1583" s="4">
        <f t="shared" si="217"/>
        <v>1590</v>
      </c>
      <c r="D1583" s="4">
        <f>IF(B1583&gt;'Mortality Table'!$A$118,D1582,VLOOKUP(B1583,'Mortality Table'!$A$2:$B$118,2,FALSE))</f>
        <v>0.59733000000000003</v>
      </c>
      <c r="E1583" s="4">
        <f>IF(INT((C1583-1)/12)+1&gt;'Lapse Table'!$A$11,E1582,VLOOKUP(INT((C1583-1)/12)+1,'Lapse Table'!$A$2:$B$11,2,FALSE))/12</f>
        <v>0</v>
      </c>
      <c r="F1583" s="5">
        <f t="shared" si="224"/>
        <v>-52.087662365620133</v>
      </c>
      <c r="G1583" s="6">
        <f t="shared" si="218"/>
        <v>4.9777500000000002E-2</v>
      </c>
      <c r="H1583" s="6">
        <f t="shared" si="219"/>
        <v>0</v>
      </c>
      <c r="I1583" s="7">
        <f t="shared" si="220"/>
        <v>-1736.2554121873379</v>
      </c>
      <c r="J1583" s="8">
        <f t="shared" si="221"/>
        <v>49777.5</v>
      </c>
      <c r="K1583" s="7">
        <f t="shared" si="222"/>
        <v>-51513.75541218734</v>
      </c>
      <c r="L1583" s="4">
        <f>IF(A1583&gt;'Yield Curve'!A2197,L1582,(1+VLOOKUP(A1583,'Yield Curve'!A1576:B2198,2,FALSE))^(1/12)-1)</f>
        <v>7.9741404289037643E-3</v>
      </c>
      <c r="M1583" s="5">
        <f t="shared" si="223"/>
        <v>-0.19016618086769563</v>
      </c>
    </row>
    <row r="1584" spans="1:13" x14ac:dyDescent="0.25">
      <c r="A1584" s="4">
        <v>1576</v>
      </c>
      <c r="B1584" s="4">
        <f t="shared" si="216"/>
        <v>176</v>
      </c>
      <c r="C1584" s="4">
        <f t="shared" si="217"/>
        <v>1591</v>
      </c>
      <c r="D1584" s="4">
        <f>IF(B1584&gt;'Mortality Table'!$A$118,D1583,VLOOKUP(B1584,'Mortality Table'!$A$2:$B$118,2,FALSE))</f>
        <v>0.59733000000000003</v>
      </c>
      <c r="E1584" s="4">
        <f>IF(INT((C1584-1)/12)+1&gt;'Lapse Table'!$A$11,E1583,VLOOKUP(INT((C1584-1)/12)+1,'Lapse Table'!$A$2:$B$11,2,FALSE))/12</f>
        <v>0</v>
      </c>
      <c r="F1584" s="5">
        <f t="shared" si="224"/>
        <v>-52.137439865620131</v>
      </c>
      <c r="G1584" s="6">
        <f t="shared" si="218"/>
        <v>4.9777500000000002E-2</v>
      </c>
      <c r="H1584" s="6">
        <f t="shared" si="219"/>
        <v>0</v>
      </c>
      <c r="I1584" s="7">
        <f t="shared" si="220"/>
        <v>-1737.9146621873376</v>
      </c>
      <c r="J1584" s="8">
        <f t="shared" si="221"/>
        <v>49777.5</v>
      </c>
      <c r="K1584" s="7">
        <f t="shared" si="222"/>
        <v>-51515.414662187337</v>
      </c>
      <c r="L1584" s="4">
        <f>IF(A1584&gt;'Yield Curve'!A2198,L1583,(1+VLOOKUP(A1584,'Yield Curve'!A1577:B2199,2,FALSE))^(1/12)-1)</f>
        <v>7.9741404289037643E-3</v>
      </c>
      <c r="M1584" s="5">
        <f t="shared" si="223"/>
        <v>-0.18866784222232155</v>
      </c>
    </row>
    <row r="1585" spans="1:13" x14ac:dyDescent="0.25">
      <c r="A1585" s="4">
        <v>1577</v>
      </c>
      <c r="B1585" s="4">
        <f t="shared" si="216"/>
        <v>176</v>
      </c>
      <c r="C1585" s="4">
        <f t="shared" si="217"/>
        <v>1592</v>
      </c>
      <c r="D1585" s="4">
        <f>IF(B1585&gt;'Mortality Table'!$A$118,D1584,VLOOKUP(B1585,'Mortality Table'!$A$2:$B$118,2,FALSE))</f>
        <v>0.59733000000000003</v>
      </c>
      <c r="E1585" s="4">
        <f>IF(INT((C1585-1)/12)+1&gt;'Lapse Table'!$A$11,E1584,VLOOKUP(INT((C1585-1)/12)+1,'Lapse Table'!$A$2:$B$11,2,FALSE))/12</f>
        <v>0</v>
      </c>
      <c r="F1585" s="5">
        <f t="shared" si="224"/>
        <v>-52.187217365620128</v>
      </c>
      <c r="G1585" s="6">
        <f t="shared" si="218"/>
        <v>4.9777500000000002E-2</v>
      </c>
      <c r="H1585" s="6">
        <f t="shared" si="219"/>
        <v>0</v>
      </c>
      <c r="I1585" s="7">
        <f t="shared" si="220"/>
        <v>-1739.5739121873376</v>
      </c>
      <c r="J1585" s="8">
        <f t="shared" si="221"/>
        <v>49777.5</v>
      </c>
      <c r="K1585" s="7">
        <f t="shared" si="222"/>
        <v>-51517.073912187334</v>
      </c>
      <c r="L1585" s="4">
        <f>IF(A1585&gt;'Yield Curve'!A2199,L1584,(1+VLOOKUP(A1585,'Yield Curve'!A1578:B2200,2,FALSE))^(1/12)-1)</f>
        <v>7.9741404289037643E-3</v>
      </c>
      <c r="M1585" s="5">
        <f t="shared" si="223"/>
        <v>-0.18718130894506763</v>
      </c>
    </row>
    <row r="1586" spans="1:13" x14ac:dyDescent="0.25">
      <c r="A1586" s="4">
        <v>1578</v>
      </c>
      <c r="B1586" s="4">
        <f t="shared" si="216"/>
        <v>176</v>
      </c>
      <c r="C1586" s="4">
        <f t="shared" si="217"/>
        <v>1593</v>
      </c>
      <c r="D1586" s="4">
        <f>IF(B1586&gt;'Mortality Table'!$A$118,D1585,VLOOKUP(B1586,'Mortality Table'!$A$2:$B$118,2,FALSE))</f>
        <v>0.59733000000000003</v>
      </c>
      <c r="E1586" s="4">
        <f>IF(INT((C1586-1)/12)+1&gt;'Lapse Table'!$A$11,E1585,VLOOKUP(INT((C1586-1)/12)+1,'Lapse Table'!$A$2:$B$11,2,FALSE))/12</f>
        <v>0</v>
      </c>
      <c r="F1586" s="5">
        <f t="shared" si="224"/>
        <v>-52.236994865620126</v>
      </c>
      <c r="G1586" s="6">
        <f t="shared" si="218"/>
        <v>4.9777500000000002E-2</v>
      </c>
      <c r="H1586" s="6">
        <f t="shared" si="219"/>
        <v>0</v>
      </c>
      <c r="I1586" s="7">
        <f t="shared" si="220"/>
        <v>-1741.2331621873375</v>
      </c>
      <c r="J1586" s="8">
        <f t="shared" si="221"/>
        <v>49777.5</v>
      </c>
      <c r="K1586" s="7">
        <f t="shared" si="222"/>
        <v>-51518.733162187338</v>
      </c>
      <c r="L1586" s="4">
        <f>IF(A1586&gt;'Yield Curve'!A2200,L1585,(1+VLOOKUP(A1586,'Yield Curve'!A1579:B2201,2,FALSE))^(1/12)-1)</f>
        <v>7.9741404289037643E-3</v>
      </c>
      <c r="M1586" s="5">
        <f t="shared" si="223"/>
        <v>-0.18570648802331227</v>
      </c>
    </row>
    <row r="1587" spans="1:13" x14ac:dyDescent="0.25">
      <c r="A1587" s="4">
        <v>1579</v>
      </c>
      <c r="B1587" s="4">
        <f t="shared" si="216"/>
        <v>176</v>
      </c>
      <c r="C1587" s="4">
        <f t="shared" si="217"/>
        <v>1594</v>
      </c>
      <c r="D1587" s="4">
        <f>IF(B1587&gt;'Mortality Table'!$A$118,D1586,VLOOKUP(B1587,'Mortality Table'!$A$2:$B$118,2,FALSE))</f>
        <v>0.59733000000000003</v>
      </c>
      <c r="E1587" s="4">
        <f>IF(INT((C1587-1)/12)+1&gt;'Lapse Table'!$A$11,E1586,VLOOKUP(INT((C1587-1)/12)+1,'Lapse Table'!$A$2:$B$11,2,FALSE))/12</f>
        <v>0</v>
      </c>
      <c r="F1587" s="5">
        <f t="shared" si="224"/>
        <v>-52.286772365620124</v>
      </c>
      <c r="G1587" s="6">
        <f t="shared" si="218"/>
        <v>4.9777500000000002E-2</v>
      </c>
      <c r="H1587" s="6">
        <f t="shared" si="219"/>
        <v>0</v>
      </c>
      <c r="I1587" s="7">
        <f t="shared" si="220"/>
        <v>-1742.8924121873376</v>
      </c>
      <c r="J1587" s="8">
        <f t="shared" si="221"/>
        <v>49777.5</v>
      </c>
      <c r="K1587" s="7">
        <f t="shared" si="222"/>
        <v>-51520.392412187335</v>
      </c>
      <c r="L1587" s="4">
        <f>IF(A1587&gt;'Yield Curve'!A2201,L1586,(1+VLOOKUP(A1587,'Yield Curve'!A1580:B2202,2,FALSE))^(1/12)-1)</f>
        <v>7.9741404289037643E-3</v>
      </c>
      <c r="M1587" s="5">
        <f t="shared" si="223"/>
        <v>-0.18424328717725336</v>
      </c>
    </row>
    <row r="1588" spans="1:13" x14ac:dyDescent="0.25">
      <c r="A1588" s="4">
        <v>1580</v>
      </c>
      <c r="B1588" s="4">
        <f t="shared" si="216"/>
        <v>176</v>
      </c>
      <c r="C1588" s="4">
        <f t="shared" si="217"/>
        <v>1595</v>
      </c>
      <c r="D1588" s="4">
        <f>IF(B1588&gt;'Mortality Table'!$A$118,D1587,VLOOKUP(B1588,'Mortality Table'!$A$2:$B$118,2,FALSE))</f>
        <v>0.59733000000000003</v>
      </c>
      <c r="E1588" s="4">
        <f>IF(INT((C1588-1)/12)+1&gt;'Lapse Table'!$A$11,E1587,VLOOKUP(INT((C1588-1)/12)+1,'Lapse Table'!$A$2:$B$11,2,FALSE))/12</f>
        <v>0</v>
      </c>
      <c r="F1588" s="5">
        <f t="shared" si="224"/>
        <v>-52.336549865620121</v>
      </c>
      <c r="G1588" s="6">
        <f t="shared" si="218"/>
        <v>4.9777500000000002E-2</v>
      </c>
      <c r="H1588" s="6">
        <f t="shared" si="219"/>
        <v>0</v>
      </c>
      <c r="I1588" s="7">
        <f t="shared" si="220"/>
        <v>-1744.5516621873373</v>
      </c>
      <c r="J1588" s="8">
        <f t="shared" si="221"/>
        <v>49777.5</v>
      </c>
      <c r="K1588" s="7">
        <f t="shared" si="222"/>
        <v>-51522.051662187339</v>
      </c>
      <c r="L1588" s="4">
        <f>IF(A1588&gt;'Yield Curve'!A2202,L1587,(1+VLOOKUP(A1588,'Yield Curve'!A1581:B2203,2,FALSE))^(1/12)-1)</f>
        <v>7.9741404289037643E-3</v>
      </c>
      <c r="M1588" s="5">
        <f t="shared" si="223"/>
        <v>-0.18279161485413453</v>
      </c>
    </row>
    <row r="1589" spans="1:13" x14ac:dyDescent="0.25">
      <c r="A1589" s="4">
        <v>1581</v>
      </c>
      <c r="B1589" s="4">
        <f t="shared" si="216"/>
        <v>176</v>
      </c>
      <c r="C1589" s="4">
        <f t="shared" si="217"/>
        <v>1596</v>
      </c>
      <c r="D1589" s="4">
        <f>IF(B1589&gt;'Mortality Table'!$A$118,D1588,VLOOKUP(B1589,'Mortality Table'!$A$2:$B$118,2,FALSE))</f>
        <v>0.59733000000000003</v>
      </c>
      <c r="E1589" s="4">
        <f>IF(INT((C1589-1)/12)+1&gt;'Lapse Table'!$A$11,E1588,VLOOKUP(INT((C1589-1)/12)+1,'Lapse Table'!$A$2:$B$11,2,FALSE))/12</f>
        <v>0</v>
      </c>
      <c r="F1589" s="5">
        <f t="shared" si="224"/>
        <v>-52.386327365620119</v>
      </c>
      <c r="G1589" s="6">
        <f t="shared" si="218"/>
        <v>4.9777500000000002E-2</v>
      </c>
      <c r="H1589" s="6">
        <f t="shared" si="219"/>
        <v>0</v>
      </c>
      <c r="I1589" s="7">
        <f t="shared" si="220"/>
        <v>-1746.2109121873373</v>
      </c>
      <c r="J1589" s="8">
        <f t="shared" si="221"/>
        <v>49777.5</v>
      </c>
      <c r="K1589" s="7">
        <f t="shared" si="222"/>
        <v>-51523.710912187336</v>
      </c>
      <c r="L1589" s="4">
        <f>IF(A1589&gt;'Yield Curve'!A2203,L1588,(1+VLOOKUP(A1589,'Yield Curve'!A1582:B2204,2,FALSE))^(1/12)-1)</f>
        <v>7.9741404289037643E-3</v>
      </c>
      <c r="M1589" s="5">
        <f t="shared" si="223"/>
        <v>-0.18135138022251743</v>
      </c>
    </row>
    <row r="1590" spans="1:13" x14ac:dyDescent="0.25">
      <c r="A1590" s="4">
        <v>1582</v>
      </c>
      <c r="B1590" s="4">
        <f t="shared" si="216"/>
        <v>176</v>
      </c>
      <c r="C1590" s="4">
        <f t="shared" si="217"/>
        <v>1597</v>
      </c>
      <c r="D1590" s="4">
        <f>IF(B1590&gt;'Mortality Table'!$A$118,D1589,VLOOKUP(B1590,'Mortality Table'!$A$2:$B$118,2,FALSE))</f>
        <v>0.59733000000000003</v>
      </c>
      <c r="E1590" s="4">
        <f>IF(INT((C1590-1)/12)+1&gt;'Lapse Table'!$A$11,E1589,VLOOKUP(INT((C1590-1)/12)+1,'Lapse Table'!$A$2:$B$11,2,FALSE))/12</f>
        <v>0</v>
      </c>
      <c r="F1590" s="5">
        <f t="shared" si="224"/>
        <v>-52.436104865620116</v>
      </c>
      <c r="G1590" s="6">
        <f t="shared" si="218"/>
        <v>4.9777500000000002E-2</v>
      </c>
      <c r="H1590" s="6">
        <f t="shared" si="219"/>
        <v>0</v>
      </c>
      <c r="I1590" s="7">
        <f t="shared" si="220"/>
        <v>-1747.8701621873372</v>
      </c>
      <c r="J1590" s="8">
        <f t="shared" si="221"/>
        <v>49777.5</v>
      </c>
      <c r="K1590" s="7">
        <f t="shared" si="222"/>
        <v>-51525.370162187341</v>
      </c>
      <c r="L1590" s="4">
        <f>IF(A1590&gt;'Yield Curve'!A2204,L1589,(1+VLOOKUP(A1590,'Yield Curve'!A1583:B2205,2,FALSE))^(1/12)-1)</f>
        <v>7.9741404289037643E-3</v>
      </c>
      <c r="M1590" s="5">
        <f t="shared" si="223"/>
        <v>-0.17992249316659834</v>
      </c>
    </row>
    <row r="1591" spans="1:13" x14ac:dyDescent="0.25">
      <c r="A1591" s="4">
        <v>1583</v>
      </c>
      <c r="B1591" s="4">
        <f t="shared" si="216"/>
        <v>176</v>
      </c>
      <c r="C1591" s="4">
        <f t="shared" si="217"/>
        <v>1598</v>
      </c>
      <c r="D1591" s="4">
        <f>IF(B1591&gt;'Mortality Table'!$A$118,D1590,VLOOKUP(B1591,'Mortality Table'!$A$2:$B$118,2,FALSE))</f>
        <v>0.59733000000000003</v>
      </c>
      <c r="E1591" s="4">
        <f>IF(INT((C1591-1)/12)+1&gt;'Lapse Table'!$A$11,E1590,VLOOKUP(INT((C1591-1)/12)+1,'Lapse Table'!$A$2:$B$11,2,FALSE))/12</f>
        <v>0</v>
      </c>
      <c r="F1591" s="5">
        <f t="shared" si="224"/>
        <v>-52.485882365620114</v>
      </c>
      <c r="G1591" s="6">
        <f t="shared" si="218"/>
        <v>4.9777500000000002E-2</v>
      </c>
      <c r="H1591" s="6">
        <f t="shared" si="219"/>
        <v>0</v>
      </c>
      <c r="I1591" s="7">
        <f t="shared" si="220"/>
        <v>-1749.5294121873369</v>
      </c>
      <c r="J1591" s="8">
        <f t="shared" si="221"/>
        <v>49777.5</v>
      </c>
      <c r="K1591" s="7">
        <f t="shared" si="222"/>
        <v>-51527.029412187338</v>
      </c>
      <c r="L1591" s="4">
        <f>IF(A1591&gt;'Yield Curve'!A2205,L1590,(1+VLOOKUP(A1591,'Yield Curve'!A1584:B2206,2,FALSE))^(1/12)-1)</f>
        <v>7.9741404289037643E-3</v>
      </c>
      <c r="M1591" s="5">
        <f t="shared" si="223"/>
        <v>-0.17850486428057008</v>
      </c>
    </row>
    <row r="1592" spans="1:13" x14ac:dyDescent="0.25">
      <c r="A1592" s="4">
        <v>1584</v>
      </c>
      <c r="B1592" s="4">
        <f t="shared" si="216"/>
        <v>177</v>
      </c>
      <c r="C1592" s="4">
        <f t="shared" si="217"/>
        <v>1599</v>
      </c>
      <c r="D1592" s="4">
        <f>IF(B1592&gt;'Mortality Table'!$A$118,D1591,VLOOKUP(B1592,'Mortality Table'!$A$2:$B$118,2,FALSE))</f>
        <v>0.59733000000000003</v>
      </c>
      <c r="E1592" s="4">
        <f>IF(INT((C1592-1)/12)+1&gt;'Lapse Table'!$A$11,E1591,VLOOKUP(INT((C1592-1)/12)+1,'Lapse Table'!$A$2:$B$11,2,FALSE))/12</f>
        <v>0</v>
      </c>
      <c r="F1592" s="5">
        <f t="shared" si="224"/>
        <v>-52.535659865620111</v>
      </c>
      <c r="G1592" s="6">
        <f t="shared" si="218"/>
        <v>4.9777500000000002E-2</v>
      </c>
      <c r="H1592" s="6">
        <f t="shared" si="219"/>
        <v>0</v>
      </c>
      <c r="I1592" s="7">
        <f t="shared" si="220"/>
        <v>-1751.1886621873371</v>
      </c>
      <c r="J1592" s="8">
        <f t="shared" si="221"/>
        <v>49777.5</v>
      </c>
      <c r="K1592" s="7">
        <f t="shared" si="222"/>
        <v>-51528.688662187335</v>
      </c>
      <c r="L1592" s="4">
        <f>IF(A1592&gt;'Yield Curve'!A2206,L1591,(1+VLOOKUP(A1592,'Yield Curve'!A1585:B2207,2,FALSE))^(1/12)-1)</f>
        <v>7.9741404289037643E-3</v>
      </c>
      <c r="M1592" s="5">
        <f t="shared" si="223"/>
        <v>-0.17709840486302852</v>
      </c>
    </row>
    <row r="1593" spans="1:13" x14ac:dyDescent="0.25">
      <c r="A1593" s="4">
        <v>1585</v>
      </c>
      <c r="B1593" s="4">
        <f t="shared" si="216"/>
        <v>177</v>
      </c>
      <c r="C1593" s="4">
        <f t="shared" si="217"/>
        <v>1600</v>
      </c>
      <c r="D1593" s="4">
        <f>IF(B1593&gt;'Mortality Table'!$A$118,D1592,VLOOKUP(B1593,'Mortality Table'!$A$2:$B$118,2,FALSE))</f>
        <v>0.59733000000000003</v>
      </c>
      <c r="E1593" s="4">
        <f>IF(INT((C1593-1)/12)+1&gt;'Lapse Table'!$A$11,E1592,VLOOKUP(INT((C1593-1)/12)+1,'Lapse Table'!$A$2:$B$11,2,FALSE))/12</f>
        <v>0</v>
      </c>
      <c r="F1593" s="5">
        <f t="shared" si="224"/>
        <v>-52.585437365620109</v>
      </c>
      <c r="G1593" s="6">
        <f t="shared" si="218"/>
        <v>4.9777500000000002E-2</v>
      </c>
      <c r="H1593" s="6">
        <f t="shared" si="219"/>
        <v>0</v>
      </c>
      <c r="I1593" s="7">
        <f t="shared" si="220"/>
        <v>-1752.847912187337</v>
      </c>
      <c r="J1593" s="8">
        <f t="shared" si="221"/>
        <v>49777.5</v>
      </c>
      <c r="K1593" s="7">
        <f t="shared" si="222"/>
        <v>-51530.347912187339</v>
      </c>
      <c r="L1593" s="4">
        <f>IF(A1593&gt;'Yield Curve'!A2207,L1592,(1+VLOOKUP(A1593,'Yield Curve'!A1586:B2208,2,FALSE))^(1/12)-1)</f>
        <v>7.9741404289037643E-3</v>
      </c>
      <c r="M1593" s="5">
        <f t="shared" si="223"/>
        <v>-0.17570302691142267</v>
      </c>
    </row>
    <row r="1594" spans="1:13" x14ac:dyDescent="0.25">
      <c r="A1594" s="4">
        <v>1586</v>
      </c>
      <c r="B1594" s="4">
        <f t="shared" si="216"/>
        <v>177</v>
      </c>
      <c r="C1594" s="4">
        <f t="shared" si="217"/>
        <v>1601</v>
      </c>
      <c r="D1594" s="4">
        <f>IF(B1594&gt;'Mortality Table'!$A$118,D1593,VLOOKUP(B1594,'Mortality Table'!$A$2:$B$118,2,FALSE))</f>
        <v>0.59733000000000003</v>
      </c>
      <c r="E1594" s="4">
        <f>IF(INT((C1594-1)/12)+1&gt;'Lapse Table'!$A$11,E1593,VLOOKUP(INT((C1594-1)/12)+1,'Lapse Table'!$A$2:$B$11,2,FALSE))/12</f>
        <v>0</v>
      </c>
      <c r="F1594" s="5">
        <f t="shared" si="224"/>
        <v>-52.635214865620107</v>
      </c>
      <c r="G1594" s="6">
        <f t="shared" si="218"/>
        <v>4.9777500000000002E-2</v>
      </c>
      <c r="H1594" s="6">
        <f t="shared" si="219"/>
        <v>0</v>
      </c>
      <c r="I1594" s="7">
        <f t="shared" si="220"/>
        <v>-1754.5071621873369</v>
      </c>
      <c r="J1594" s="8">
        <f t="shared" si="221"/>
        <v>49777.5</v>
      </c>
      <c r="K1594" s="7">
        <f t="shared" si="222"/>
        <v>-51532.007162187336</v>
      </c>
      <c r="L1594" s="4">
        <f>IF(A1594&gt;'Yield Curve'!A2208,L1593,(1+VLOOKUP(A1594,'Yield Curve'!A1587:B2209,2,FALSE))^(1/12)-1)</f>
        <v>7.9741404289037643E-3</v>
      </c>
      <c r="M1594" s="5">
        <f t="shared" si="223"/>
        <v>-0.1743186431165486</v>
      </c>
    </row>
    <row r="1595" spans="1:13" x14ac:dyDescent="0.25">
      <c r="A1595" s="4">
        <v>1587</v>
      </c>
      <c r="B1595" s="4">
        <f t="shared" si="216"/>
        <v>177</v>
      </c>
      <c r="C1595" s="4">
        <f t="shared" si="217"/>
        <v>1602</v>
      </c>
      <c r="D1595" s="4">
        <f>IF(B1595&gt;'Mortality Table'!$A$118,D1594,VLOOKUP(B1595,'Mortality Table'!$A$2:$B$118,2,FALSE))</f>
        <v>0.59733000000000003</v>
      </c>
      <c r="E1595" s="4">
        <f>IF(INT((C1595-1)/12)+1&gt;'Lapse Table'!$A$11,E1594,VLOOKUP(INT((C1595-1)/12)+1,'Lapse Table'!$A$2:$B$11,2,FALSE))/12</f>
        <v>0</v>
      </c>
      <c r="F1595" s="5">
        <f t="shared" si="224"/>
        <v>-52.684992365620104</v>
      </c>
      <c r="G1595" s="6">
        <f t="shared" si="218"/>
        <v>4.9777500000000002E-2</v>
      </c>
      <c r="H1595" s="6">
        <f t="shared" si="219"/>
        <v>0</v>
      </c>
      <c r="I1595" s="7">
        <f t="shared" si="220"/>
        <v>-1756.1664121873366</v>
      </c>
      <c r="J1595" s="8">
        <f t="shared" si="221"/>
        <v>49777.5</v>
      </c>
      <c r="K1595" s="7">
        <f t="shared" si="222"/>
        <v>-51533.66641218734</v>
      </c>
      <c r="L1595" s="4">
        <f>IF(A1595&gt;'Yield Curve'!A2209,L1594,(1+VLOOKUP(A1595,'Yield Curve'!A1588:B2210,2,FALSE))^(1/12)-1)</f>
        <v>7.9741404289037643E-3</v>
      </c>
      <c r="M1595" s="5">
        <f t="shared" si="223"/>
        <v>-0.17294516685708711</v>
      </c>
    </row>
    <row r="1596" spans="1:13" x14ac:dyDescent="0.25">
      <c r="A1596" s="4">
        <v>1588</v>
      </c>
      <c r="B1596" s="4">
        <f t="shared" si="216"/>
        <v>177</v>
      </c>
      <c r="C1596" s="4">
        <f t="shared" si="217"/>
        <v>1603</v>
      </c>
      <c r="D1596" s="4">
        <f>IF(B1596&gt;'Mortality Table'!$A$118,D1595,VLOOKUP(B1596,'Mortality Table'!$A$2:$B$118,2,FALSE))</f>
        <v>0.59733000000000003</v>
      </c>
      <c r="E1596" s="4">
        <f>IF(INT((C1596-1)/12)+1&gt;'Lapse Table'!$A$11,E1595,VLOOKUP(INT((C1596-1)/12)+1,'Lapse Table'!$A$2:$B$11,2,FALSE))/12</f>
        <v>0</v>
      </c>
      <c r="F1596" s="5">
        <f t="shared" si="224"/>
        <v>-52.734769865620102</v>
      </c>
      <c r="G1596" s="6">
        <f t="shared" si="218"/>
        <v>4.9777500000000002E-2</v>
      </c>
      <c r="H1596" s="6">
        <f t="shared" si="219"/>
        <v>0</v>
      </c>
      <c r="I1596" s="7">
        <f t="shared" si="220"/>
        <v>-1757.8256621873368</v>
      </c>
      <c r="J1596" s="8">
        <f t="shared" si="221"/>
        <v>49777.5</v>
      </c>
      <c r="K1596" s="7">
        <f t="shared" si="222"/>
        <v>-51535.325662187337</v>
      </c>
      <c r="L1596" s="4">
        <f>IF(A1596&gt;'Yield Curve'!A2210,L1595,(1+VLOOKUP(A1596,'Yield Curve'!A1589:B2211,2,FALSE))^(1/12)-1)</f>
        <v>7.9741404289037643E-3</v>
      </c>
      <c r="M1596" s="5">
        <f t="shared" si="223"/>
        <v>-0.17158251219418386</v>
      </c>
    </row>
    <row r="1597" spans="1:13" x14ac:dyDescent="0.25">
      <c r="A1597" s="4">
        <v>1589</v>
      </c>
      <c r="B1597" s="4">
        <f t="shared" si="216"/>
        <v>177</v>
      </c>
      <c r="C1597" s="4">
        <f t="shared" si="217"/>
        <v>1604</v>
      </c>
      <c r="D1597" s="4">
        <f>IF(B1597&gt;'Mortality Table'!$A$118,D1596,VLOOKUP(B1597,'Mortality Table'!$A$2:$B$118,2,FALSE))</f>
        <v>0.59733000000000003</v>
      </c>
      <c r="E1597" s="4">
        <f>IF(INT((C1597-1)/12)+1&gt;'Lapse Table'!$A$11,E1596,VLOOKUP(INT((C1597-1)/12)+1,'Lapse Table'!$A$2:$B$11,2,FALSE))/12</f>
        <v>0</v>
      </c>
      <c r="F1597" s="5">
        <f t="shared" si="224"/>
        <v>-52.784547365620099</v>
      </c>
      <c r="G1597" s="6">
        <f t="shared" si="218"/>
        <v>4.9777500000000002E-2</v>
      </c>
      <c r="H1597" s="6">
        <f t="shared" si="219"/>
        <v>0</v>
      </c>
      <c r="I1597" s="7">
        <f t="shared" si="220"/>
        <v>-1759.4849121873367</v>
      </c>
      <c r="J1597" s="8">
        <f t="shared" si="221"/>
        <v>49777.5</v>
      </c>
      <c r="K1597" s="7">
        <f t="shared" si="222"/>
        <v>-51536.984912187334</v>
      </c>
      <c r="L1597" s="4">
        <f>IF(A1597&gt;'Yield Curve'!A2211,L1596,(1+VLOOKUP(A1597,'Yield Curve'!A1590:B2212,2,FALSE))^(1/12)-1)</f>
        <v>7.9741404289037643E-3</v>
      </c>
      <c r="M1597" s="5">
        <f t="shared" si="223"/>
        <v>-0.17023059386607284</v>
      </c>
    </row>
    <row r="1598" spans="1:13" x14ac:dyDescent="0.25">
      <c r="A1598" s="4">
        <v>1590</v>
      </c>
      <c r="B1598" s="4">
        <f t="shared" si="216"/>
        <v>177</v>
      </c>
      <c r="C1598" s="4">
        <f t="shared" si="217"/>
        <v>1605</v>
      </c>
      <c r="D1598" s="4">
        <f>IF(B1598&gt;'Mortality Table'!$A$118,D1597,VLOOKUP(B1598,'Mortality Table'!$A$2:$B$118,2,FALSE))</f>
        <v>0.59733000000000003</v>
      </c>
      <c r="E1598" s="4">
        <f>IF(INT((C1598-1)/12)+1&gt;'Lapse Table'!$A$11,E1597,VLOOKUP(INT((C1598-1)/12)+1,'Lapse Table'!$A$2:$B$11,2,FALSE))/12</f>
        <v>0</v>
      </c>
      <c r="F1598" s="5">
        <f t="shared" si="224"/>
        <v>-52.834324865620097</v>
      </c>
      <c r="G1598" s="6">
        <f t="shared" si="218"/>
        <v>4.9777500000000002E-2</v>
      </c>
      <c r="H1598" s="6">
        <f t="shared" si="219"/>
        <v>0</v>
      </c>
      <c r="I1598" s="7">
        <f t="shared" si="220"/>
        <v>-1761.1441621873366</v>
      </c>
      <c r="J1598" s="8">
        <f t="shared" si="221"/>
        <v>49777.5</v>
      </c>
      <c r="K1598" s="7">
        <f t="shared" si="222"/>
        <v>-51538.644162187338</v>
      </c>
      <c r="L1598" s="4">
        <f>IF(A1598&gt;'Yield Curve'!A2212,L1597,(1+VLOOKUP(A1598,'Yield Curve'!A1591:B2213,2,FALSE))^(1/12)-1)</f>
        <v>7.9741404289037643E-3</v>
      </c>
      <c r="M1598" s="5">
        <f t="shared" si="223"/>
        <v>-0.16888932728274186</v>
      </c>
    </row>
    <row r="1599" spans="1:13" x14ac:dyDescent="0.25">
      <c r="A1599" s="4">
        <v>1591</v>
      </c>
      <c r="B1599" s="4">
        <f t="shared" si="216"/>
        <v>177</v>
      </c>
      <c r="C1599" s="4">
        <f t="shared" si="217"/>
        <v>1606</v>
      </c>
      <c r="D1599" s="4">
        <f>IF(B1599&gt;'Mortality Table'!$A$118,D1598,VLOOKUP(B1599,'Mortality Table'!$A$2:$B$118,2,FALSE))</f>
        <v>0.59733000000000003</v>
      </c>
      <c r="E1599" s="4">
        <f>IF(INT((C1599-1)/12)+1&gt;'Lapse Table'!$A$11,E1598,VLOOKUP(INT((C1599-1)/12)+1,'Lapse Table'!$A$2:$B$11,2,FALSE))/12</f>
        <v>0</v>
      </c>
      <c r="F1599" s="5">
        <f t="shared" si="224"/>
        <v>-52.884102365620095</v>
      </c>
      <c r="G1599" s="6">
        <f t="shared" si="218"/>
        <v>4.9777500000000002E-2</v>
      </c>
      <c r="H1599" s="6">
        <f t="shared" si="219"/>
        <v>0</v>
      </c>
      <c r="I1599" s="7">
        <f t="shared" si="220"/>
        <v>-1762.8034121873363</v>
      </c>
      <c r="J1599" s="8">
        <f t="shared" si="221"/>
        <v>49777.5</v>
      </c>
      <c r="K1599" s="7">
        <f t="shared" si="222"/>
        <v>-51540.303412187335</v>
      </c>
      <c r="L1599" s="4">
        <f>IF(A1599&gt;'Yield Curve'!A2213,L1598,(1+VLOOKUP(A1599,'Yield Curve'!A1592:B2214,2,FALSE))^(1/12)-1)</f>
        <v>7.9741404289037643E-3</v>
      </c>
      <c r="M1599" s="5">
        <f t="shared" si="223"/>
        <v>-0.16755862852063949</v>
      </c>
    </row>
    <row r="1600" spans="1:13" x14ac:dyDescent="0.25">
      <c r="A1600" s="4">
        <v>1592</v>
      </c>
      <c r="B1600" s="4">
        <f t="shared" si="216"/>
        <v>177</v>
      </c>
      <c r="C1600" s="4">
        <f t="shared" si="217"/>
        <v>1607</v>
      </c>
      <c r="D1600" s="4">
        <f>IF(B1600&gt;'Mortality Table'!$A$118,D1599,VLOOKUP(B1600,'Mortality Table'!$A$2:$B$118,2,FALSE))</f>
        <v>0.59733000000000003</v>
      </c>
      <c r="E1600" s="4">
        <f>IF(INT((C1600-1)/12)+1&gt;'Lapse Table'!$A$11,E1599,VLOOKUP(INT((C1600-1)/12)+1,'Lapse Table'!$A$2:$B$11,2,FALSE))/12</f>
        <v>0</v>
      </c>
      <c r="F1600" s="5">
        <f t="shared" si="224"/>
        <v>-52.933879865620092</v>
      </c>
      <c r="G1600" s="6">
        <f t="shared" si="218"/>
        <v>4.9777500000000002E-2</v>
      </c>
      <c r="H1600" s="6">
        <f t="shared" si="219"/>
        <v>0</v>
      </c>
      <c r="I1600" s="7">
        <f t="shared" si="220"/>
        <v>-1764.4626621873365</v>
      </c>
      <c r="J1600" s="8">
        <f t="shared" si="221"/>
        <v>49777.5</v>
      </c>
      <c r="K1600" s="7">
        <f t="shared" si="222"/>
        <v>-51541.962662187339</v>
      </c>
      <c r="L1600" s="4">
        <f>IF(A1600&gt;'Yield Curve'!A2214,L1599,(1+VLOOKUP(A1600,'Yield Curve'!A1593:B2215,2,FALSE))^(1/12)-1)</f>
        <v>7.9741404289037643E-3</v>
      </c>
      <c r="M1600" s="5">
        <f t="shared" si="223"/>
        <v>-0.16623841431742506</v>
      </c>
    </row>
    <row r="1601" spans="1:13" x14ac:dyDescent="0.25">
      <c r="A1601" s="4">
        <v>1593</v>
      </c>
      <c r="B1601" s="4">
        <f t="shared" si="216"/>
        <v>177</v>
      </c>
      <c r="C1601" s="4">
        <f t="shared" si="217"/>
        <v>1608</v>
      </c>
      <c r="D1601" s="4">
        <f>IF(B1601&gt;'Mortality Table'!$A$118,D1600,VLOOKUP(B1601,'Mortality Table'!$A$2:$B$118,2,FALSE))</f>
        <v>0.59733000000000003</v>
      </c>
      <c r="E1601" s="4">
        <f>IF(INT((C1601-1)/12)+1&gt;'Lapse Table'!$A$11,E1600,VLOOKUP(INT((C1601-1)/12)+1,'Lapse Table'!$A$2:$B$11,2,FALSE))/12</f>
        <v>0</v>
      </c>
      <c r="F1601" s="5">
        <f t="shared" si="224"/>
        <v>-52.98365736562009</v>
      </c>
      <c r="G1601" s="6">
        <f t="shared" si="218"/>
        <v>4.9777500000000002E-2</v>
      </c>
      <c r="H1601" s="6">
        <f t="shared" si="219"/>
        <v>0</v>
      </c>
      <c r="I1601" s="7">
        <f t="shared" si="220"/>
        <v>-1766.1219121873364</v>
      </c>
      <c r="J1601" s="8">
        <f t="shared" si="221"/>
        <v>49777.5</v>
      </c>
      <c r="K1601" s="7">
        <f t="shared" si="222"/>
        <v>-51543.621912187336</v>
      </c>
      <c r="L1601" s="4">
        <f>IF(A1601&gt;'Yield Curve'!A2215,L1600,(1+VLOOKUP(A1601,'Yield Curve'!A1594:B2216,2,FALSE))^(1/12)-1)</f>
        <v>7.9741404289037643E-3</v>
      </c>
      <c r="M1601" s="5">
        <f t="shared" si="223"/>
        <v>-0.16492860206675902</v>
      </c>
    </row>
    <row r="1602" spans="1:13" x14ac:dyDescent="0.25">
      <c r="A1602" s="4">
        <v>1594</v>
      </c>
      <c r="B1602" s="4">
        <f t="shared" si="216"/>
        <v>177</v>
      </c>
      <c r="C1602" s="4">
        <f t="shared" si="217"/>
        <v>1609</v>
      </c>
      <c r="D1602" s="4">
        <f>IF(B1602&gt;'Mortality Table'!$A$118,D1601,VLOOKUP(B1602,'Mortality Table'!$A$2:$B$118,2,FALSE))</f>
        <v>0.59733000000000003</v>
      </c>
      <c r="E1602" s="4">
        <f>IF(INT((C1602-1)/12)+1&gt;'Lapse Table'!$A$11,E1601,VLOOKUP(INT((C1602-1)/12)+1,'Lapse Table'!$A$2:$B$11,2,FALSE))/12</f>
        <v>0</v>
      </c>
      <c r="F1602" s="5">
        <f t="shared" si="224"/>
        <v>-53.033434865620087</v>
      </c>
      <c r="G1602" s="6">
        <f t="shared" si="218"/>
        <v>4.9777500000000002E-2</v>
      </c>
      <c r="H1602" s="6">
        <f t="shared" si="219"/>
        <v>0</v>
      </c>
      <c r="I1602" s="7">
        <f t="shared" si="220"/>
        <v>-1767.7811621873361</v>
      </c>
      <c r="J1602" s="8">
        <f t="shared" si="221"/>
        <v>49777.5</v>
      </c>
      <c r="K1602" s="7">
        <f t="shared" si="222"/>
        <v>-51545.281162187333</v>
      </c>
      <c r="L1602" s="4">
        <f>IF(A1602&gt;'Yield Curve'!A2216,L1601,(1+VLOOKUP(A1602,'Yield Curve'!A1595:B2217,2,FALSE))^(1/12)-1)</f>
        <v>7.9741404289037643E-3</v>
      </c>
      <c r="M1602" s="5">
        <f t="shared" si="223"/>
        <v>-0.16362910981313422</v>
      </c>
    </row>
    <row r="1603" spans="1:13" x14ac:dyDescent="0.25">
      <c r="A1603" s="4">
        <v>1595</v>
      </c>
      <c r="B1603" s="4">
        <f t="shared" si="216"/>
        <v>177</v>
      </c>
      <c r="C1603" s="4">
        <f t="shared" si="217"/>
        <v>1610</v>
      </c>
      <c r="D1603" s="4">
        <f>IF(B1603&gt;'Mortality Table'!$A$118,D1602,VLOOKUP(B1603,'Mortality Table'!$A$2:$B$118,2,FALSE))</f>
        <v>0.59733000000000003</v>
      </c>
      <c r="E1603" s="4">
        <f>IF(INT((C1603-1)/12)+1&gt;'Lapse Table'!$A$11,E1602,VLOOKUP(INT((C1603-1)/12)+1,'Lapse Table'!$A$2:$B$11,2,FALSE))/12</f>
        <v>0</v>
      </c>
      <c r="F1603" s="5">
        <f t="shared" si="224"/>
        <v>-53.083212365620085</v>
      </c>
      <c r="G1603" s="6">
        <f t="shared" si="218"/>
        <v>4.9777500000000002E-2</v>
      </c>
      <c r="H1603" s="6">
        <f t="shared" si="219"/>
        <v>0</v>
      </c>
      <c r="I1603" s="7">
        <f t="shared" si="220"/>
        <v>-1769.4404121873361</v>
      </c>
      <c r="J1603" s="8">
        <f t="shared" si="221"/>
        <v>49777.5</v>
      </c>
      <c r="K1603" s="7">
        <f t="shared" si="222"/>
        <v>-51546.940412187338</v>
      </c>
      <c r="L1603" s="4">
        <f>IF(A1603&gt;'Yield Curve'!A2217,L1602,(1+VLOOKUP(A1603,'Yield Curve'!A1596:B2218,2,FALSE))^(1/12)-1)</f>
        <v>7.9741404289037643E-3</v>
      </c>
      <c r="M1603" s="5">
        <f t="shared" si="223"/>
        <v>-0.16233985624674865</v>
      </c>
    </row>
    <row r="1604" spans="1:13" x14ac:dyDescent="0.25">
      <c r="A1604" s="4">
        <v>1596</v>
      </c>
      <c r="B1604" s="4">
        <f t="shared" si="216"/>
        <v>178</v>
      </c>
      <c r="C1604" s="4">
        <f t="shared" si="217"/>
        <v>1611</v>
      </c>
      <c r="D1604" s="4">
        <f>IF(B1604&gt;'Mortality Table'!$A$118,D1603,VLOOKUP(B1604,'Mortality Table'!$A$2:$B$118,2,FALSE))</f>
        <v>0.59733000000000003</v>
      </c>
      <c r="E1604" s="4">
        <f>IF(INT((C1604-1)/12)+1&gt;'Lapse Table'!$A$11,E1603,VLOOKUP(INT((C1604-1)/12)+1,'Lapse Table'!$A$2:$B$11,2,FALSE))/12</f>
        <v>0</v>
      </c>
      <c r="F1604" s="5">
        <f t="shared" si="224"/>
        <v>-53.132989865620083</v>
      </c>
      <c r="G1604" s="6">
        <f t="shared" si="218"/>
        <v>4.9777500000000002E-2</v>
      </c>
      <c r="H1604" s="6">
        <f t="shared" si="219"/>
        <v>0</v>
      </c>
      <c r="I1604" s="7">
        <f t="shared" si="220"/>
        <v>-1771.0996621873362</v>
      </c>
      <c r="J1604" s="8">
        <f t="shared" si="221"/>
        <v>49777.5</v>
      </c>
      <c r="K1604" s="7">
        <f t="shared" si="222"/>
        <v>-51548.599662187335</v>
      </c>
      <c r="L1604" s="4">
        <f>IF(A1604&gt;'Yield Curve'!A2218,L1603,(1+VLOOKUP(A1604,'Yield Curve'!A1597:B2219,2,FALSE))^(1/12)-1)</f>
        <v>7.9741404289037643E-3</v>
      </c>
      <c r="M1604" s="5">
        <f t="shared" si="223"/>
        <v>-0.16106076069841804</v>
      </c>
    </row>
    <row r="1605" spans="1:13" x14ac:dyDescent="0.25">
      <c r="A1605" s="4">
        <v>1597</v>
      </c>
      <c r="B1605" s="4">
        <f t="shared" si="216"/>
        <v>178</v>
      </c>
      <c r="C1605" s="4">
        <f t="shared" si="217"/>
        <v>1612</v>
      </c>
      <c r="D1605" s="4">
        <f>IF(B1605&gt;'Mortality Table'!$A$118,D1604,VLOOKUP(B1605,'Mortality Table'!$A$2:$B$118,2,FALSE))</f>
        <v>0.59733000000000003</v>
      </c>
      <c r="E1605" s="4">
        <f>IF(INT((C1605-1)/12)+1&gt;'Lapse Table'!$A$11,E1604,VLOOKUP(INT((C1605-1)/12)+1,'Lapse Table'!$A$2:$B$11,2,FALSE))/12</f>
        <v>0</v>
      </c>
      <c r="F1605" s="5">
        <f t="shared" si="224"/>
        <v>-53.18276736562008</v>
      </c>
      <c r="G1605" s="6">
        <f t="shared" si="218"/>
        <v>4.9777500000000002E-2</v>
      </c>
      <c r="H1605" s="6">
        <f t="shared" si="219"/>
        <v>0</v>
      </c>
      <c r="I1605" s="7">
        <f t="shared" si="220"/>
        <v>-1772.7589121873361</v>
      </c>
      <c r="J1605" s="8">
        <f t="shared" si="221"/>
        <v>49777.5</v>
      </c>
      <c r="K1605" s="7">
        <f t="shared" si="222"/>
        <v>-51550.258912187339</v>
      </c>
      <c r="L1605" s="4">
        <f>IF(A1605&gt;'Yield Curve'!A2219,L1604,(1+VLOOKUP(A1605,'Yield Curve'!A1598:B2220,2,FALSE))^(1/12)-1)</f>
        <v>7.9741404289037643E-3</v>
      </c>
      <c r="M1605" s="5">
        <f t="shared" si="223"/>
        <v>-0.15979174313452882</v>
      </c>
    </row>
    <row r="1606" spans="1:13" x14ac:dyDescent="0.25">
      <c r="A1606" s="4">
        <v>1598</v>
      </c>
      <c r="B1606" s="4">
        <f t="shared" si="216"/>
        <v>178</v>
      </c>
      <c r="C1606" s="4">
        <f t="shared" si="217"/>
        <v>1613</v>
      </c>
      <c r="D1606" s="4">
        <f>IF(B1606&gt;'Mortality Table'!$A$118,D1605,VLOOKUP(B1606,'Mortality Table'!$A$2:$B$118,2,FALSE))</f>
        <v>0.59733000000000003</v>
      </c>
      <c r="E1606" s="4">
        <f>IF(INT((C1606-1)/12)+1&gt;'Lapse Table'!$A$11,E1605,VLOOKUP(INT((C1606-1)/12)+1,'Lapse Table'!$A$2:$B$11,2,FALSE))/12</f>
        <v>0</v>
      </c>
      <c r="F1606" s="5">
        <f t="shared" si="224"/>
        <v>-53.232544865620078</v>
      </c>
      <c r="G1606" s="6">
        <f t="shared" si="218"/>
        <v>4.9777500000000002E-2</v>
      </c>
      <c r="H1606" s="6">
        <f t="shared" si="219"/>
        <v>0</v>
      </c>
      <c r="I1606" s="7">
        <f t="shared" si="220"/>
        <v>-1774.4181621873358</v>
      </c>
      <c r="J1606" s="8">
        <f t="shared" si="221"/>
        <v>49777.5</v>
      </c>
      <c r="K1606" s="7">
        <f t="shared" si="222"/>
        <v>-51551.918162187336</v>
      </c>
      <c r="L1606" s="4">
        <f>IF(A1606&gt;'Yield Curve'!A2220,L1605,(1+VLOOKUP(A1606,'Yield Curve'!A1599:B2221,2,FALSE))^(1/12)-1)</f>
        <v>7.9741404289037643E-3</v>
      </c>
      <c r="M1606" s="5">
        <f t="shared" si="223"/>
        <v>-0.15853272415203046</v>
      </c>
    </row>
    <row r="1607" spans="1:13" x14ac:dyDescent="0.25">
      <c r="A1607" s="4">
        <v>1599</v>
      </c>
      <c r="B1607" s="4">
        <f t="shared" si="216"/>
        <v>178</v>
      </c>
      <c r="C1607" s="4">
        <f t="shared" si="217"/>
        <v>1614</v>
      </c>
      <c r="D1607" s="4">
        <f>IF(B1607&gt;'Mortality Table'!$A$118,D1606,VLOOKUP(B1607,'Mortality Table'!$A$2:$B$118,2,FALSE))</f>
        <v>0.59733000000000003</v>
      </c>
      <c r="E1607" s="4">
        <f>IF(INT((C1607-1)/12)+1&gt;'Lapse Table'!$A$11,E1606,VLOOKUP(INT((C1607-1)/12)+1,'Lapse Table'!$A$2:$B$11,2,FALSE))/12</f>
        <v>0</v>
      </c>
      <c r="F1607" s="5">
        <f t="shared" si="224"/>
        <v>-53.282322365620075</v>
      </c>
      <c r="G1607" s="6">
        <f t="shared" si="218"/>
        <v>4.9777500000000002E-2</v>
      </c>
      <c r="H1607" s="6">
        <f t="shared" si="219"/>
        <v>0</v>
      </c>
      <c r="I1607" s="7">
        <f t="shared" si="220"/>
        <v>-1776.0774121873358</v>
      </c>
      <c r="J1607" s="8">
        <f t="shared" si="221"/>
        <v>49777.5</v>
      </c>
      <c r="K1607" s="7">
        <f t="shared" si="222"/>
        <v>-51553.577412187333</v>
      </c>
      <c r="L1607" s="4">
        <f>IF(A1607&gt;'Yield Curve'!A2221,L1606,(1+VLOOKUP(A1607,'Yield Curve'!A1600:B2222,2,FALSE))^(1/12)-1)</f>
        <v>7.9741404289037643E-3</v>
      </c>
      <c r="M1607" s="5">
        <f t="shared" si="223"/>
        <v>-0.15728362497346779</v>
      </c>
    </row>
    <row r="1608" spans="1:13" x14ac:dyDescent="0.25">
      <c r="A1608" s="4">
        <v>1600</v>
      </c>
      <c r="B1608" s="4">
        <f t="shared" si="216"/>
        <v>178</v>
      </c>
      <c r="C1608" s="4">
        <f t="shared" si="217"/>
        <v>1615</v>
      </c>
      <c r="D1608" s="4">
        <f>IF(B1608&gt;'Mortality Table'!$A$118,D1607,VLOOKUP(B1608,'Mortality Table'!$A$2:$B$118,2,FALSE))</f>
        <v>0.59733000000000003</v>
      </c>
      <c r="E1608" s="4">
        <f>IF(INT((C1608-1)/12)+1&gt;'Lapse Table'!$A$11,E1607,VLOOKUP(INT((C1608-1)/12)+1,'Lapse Table'!$A$2:$B$11,2,FALSE))/12</f>
        <v>0</v>
      </c>
      <c r="F1608" s="5">
        <f t="shared" si="224"/>
        <v>-53.332099865620073</v>
      </c>
      <c r="G1608" s="6">
        <f t="shared" si="218"/>
        <v>4.9777500000000002E-2</v>
      </c>
      <c r="H1608" s="6">
        <f t="shared" si="219"/>
        <v>0</v>
      </c>
      <c r="I1608" s="7">
        <f t="shared" si="220"/>
        <v>-1777.7366621873359</v>
      </c>
      <c r="J1608" s="8">
        <f t="shared" si="221"/>
        <v>49777.5</v>
      </c>
      <c r="K1608" s="7">
        <f t="shared" si="222"/>
        <v>-51555.236662187337</v>
      </c>
      <c r="L1608" s="4">
        <f>IF(A1608&gt;'Yield Curve'!A2222,L1607,(1+VLOOKUP(A1608,'Yield Curve'!A1601:B2223,2,FALSE))^(1/12)-1)</f>
        <v>7.9741404289037643E-3</v>
      </c>
      <c r="M1608" s="5">
        <f t="shared" si="223"/>
        <v>-0.15604436744205202</v>
      </c>
    </row>
    <row r="1609" spans="1:13" x14ac:dyDescent="0.25">
      <c r="A1609" s="4">
        <v>1601</v>
      </c>
      <c r="B1609" s="4">
        <f t="shared" si="216"/>
        <v>178</v>
      </c>
      <c r="C1609" s="4">
        <f t="shared" si="217"/>
        <v>1616</v>
      </c>
      <c r="D1609" s="4">
        <f>IF(B1609&gt;'Mortality Table'!$A$118,D1608,VLOOKUP(B1609,'Mortality Table'!$A$2:$B$118,2,FALSE))</f>
        <v>0.59733000000000003</v>
      </c>
      <c r="E1609" s="4">
        <f>IF(INT((C1609-1)/12)+1&gt;'Lapse Table'!$A$11,E1608,VLOOKUP(INT((C1609-1)/12)+1,'Lapse Table'!$A$2:$B$11,2,FALSE))/12</f>
        <v>0</v>
      </c>
      <c r="F1609" s="5">
        <f t="shared" si="224"/>
        <v>-53.38187736562007</v>
      </c>
      <c r="G1609" s="6">
        <f t="shared" si="218"/>
        <v>4.9777500000000002E-2</v>
      </c>
      <c r="H1609" s="6">
        <f t="shared" si="219"/>
        <v>0</v>
      </c>
      <c r="I1609" s="7">
        <f t="shared" si="220"/>
        <v>-1779.3959121873356</v>
      </c>
      <c r="J1609" s="8">
        <f t="shared" si="221"/>
        <v>49777.5</v>
      </c>
      <c r="K1609" s="7">
        <f t="shared" si="222"/>
        <v>-51556.895912187334</v>
      </c>
      <c r="L1609" s="4">
        <f>IF(A1609&gt;'Yield Curve'!A2223,L1608,(1+VLOOKUP(A1609,'Yield Curve'!A1602:B2224,2,FALSE))^(1/12)-1)</f>
        <v>7.9741404289037643E-3</v>
      </c>
      <c r="M1609" s="5">
        <f t="shared" si="223"/>
        <v>-0.15481487401677085</v>
      </c>
    </row>
    <row r="1610" spans="1:13" x14ac:dyDescent="0.25">
      <c r="A1610" s="4">
        <v>1602</v>
      </c>
      <c r="B1610" s="4">
        <f t="shared" ref="B1610:B1673" si="225">INT($B$3+A1610/12)</f>
        <v>178</v>
      </c>
      <c r="C1610" s="4">
        <f t="shared" ref="C1610:C1673" si="226">$B$4+A1610</f>
        <v>1617</v>
      </c>
      <c r="D1610" s="4">
        <f>IF(B1610&gt;'Mortality Table'!$A$118,D1609,VLOOKUP(B1610,'Mortality Table'!$A$2:$B$118,2,FALSE))</f>
        <v>0.59733000000000003</v>
      </c>
      <c r="E1610" s="4">
        <f>IF(INT((C1610-1)/12)+1&gt;'Lapse Table'!$A$11,E1609,VLOOKUP(INT((C1610-1)/12)+1,'Lapse Table'!$A$2:$B$11,2,FALSE))/12</f>
        <v>0</v>
      </c>
      <c r="F1610" s="5">
        <f t="shared" si="224"/>
        <v>-53.431654865620068</v>
      </c>
      <c r="G1610" s="6">
        <f t="shared" ref="G1610:G1673" si="227">D1610/12*(1-0.5*E1610)</f>
        <v>4.9777500000000002E-2</v>
      </c>
      <c r="H1610" s="6">
        <f t="shared" ref="H1610:H1673" si="228">E1610*(1-0.5*D1610)</f>
        <v>0</v>
      </c>
      <c r="I1610" s="7">
        <f t="shared" ref="I1610:I1673" si="229">F1610*$B$5/12</f>
        <v>-1781.0551621873356</v>
      </c>
      <c r="J1610" s="8">
        <f t="shared" ref="J1610:J1673" si="230">$B$6*G1610</f>
        <v>49777.5</v>
      </c>
      <c r="K1610" s="7">
        <f t="shared" ref="K1610:K1673" si="231">I1610-J1610</f>
        <v>-51558.555162187338</v>
      </c>
      <c r="L1610" s="4">
        <f>IF(A1610&gt;'Yield Curve'!A2224,L1609,(1+VLOOKUP(A1610,'Yield Curve'!A1603:B2225,2,FALSE))^(1/12)-1)</f>
        <v>7.9741404289037643E-3</v>
      </c>
      <c r="M1610" s="5">
        <f t="shared" ref="M1610:M1673" si="232">K1610*(1+L1610)^-A1610</f>
        <v>-0.15359506776753701</v>
      </c>
    </row>
    <row r="1611" spans="1:13" x14ac:dyDescent="0.25">
      <c r="A1611" s="4">
        <v>1603</v>
      </c>
      <c r="B1611" s="4">
        <f t="shared" si="225"/>
        <v>178</v>
      </c>
      <c r="C1611" s="4">
        <f t="shared" si="226"/>
        <v>1618</v>
      </c>
      <c r="D1611" s="4">
        <f>IF(B1611&gt;'Mortality Table'!$A$118,D1610,VLOOKUP(B1611,'Mortality Table'!$A$2:$B$118,2,FALSE))</f>
        <v>0.59733000000000003</v>
      </c>
      <c r="E1611" s="4">
        <f>IF(INT((C1611-1)/12)+1&gt;'Lapse Table'!$A$11,E1610,VLOOKUP(INT((C1611-1)/12)+1,'Lapse Table'!$A$2:$B$11,2,FALSE))/12</f>
        <v>0</v>
      </c>
      <c r="F1611" s="5">
        <f t="shared" ref="F1611:F1674" si="233">F1610-G1611-H1611</f>
        <v>-53.481432365620066</v>
      </c>
      <c r="G1611" s="6">
        <f t="shared" si="227"/>
        <v>4.9777500000000002E-2</v>
      </c>
      <c r="H1611" s="6">
        <f t="shared" si="228"/>
        <v>0</v>
      </c>
      <c r="I1611" s="7">
        <f t="shared" si="229"/>
        <v>-1782.7144121873355</v>
      </c>
      <c r="J1611" s="8">
        <f t="shared" si="230"/>
        <v>49777.5</v>
      </c>
      <c r="K1611" s="7">
        <f t="shared" si="231"/>
        <v>-51560.214412187335</v>
      </c>
      <c r="L1611" s="4">
        <f>IF(A1611&gt;'Yield Curve'!A2225,L1610,(1+VLOOKUP(A1611,'Yield Curve'!A1604:B2226,2,FALSE))^(1/12)-1)</f>
        <v>7.9741404289037643E-3</v>
      </c>
      <c r="M1611" s="5">
        <f t="shared" si="232"/>
        <v>-0.15238487237037482</v>
      </c>
    </row>
    <row r="1612" spans="1:13" x14ac:dyDescent="0.25">
      <c r="A1612" s="4">
        <v>1604</v>
      </c>
      <c r="B1612" s="4">
        <f t="shared" si="225"/>
        <v>178</v>
      </c>
      <c r="C1612" s="4">
        <f t="shared" si="226"/>
        <v>1619</v>
      </c>
      <c r="D1612" s="4">
        <f>IF(B1612&gt;'Mortality Table'!$A$118,D1611,VLOOKUP(B1612,'Mortality Table'!$A$2:$B$118,2,FALSE))</f>
        <v>0.59733000000000003</v>
      </c>
      <c r="E1612" s="4">
        <f>IF(INT((C1612-1)/12)+1&gt;'Lapse Table'!$A$11,E1611,VLOOKUP(INT((C1612-1)/12)+1,'Lapse Table'!$A$2:$B$11,2,FALSE))/12</f>
        <v>0</v>
      </c>
      <c r="F1612" s="5">
        <f t="shared" si="233"/>
        <v>-53.531209865620063</v>
      </c>
      <c r="G1612" s="6">
        <f t="shared" si="227"/>
        <v>4.9777500000000002E-2</v>
      </c>
      <c r="H1612" s="6">
        <f t="shared" si="228"/>
        <v>0</v>
      </c>
      <c r="I1612" s="7">
        <f t="shared" si="229"/>
        <v>-1784.3736621873356</v>
      </c>
      <c r="J1612" s="8">
        <f t="shared" si="230"/>
        <v>49777.5</v>
      </c>
      <c r="K1612" s="7">
        <f t="shared" si="231"/>
        <v>-51561.873662187332</v>
      </c>
      <c r="L1612" s="4">
        <f>IF(A1612&gt;'Yield Curve'!A2226,L1611,(1+VLOOKUP(A1612,'Yield Curve'!A1605:B2227,2,FALSE))^(1/12)-1)</f>
        <v>7.9741404289037643E-3</v>
      </c>
      <c r="M1612" s="5">
        <f t="shared" si="232"/>
        <v>-0.15118421210264518</v>
      </c>
    </row>
    <row r="1613" spans="1:13" x14ac:dyDescent="0.25">
      <c r="A1613" s="4">
        <v>1605</v>
      </c>
      <c r="B1613" s="4">
        <f t="shared" si="225"/>
        <v>178</v>
      </c>
      <c r="C1613" s="4">
        <f t="shared" si="226"/>
        <v>1620</v>
      </c>
      <c r="D1613" s="4">
        <f>IF(B1613&gt;'Mortality Table'!$A$118,D1612,VLOOKUP(B1613,'Mortality Table'!$A$2:$B$118,2,FALSE))</f>
        <v>0.59733000000000003</v>
      </c>
      <c r="E1613" s="4">
        <f>IF(INT((C1613-1)/12)+1&gt;'Lapse Table'!$A$11,E1612,VLOOKUP(INT((C1613-1)/12)+1,'Lapse Table'!$A$2:$B$11,2,FALSE))/12</f>
        <v>0</v>
      </c>
      <c r="F1613" s="5">
        <f t="shared" si="233"/>
        <v>-53.580987365620061</v>
      </c>
      <c r="G1613" s="6">
        <f t="shared" si="227"/>
        <v>4.9777500000000002E-2</v>
      </c>
      <c r="H1613" s="6">
        <f t="shared" si="228"/>
        <v>0</v>
      </c>
      <c r="I1613" s="7">
        <f t="shared" si="229"/>
        <v>-1786.0329121873353</v>
      </c>
      <c r="J1613" s="8">
        <f t="shared" si="230"/>
        <v>49777.5</v>
      </c>
      <c r="K1613" s="7">
        <f t="shared" si="231"/>
        <v>-51563.532912187336</v>
      </c>
      <c r="L1613" s="4">
        <f>IF(A1613&gt;'Yield Curve'!A2227,L1612,(1+VLOOKUP(A1613,'Yield Curve'!A1606:B2228,2,FALSE))^(1/12)-1)</f>
        <v>7.9741404289037643E-3</v>
      </c>
      <c r="M1613" s="5">
        <f t="shared" si="232"/>
        <v>-0.14999301183830779</v>
      </c>
    </row>
    <row r="1614" spans="1:13" x14ac:dyDescent="0.25">
      <c r="A1614" s="4">
        <v>1606</v>
      </c>
      <c r="B1614" s="4">
        <f t="shared" si="225"/>
        <v>178</v>
      </c>
      <c r="C1614" s="4">
        <f t="shared" si="226"/>
        <v>1621</v>
      </c>
      <c r="D1614" s="4">
        <f>IF(B1614&gt;'Mortality Table'!$A$118,D1613,VLOOKUP(B1614,'Mortality Table'!$A$2:$B$118,2,FALSE))</f>
        <v>0.59733000000000003</v>
      </c>
      <c r="E1614" s="4">
        <f>IF(INT((C1614-1)/12)+1&gt;'Lapse Table'!$A$11,E1613,VLOOKUP(INT((C1614-1)/12)+1,'Lapse Table'!$A$2:$B$11,2,FALSE))/12</f>
        <v>0</v>
      </c>
      <c r="F1614" s="5">
        <f t="shared" si="233"/>
        <v>-53.630764865620058</v>
      </c>
      <c r="G1614" s="6">
        <f t="shared" si="227"/>
        <v>4.9777500000000002E-2</v>
      </c>
      <c r="H1614" s="6">
        <f t="shared" si="228"/>
        <v>0</v>
      </c>
      <c r="I1614" s="7">
        <f t="shared" si="229"/>
        <v>-1787.6921621873353</v>
      </c>
      <c r="J1614" s="8">
        <f t="shared" si="230"/>
        <v>49777.5</v>
      </c>
      <c r="K1614" s="7">
        <f t="shared" si="231"/>
        <v>-51565.192162187333</v>
      </c>
      <c r="L1614" s="4">
        <f>IF(A1614&gt;'Yield Curve'!A2228,L1613,(1+VLOOKUP(A1614,'Yield Curve'!A1607:B2229,2,FALSE))^(1/12)-1)</f>
        <v>7.9741404289037643E-3</v>
      </c>
      <c r="M1614" s="5">
        <f t="shared" si="232"/>
        <v>-0.14881119704322066</v>
      </c>
    </row>
    <row r="1615" spans="1:13" x14ac:dyDescent="0.25">
      <c r="A1615" s="4">
        <v>1607</v>
      </c>
      <c r="B1615" s="4">
        <f t="shared" si="225"/>
        <v>178</v>
      </c>
      <c r="C1615" s="4">
        <f t="shared" si="226"/>
        <v>1622</v>
      </c>
      <c r="D1615" s="4">
        <f>IF(B1615&gt;'Mortality Table'!$A$118,D1614,VLOOKUP(B1615,'Mortality Table'!$A$2:$B$118,2,FALSE))</f>
        <v>0.59733000000000003</v>
      </c>
      <c r="E1615" s="4">
        <f>IF(INT((C1615-1)/12)+1&gt;'Lapse Table'!$A$11,E1614,VLOOKUP(INT((C1615-1)/12)+1,'Lapse Table'!$A$2:$B$11,2,FALSE))/12</f>
        <v>0</v>
      </c>
      <c r="F1615" s="5">
        <f t="shared" si="233"/>
        <v>-53.680542365620056</v>
      </c>
      <c r="G1615" s="6">
        <f t="shared" si="227"/>
        <v>4.9777500000000002E-2</v>
      </c>
      <c r="H1615" s="6">
        <f t="shared" si="228"/>
        <v>0</v>
      </c>
      <c r="I1615" s="7">
        <f t="shared" si="229"/>
        <v>-1789.3514121873352</v>
      </c>
      <c r="J1615" s="8">
        <f t="shared" si="230"/>
        <v>49777.5</v>
      </c>
      <c r="K1615" s="7">
        <f t="shared" si="231"/>
        <v>-51566.851412187338</v>
      </c>
      <c r="L1615" s="4">
        <f>IF(A1615&gt;'Yield Curve'!A2229,L1614,(1+VLOOKUP(A1615,'Yield Curve'!A1608:B2230,2,FALSE))^(1/12)-1)</f>
        <v>7.9741404289037643E-3</v>
      </c>
      <c r="M1615" s="5">
        <f t="shared" si="232"/>
        <v>-0.14763869377047686</v>
      </c>
    </row>
    <row r="1616" spans="1:13" x14ac:dyDescent="0.25">
      <c r="A1616" s="4">
        <v>1608</v>
      </c>
      <c r="B1616" s="4">
        <f t="shared" si="225"/>
        <v>179</v>
      </c>
      <c r="C1616" s="4">
        <f t="shared" si="226"/>
        <v>1623</v>
      </c>
      <c r="D1616" s="4">
        <f>IF(B1616&gt;'Mortality Table'!$A$118,D1615,VLOOKUP(B1616,'Mortality Table'!$A$2:$B$118,2,FALSE))</f>
        <v>0.59733000000000003</v>
      </c>
      <c r="E1616" s="4">
        <f>IF(INT((C1616-1)/12)+1&gt;'Lapse Table'!$A$11,E1615,VLOOKUP(INT((C1616-1)/12)+1,'Lapse Table'!$A$2:$B$11,2,FALSE))/12</f>
        <v>0</v>
      </c>
      <c r="F1616" s="5">
        <f t="shared" si="233"/>
        <v>-53.730319865620054</v>
      </c>
      <c r="G1616" s="6">
        <f t="shared" si="227"/>
        <v>4.9777500000000002E-2</v>
      </c>
      <c r="H1616" s="6">
        <f t="shared" si="228"/>
        <v>0</v>
      </c>
      <c r="I1616" s="7">
        <f t="shared" si="229"/>
        <v>-1791.0106621873349</v>
      </c>
      <c r="J1616" s="8">
        <f t="shared" si="230"/>
        <v>49777.5</v>
      </c>
      <c r="K1616" s="7">
        <f t="shared" si="231"/>
        <v>-51568.510662187335</v>
      </c>
      <c r="L1616" s="4">
        <f>IF(A1616&gt;'Yield Curve'!A2230,L1615,(1+VLOOKUP(A1616,'Yield Curve'!A1609:B2231,2,FALSE))^(1/12)-1)</f>
        <v>7.9741404289037643E-3</v>
      </c>
      <c r="M1616" s="5">
        <f t="shared" si="232"/>
        <v>-0.14647542865577781</v>
      </c>
    </row>
    <row r="1617" spans="1:13" x14ac:dyDescent="0.25">
      <c r="A1617" s="4">
        <v>1609</v>
      </c>
      <c r="B1617" s="4">
        <f t="shared" si="225"/>
        <v>179</v>
      </c>
      <c r="C1617" s="4">
        <f t="shared" si="226"/>
        <v>1624</v>
      </c>
      <c r="D1617" s="4">
        <f>IF(B1617&gt;'Mortality Table'!$A$118,D1616,VLOOKUP(B1617,'Mortality Table'!$A$2:$B$118,2,FALSE))</f>
        <v>0.59733000000000003</v>
      </c>
      <c r="E1617" s="4">
        <f>IF(INT((C1617-1)/12)+1&gt;'Lapse Table'!$A$11,E1616,VLOOKUP(INT((C1617-1)/12)+1,'Lapse Table'!$A$2:$B$11,2,FALSE))/12</f>
        <v>0</v>
      </c>
      <c r="F1617" s="5">
        <f t="shared" si="233"/>
        <v>-53.780097365620051</v>
      </c>
      <c r="G1617" s="6">
        <f t="shared" si="227"/>
        <v>4.9777500000000002E-2</v>
      </c>
      <c r="H1617" s="6">
        <f t="shared" si="228"/>
        <v>0</v>
      </c>
      <c r="I1617" s="7">
        <f t="shared" si="229"/>
        <v>-1792.6699121873351</v>
      </c>
      <c r="J1617" s="8">
        <f t="shared" si="230"/>
        <v>49777.5</v>
      </c>
      <c r="K1617" s="7">
        <f t="shared" si="231"/>
        <v>-51570.169912187332</v>
      </c>
      <c r="L1617" s="4">
        <f>IF(A1617&gt;'Yield Curve'!A2231,L1616,(1+VLOOKUP(A1617,'Yield Curve'!A1610:B2232,2,FALSE))^(1/12)-1)</f>
        <v>7.9741404289037643E-3</v>
      </c>
      <c r="M1617" s="5">
        <f t="shared" si="232"/>
        <v>-0.14532132891284349</v>
      </c>
    </row>
    <row r="1618" spans="1:13" x14ac:dyDescent="0.25">
      <c r="A1618" s="4">
        <v>1610</v>
      </c>
      <c r="B1618" s="4">
        <f t="shared" si="225"/>
        <v>179</v>
      </c>
      <c r="C1618" s="4">
        <f t="shared" si="226"/>
        <v>1625</v>
      </c>
      <c r="D1618" s="4">
        <f>IF(B1618&gt;'Mortality Table'!$A$118,D1617,VLOOKUP(B1618,'Mortality Table'!$A$2:$B$118,2,FALSE))</f>
        <v>0.59733000000000003</v>
      </c>
      <c r="E1618" s="4">
        <f>IF(INT((C1618-1)/12)+1&gt;'Lapse Table'!$A$11,E1617,VLOOKUP(INT((C1618-1)/12)+1,'Lapse Table'!$A$2:$B$11,2,FALSE))/12</f>
        <v>0</v>
      </c>
      <c r="F1618" s="5">
        <f t="shared" si="233"/>
        <v>-53.829874865620049</v>
      </c>
      <c r="G1618" s="6">
        <f t="shared" si="227"/>
        <v>4.9777500000000002E-2</v>
      </c>
      <c r="H1618" s="6">
        <f t="shared" si="228"/>
        <v>0</v>
      </c>
      <c r="I1618" s="7">
        <f t="shared" si="229"/>
        <v>-1794.329162187335</v>
      </c>
      <c r="J1618" s="8">
        <f t="shared" si="230"/>
        <v>49777.5</v>
      </c>
      <c r="K1618" s="7">
        <f t="shared" si="231"/>
        <v>-51571.829162187336</v>
      </c>
      <c r="L1618" s="4">
        <f>IF(A1618&gt;'Yield Curve'!A2232,L1617,(1+VLOOKUP(A1618,'Yield Curve'!A1611:B2233,2,FALSE))^(1/12)-1)</f>
        <v>7.9741404289037643E-3</v>
      </c>
      <c r="M1618" s="5">
        <f t="shared" si="232"/>
        <v>-0.14417632232885813</v>
      </c>
    </row>
    <row r="1619" spans="1:13" x14ac:dyDescent="0.25">
      <c r="A1619" s="4">
        <v>1611</v>
      </c>
      <c r="B1619" s="4">
        <f t="shared" si="225"/>
        <v>179</v>
      </c>
      <c r="C1619" s="4">
        <f t="shared" si="226"/>
        <v>1626</v>
      </c>
      <c r="D1619" s="4">
        <f>IF(B1619&gt;'Mortality Table'!$A$118,D1618,VLOOKUP(B1619,'Mortality Table'!$A$2:$B$118,2,FALSE))</f>
        <v>0.59733000000000003</v>
      </c>
      <c r="E1619" s="4">
        <f>IF(INT((C1619-1)/12)+1&gt;'Lapse Table'!$A$11,E1618,VLOOKUP(INT((C1619-1)/12)+1,'Lapse Table'!$A$2:$B$11,2,FALSE))/12</f>
        <v>0</v>
      </c>
      <c r="F1619" s="5">
        <f t="shared" si="233"/>
        <v>-53.879652365620046</v>
      </c>
      <c r="G1619" s="6">
        <f t="shared" si="227"/>
        <v>4.9777500000000002E-2</v>
      </c>
      <c r="H1619" s="6">
        <f t="shared" si="228"/>
        <v>0</v>
      </c>
      <c r="I1619" s="7">
        <f t="shared" si="229"/>
        <v>-1795.9884121873349</v>
      </c>
      <c r="J1619" s="8">
        <f t="shared" si="230"/>
        <v>49777.5</v>
      </c>
      <c r="K1619" s="7">
        <f t="shared" si="231"/>
        <v>-51573.488412187333</v>
      </c>
      <c r="L1619" s="4">
        <f>IF(A1619&gt;'Yield Curve'!A2233,L1618,(1+VLOOKUP(A1619,'Yield Curve'!A1612:B2234,2,FALSE))^(1/12)-1)</f>
        <v>7.9741404289037643E-3</v>
      </c>
      <c r="M1619" s="5">
        <f t="shared" si="232"/>
        <v>-0.14304033725995205</v>
      </c>
    </row>
    <row r="1620" spans="1:13" x14ac:dyDescent="0.25">
      <c r="A1620" s="4">
        <v>1612</v>
      </c>
      <c r="B1620" s="4">
        <f t="shared" si="225"/>
        <v>179</v>
      </c>
      <c r="C1620" s="4">
        <f t="shared" si="226"/>
        <v>1627</v>
      </c>
      <c r="D1620" s="4">
        <f>IF(B1620&gt;'Mortality Table'!$A$118,D1619,VLOOKUP(B1620,'Mortality Table'!$A$2:$B$118,2,FALSE))</f>
        <v>0.59733000000000003</v>
      </c>
      <c r="E1620" s="4">
        <f>IF(INT((C1620-1)/12)+1&gt;'Lapse Table'!$A$11,E1619,VLOOKUP(INT((C1620-1)/12)+1,'Lapse Table'!$A$2:$B$11,2,FALSE))/12</f>
        <v>0</v>
      </c>
      <c r="F1620" s="5">
        <f t="shared" si="233"/>
        <v>-53.929429865620044</v>
      </c>
      <c r="G1620" s="6">
        <f t="shared" si="227"/>
        <v>4.9777500000000002E-2</v>
      </c>
      <c r="H1620" s="6">
        <f t="shared" si="228"/>
        <v>0</v>
      </c>
      <c r="I1620" s="7">
        <f t="shared" si="229"/>
        <v>-1797.6476621873346</v>
      </c>
      <c r="J1620" s="8">
        <f t="shared" si="230"/>
        <v>49777.5</v>
      </c>
      <c r="K1620" s="7">
        <f t="shared" si="231"/>
        <v>-51575.147662187337</v>
      </c>
      <c r="L1620" s="4">
        <f>IF(A1620&gt;'Yield Curve'!A2234,L1619,(1+VLOOKUP(A1620,'Yield Curve'!A1613:B2235,2,FALSE))^(1/12)-1)</f>
        <v>7.9741404289037643E-3</v>
      </c>
      <c r="M1620" s="5">
        <f t="shared" si="232"/>
        <v>-0.1419133026267195</v>
      </c>
    </row>
    <row r="1621" spans="1:13" x14ac:dyDescent="0.25">
      <c r="A1621" s="4">
        <v>1613</v>
      </c>
      <c r="B1621" s="4">
        <f t="shared" si="225"/>
        <v>179</v>
      </c>
      <c r="C1621" s="4">
        <f t="shared" si="226"/>
        <v>1628</v>
      </c>
      <c r="D1621" s="4">
        <f>IF(B1621&gt;'Mortality Table'!$A$118,D1620,VLOOKUP(B1621,'Mortality Table'!$A$2:$B$118,2,FALSE))</f>
        <v>0.59733000000000003</v>
      </c>
      <c r="E1621" s="4">
        <f>IF(INT((C1621-1)/12)+1&gt;'Lapse Table'!$A$11,E1620,VLOOKUP(INT((C1621-1)/12)+1,'Lapse Table'!$A$2:$B$11,2,FALSE))/12</f>
        <v>0</v>
      </c>
      <c r="F1621" s="5">
        <f t="shared" si="233"/>
        <v>-53.979207365620042</v>
      </c>
      <c r="G1621" s="6">
        <f t="shared" si="227"/>
        <v>4.9777500000000002E-2</v>
      </c>
      <c r="H1621" s="6">
        <f t="shared" si="228"/>
        <v>0</v>
      </c>
      <c r="I1621" s="7">
        <f t="shared" si="229"/>
        <v>-1799.3069121873348</v>
      </c>
      <c r="J1621" s="8">
        <f t="shared" si="230"/>
        <v>49777.5</v>
      </c>
      <c r="K1621" s="7">
        <f t="shared" si="231"/>
        <v>-51576.806912187334</v>
      </c>
      <c r="L1621" s="4">
        <f>IF(A1621&gt;'Yield Curve'!A2235,L1620,(1+VLOOKUP(A1621,'Yield Curve'!A1614:B2236,2,FALSE))^(1/12)-1)</f>
        <v>7.9741404289037643E-3</v>
      </c>
      <c r="M1621" s="5">
        <f t="shared" si="232"/>
        <v>-0.14079514790977107</v>
      </c>
    </row>
    <row r="1622" spans="1:13" x14ac:dyDescent="0.25">
      <c r="A1622" s="4">
        <v>1614</v>
      </c>
      <c r="B1622" s="4">
        <f t="shared" si="225"/>
        <v>179</v>
      </c>
      <c r="C1622" s="4">
        <f t="shared" si="226"/>
        <v>1629</v>
      </c>
      <c r="D1622" s="4">
        <f>IF(B1622&gt;'Mortality Table'!$A$118,D1621,VLOOKUP(B1622,'Mortality Table'!$A$2:$B$118,2,FALSE))</f>
        <v>0.59733000000000003</v>
      </c>
      <c r="E1622" s="4">
        <f>IF(INT((C1622-1)/12)+1&gt;'Lapse Table'!$A$11,E1621,VLOOKUP(INT((C1622-1)/12)+1,'Lapse Table'!$A$2:$B$11,2,FALSE))/12</f>
        <v>0</v>
      </c>
      <c r="F1622" s="5">
        <f t="shared" si="233"/>
        <v>-54.028984865620039</v>
      </c>
      <c r="G1622" s="6">
        <f t="shared" si="227"/>
        <v>4.9777500000000002E-2</v>
      </c>
      <c r="H1622" s="6">
        <f t="shared" si="228"/>
        <v>0</v>
      </c>
      <c r="I1622" s="7">
        <f t="shared" si="229"/>
        <v>-1800.9661621873347</v>
      </c>
      <c r="J1622" s="8">
        <f t="shared" si="230"/>
        <v>49777.5</v>
      </c>
      <c r="K1622" s="7">
        <f t="shared" si="231"/>
        <v>-51578.466162187338</v>
      </c>
      <c r="L1622" s="4">
        <f>IF(A1622&gt;'Yield Curve'!A2236,L1621,(1+VLOOKUP(A1622,'Yield Curve'!A1615:B2237,2,FALSE))^(1/12)-1)</f>
        <v>7.9741404289037643E-3</v>
      </c>
      <c r="M1622" s="5">
        <f t="shared" si="232"/>
        <v>-0.13968580314532195</v>
      </c>
    </row>
    <row r="1623" spans="1:13" x14ac:dyDescent="0.25">
      <c r="A1623" s="4">
        <v>1615</v>
      </c>
      <c r="B1623" s="4">
        <f t="shared" si="225"/>
        <v>179</v>
      </c>
      <c r="C1623" s="4">
        <f t="shared" si="226"/>
        <v>1630</v>
      </c>
      <c r="D1623" s="4">
        <f>IF(B1623&gt;'Mortality Table'!$A$118,D1622,VLOOKUP(B1623,'Mortality Table'!$A$2:$B$118,2,FALSE))</f>
        <v>0.59733000000000003</v>
      </c>
      <c r="E1623" s="4">
        <f>IF(INT((C1623-1)/12)+1&gt;'Lapse Table'!$A$11,E1622,VLOOKUP(INT((C1623-1)/12)+1,'Lapse Table'!$A$2:$B$11,2,FALSE))/12</f>
        <v>0</v>
      </c>
      <c r="F1623" s="5">
        <f t="shared" si="233"/>
        <v>-54.078762365620037</v>
      </c>
      <c r="G1623" s="6">
        <f t="shared" si="227"/>
        <v>4.9777500000000002E-2</v>
      </c>
      <c r="H1623" s="6">
        <f t="shared" si="228"/>
        <v>0</v>
      </c>
      <c r="I1623" s="7">
        <f t="shared" si="229"/>
        <v>-1802.6254121873346</v>
      </c>
      <c r="J1623" s="8">
        <f t="shared" si="230"/>
        <v>49777.5</v>
      </c>
      <c r="K1623" s="7">
        <f t="shared" si="231"/>
        <v>-51580.125412187335</v>
      </c>
      <c r="L1623" s="4">
        <f>IF(A1623&gt;'Yield Curve'!A2237,L1622,(1+VLOOKUP(A1623,'Yield Curve'!A1616:B2238,2,FALSE))^(1/12)-1)</f>
        <v>7.9741404289037643E-3</v>
      </c>
      <c r="M1623" s="5">
        <f t="shared" si="232"/>
        <v>-0.13858519892081414</v>
      </c>
    </row>
    <row r="1624" spans="1:13" x14ac:dyDescent="0.25">
      <c r="A1624" s="4">
        <v>1616</v>
      </c>
      <c r="B1624" s="4">
        <f t="shared" si="225"/>
        <v>179</v>
      </c>
      <c r="C1624" s="4">
        <f t="shared" si="226"/>
        <v>1631</v>
      </c>
      <c r="D1624" s="4">
        <f>IF(B1624&gt;'Mortality Table'!$A$118,D1623,VLOOKUP(B1624,'Mortality Table'!$A$2:$B$118,2,FALSE))</f>
        <v>0.59733000000000003</v>
      </c>
      <c r="E1624" s="4">
        <f>IF(INT((C1624-1)/12)+1&gt;'Lapse Table'!$A$11,E1623,VLOOKUP(INT((C1624-1)/12)+1,'Lapse Table'!$A$2:$B$11,2,FALSE))/12</f>
        <v>0</v>
      </c>
      <c r="F1624" s="5">
        <f t="shared" si="233"/>
        <v>-54.128539865620034</v>
      </c>
      <c r="G1624" s="6">
        <f t="shared" si="227"/>
        <v>4.9777500000000002E-2</v>
      </c>
      <c r="H1624" s="6">
        <f t="shared" si="228"/>
        <v>0</v>
      </c>
      <c r="I1624" s="7">
        <f t="shared" si="229"/>
        <v>-1804.2846621873343</v>
      </c>
      <c r="J1624" s="8">
        <f t="shared" si="230"/>
        <v>49777.5</v>
      </c>
      <c r="K1624" s="7">
        <f t="shared" si="231"/>
        <v>-51581.784662187332</v>
      </c>
      <c r="L1624" s="4">
        <f>IF(A1624&gt;'Yield Curve'!A2238,L1623,(1+VLOOKUP(A1624,'Yield Curve'!A1617:B2239,2,FALSE))^(1/12)-1)</f>
        <v>7.9741404289037643E-3</v>
      </c>
      <c r="M1624" s="5">
        <f t="shared" si="232"/>
        <v>-0.1374932663705738</v>
      </c>
    </row>
    <row r="1625" spans="1:13" x14ac:dyDescent="0.25">
      <c r="A1625" s="4">
        <v>1617</v>
      </c>
      <c r="B1625" s="4">
        <f t="shared" si="225"/>
        <v>179</v>
      </c>
      <c r="C1625" s="4">
        <f t="shared" si="226"/>
        <v>1632</v>
      </c>
      <c r="D1625" s="4">
        <f>IF(B1625&gt;'Mortality Table'!$A$118,D1624,VLOOKUP(B1625,'Mortality Table'!$A$2:$B$118,2,FALSE))</f>
        <v>0.59733000000000003</v>
      </c>
      <c r="E1625" s="4">
        <f>IF(INT((C1625-1)/12)+1&gt;'Lapse Table'!$A$11,E1624,VLOOKUP(INT((C1625-1)/12)+1,'Lapse Table'!$A$2:$B$11,2,FALSE))/12</f>
        <v>0</v>
      </c>
      <c r="F1625" s="5">
        <f t="shared" si="233"/>
        <v>-54.178317365620032</v>
      </c>
      <c r="G1625" s="6">
        <f t="shared" si="227"/>
        <v>4.9777500000000002E-2</v>
      </c>
      <c r="H1625" s="6">
        <f t="shared" si="228"/>
        <v>0</v>
      </c>
      <c r="I1625" s="7">
        <f t="shared" si="229"/>
        <v>-1805.9439121873345</v>
      </c>
      <c r="J1625" s="8">
        <f t="shared" si="230"/>
        <v>49777.5</v>
      </c>
      <c r="K1625" s="7">
        <f t="shared" si="231"/>
        <v>-51583.443912187337</v>
      </c>
      <c r="L1625" s="4">
        <f>IF(A1625&gt;'Yield Curve'!A2239,L1624,(1+VLOOKUP(A1625,'Yield Curve'!A1618:B2240,2,FALSE))^(1/12)-1)</f>
        <v>7.9741404289037643E-3</v>
      </c>
      <c r="M1625" s="5">
        <f t="shared" si="232"/>
        <v>-0.1364099371715026</v>
      </c>
    </row>
    <row r="1626" spans="1:13" x14ac:dyDescent="0.25">
      <c r="A1626" s="4">
        <v>1618</v>
      </c>
      <c r="B1626" s="4">
        <f t="shared" si="225"/>
        <v>179</v>
      </c>
      <c r="C1626" s="4">
        <f t="shared" si="226"/>
        <v>1633</v>
      </c>
      <c r="D1626" s="4">
        <f>IF(B1626&gt;'Mortality Table'!$A$118,D1625,VLOOKUP(B1626,'Mortality Table'!$A$2:$B$118,2,FALSE))</f>
        <v>0.59733000000000003</v>
      </c>
      <c r="E1626" s="4">
        <f>IF(INT((C1626-1)/12)+1&gt;'Lapse Table'!$A$11,E1625,VLOOKUP(INT((C1626-1)/12)+1,'Lapse Table'!$A$2:$B$11,2,FALSE))/12</f>
        <v>0</v>
      </c>
      <c r="F1626" s="5">
        <f t="shared" si="233"/>
        <v>-54.228094865620029</v>
      </c>
      <c r="G1626" s="6">
        <f t="shared" si="227"/>
        <v>4.9777500000000002E-2</v>
      </c>
      <c r="H1626" s="6">
        <f t="shared" si="228"/>
        <v>0</v>
      </c>
      <c r="I1626" s="7">
        <f t="shared" si="229"/>
        <v>-1807.6031621873344</v>
      </c>
      <c r="J1626" s="8">
        <f t="shared" si="230"/>
        <v>49777.5</v>
      </c>
      <c r="K1626" s="7">
        <f t="shared" si="231"/>
        <v>-51585.103162187334</v>
      </c>
      <c r="L1626" s="4">
        <f>IF(A1626&gt;'Yield Curve'!A2240,L1625,(1+VLOOKUP(A1626,'Yield Curve'!A1619:B2241,2,FALSE))^(1/12)-1)</f>
        <v>7.9741404289037643E-3</v>
      </c>
      <c r="M1626" s="5">
        <f t="shared" si="232"/>
        <v>-0.13533514353880266</v>
      </c>
    </row>
    <row r="1627" spans="1:13" x14ac:dyDescent="0.25">
      <c r="A1627" s="4">
        <v>1619</v>
      </c>
      <c r="B1627" s="4">
        <f t="shared" si="225"/>
        <v>179</v>
      </c>
      <c r="C1627" s="4">
        <f t="shared" si="226"/>
        <v>1634</v>
      </c>
      <c r="D1627" s="4">
        <f>IF(B1627&gt;'Mortality Table'!$A$118,D1626,VLOOKUP(B1627,'Mortality Table'!$A$2:$B$118,2,FALSE))</f>
        <v>0.59733000000000003</v>
      </c>
      <c r="E1627" s="4">
        <f>IF(INT((C1627-1)/12)+1&gt;'Lapse Table'!$A$11,E1626,VLOOKUP(INT((C1627-1)/12)+1,'Lapse Table'!$A$2:$B$11,2,FALSE))/12</f>
        <v>0</v>
      </c>
      <c r="F1627" s="5">
        <f t="shared" si="233"/>
        <v>-54.277872365620027</v>
      </c>
      <c r="G1627" s="6">
        <f t="shared" si="227"/>
        <v>4.9777500000000002E-2</v>
      </c>
      <c r="H1627" s="6">
        <f t="shared" si="228"/>
        <v>0</v>
      </c>
      <c r="I1627" s="7">
        <f t="shared" si="229"/>
        <v>-1809.2624121873341</v>
      </c>
      <c r="J1627" s="8">
        <f t="shared" si="230"/>
        <v>49777.5</v>
      </c>
      <c r="K1627" s="7">
        <f t="shared" si="231"/>
        <v>-51586.762412187338</v>
      </c>
      <c r="L1627" s="4">
        <f>IF(A1627&gt;'Yield Curve'!A2241,L1626,(1+VLOOKUP(A1627,'Yield Curve'!A1620:B2242,2,FALSE))^(1/12)-1)</f>
        <v>7.9741404289037643E-3</v>
      </c>
      <c r="M1627" s="5">
        <f t="shared" si="232"/>
        <v>-0.13426881822173584</v>
      </c>
    </row>
    <row r="1628" spans="1:13" x14ac:dyDescent="0.25">
      <c r="A1628" s="4">
        <v>1620</v>
      </c>
      <c r="B1628" s="4">
        <f t="shared" si="225"/>
        <v>180</v>
      </c>
      <c r="C1628" s="4">
        <f t="shared" si="226"/>
        <v>1635</v>
      </c>
      <c r="D1628" s="4">
        <f>IF(B1628&gt;'Mortality Table'!$A$118,D1627,VLOOKUP(B1628,'Mortality Table'!$A$2:$B$118,2,FALSE))</f>
        <v>0.59733000000000003</v>
      </c>
      <c r="E1628" s="4">
        <f>IF(INT((C1628-1)/12)+1&gt;'Lapse Table'!$A$11,E1627,VLOOKUP(INT((C1628-1)/12)+1,'Lapse Table'!$A$2:$B$11,2,FALSE))/12</f>
        <v>0</v>
      </c>
      <c r="F1628" s="5">
        <f t="shared" si="233"/>
        <v>-54.327649865620025</v>
      </c>
      <c r="G1628" s="6">
        <f t="shared" si="227"/>
        <v>4.9777500000000002E-2</v>
      </c>
      <c r="H1628" s="6">
        <f t="shared" si="228"/>
        <v>0</v>
      </c>
      <c r="I1628" s="7">
        <f t="shared" si="229"/>
        <v>-1810.9216621873341</v>
      </c>
      <c r="J1628" s="8">
        <f t="shared" si="230"/>
        <v>49777.5</v>
      </c>
      <c r="K1628" s="7">
        <f t="shared" si="231"/>
        <v>-51588.421662187335</v>
      </c>
      <c r="L1628" s="4">
        <f>IF(A1628&gt;'Yield Curve'!A2242,L1627,(1+VLOOKUP(A1628,'Yield Curve'!A1621:B2243,2,FALSE))^(1/12)-1)</f>
        <v>7.9741404289037643E-3</v>
      </c>
      <c r="M1628" s="5">
        <f t="shared" si="232"/>
        <v>-0.13321089449941584</v>
      </c>
    </row>
    <row r="1629" spans="1:13" x14ac:dyDescent="0.25">
      <c r="A1629" s="4">
        <v>1621</v>
      </c>
      <c r="B1629" s="4">
        <f t="shared" si="225"/>
        <v>180</v>
      </c>
      <c r="C1629" s="4">
        <f t="shared" si="226"/>
        <v>1636</v>
      </c>
      <c r="D1629" s="4">
        <f>IF(B1629&gt;'Mortality Table'!$A$118,D1628,VLOOKUP(B1629,'Mortality Table'!$A$2:$B$118,2,FALSE))</f>
        <v>0.59733000000000003</v>
      </c>
      <c r="E1629" s="4">
        <f>IF(INT((C1629-1)/12)+1&gt;'Lapse Table'!$A$11,E1628,VLOOKUP(INT((C1629-1)/12)+1,'Lapse Table'!$A$2:$B$11,2,FALSE))/12</f>
        <v>0</v>
      </c>
      <c r="F1629" s="5">
        <f t="shared" si="233"/>
        <v>-54.377427365620022</v>
      </c>
      <c r="G1629" s="6">
        <f t="shared" si="227"/>
        <v>4.9777500000000002E-2</v>
      </c>
      <c r="H1629" s="6">
        <f t="shared" si="228"/>
        <v>0</v>
      </c>
      <c r="I1629" s="7">
        <f t="shared" si="229"/>
        <v>-1812.5809121873342</v>
      </c>
      <c r="J1629" s="8">
        <f t="shared" si="230"/>
        <v>49777.5</v>
      </c>
      <c r="K1629" s="7">
        <f t="shared" si="231"/>
        <v>-51590.080912187332</v>
      </c>
      <c r="L1629" s="4">
        <f>IF(A1629&gt;'Yield Curve'!A2243,L1628,(1+VLOOKUP(A1629,'Yield Curve'!A1622:B2244,2,FALSE))^(1/12)-1)</f>
        <v>7.9741404289037643E-3</v>
      </c>
      <c r="M1629" s="5">
        <f t="shared" si="232"/>
        <v>-0.13216130617663382</v>
      </c>
    </row>
    <row r="1630" spans="1:13" x14ac:dyDescent="0.25">
      <c r="A1630" s="4">
        <v>1622</v>
      </c>
      <c r="B1630" s="4">
        <f t="shared" si="225"/>
        <v>180</v>
      </c>
      <c r="C1630" s="4">
        <f t="shared" si="226"/>
        <v>1637</v>
      </c>
      <c r="D1630" s="4">
        <f>IF(B1630&gt;'Mortality Table'!$A$118,D1629,VLOOKUP(B1630,'Mortality Table'!$A$2:$B$118,2,FALSE))</f>
        <v>0.59733000000000003</v>
      </c>
      <c r="E1630" s="4">
        <f>IF(INT((C1630-1)/12)+1&gt;'Lapse Table'!$A$11,E1629,VLOOKUP(INT((C1630-1)/12)+1,'Lapse Table'!$A$2:$B$11,2,FALSE))/12</f>
        <v>0</v>
      </c>
      <c r="F1630" s="5">
        <f t="shared" si="233"/>
        <v>-54.42720486562002</v>
      </c>
      <c r="G1630" s="6">
        <f t="shared" si="227"/>
        <v>4.9777500000000002E-2</v>
      </c>
      <c r="H1630" s="6">
        <f t="shared" si="228"/>
        <v>0</v>
      </c>
      <c r="I1630" s="7">
        <f t="shared" si="229"/>
        <v>-1814.2401621873341</v>
      </c>
      <c r="J1630" s="8">
        <f t="shared" si="230"/>
        <v>49777.5</v>
      </c>
      <c r="K1630" s="7">
        <f t="shared" si="231"/>
        <v>-51591.740162187336</v>
      </c>
      <c r="L1630" s="4">
        <f>IF(A1630&gt;'Yield Curve'!A2244,L1629,(1+VLOOKUP(A1630,'Yield Curve'!A1623:B2245,2,FALSE))^(1/12)-1)</f>
        <v>7.9741404289037643E-3</v>
      </c>
      <c r="M1630" s="5">
        <f t="shared" si="232"/>
        <v>-0.13111998757971691</v>
      </c>
    </row>
    <row r="1631" spans="1:13" x14ac:dyDescent="0.25">
      <c r="A1631" s="4">
        <v>1623</v>
      </c>
      <c r="B1631" s="4">
        <f t="shared" si="225"/>
        <v>180</v>
      </c>
      <c r="C1631" s="4">
        <f t="shared" si="226"/>
        <v>1638</v>
      </c>
      <c r="D1631" s="4">
        <f>IF(B1631&gt;'Mortality Table'!$A$118,D1630,VLOOKUP(B1631,'Mortality Table'!$A$2:$B$118,2,FALSE))</f>
        <v>0.59733000000000003</v>
      </c>
      <c r="E1631" s="4">
        <f>IF(INT((C1631-1)/12)+1&gt;'Lapse Table'!$A$11,E1630,VLOOKUP(INT((C1631-1)/12)+1,'Lapse Table'!$A$2:$B$11,2,FALSE))/12</f>
        <v>0</v>
      </c>
      <c r="F1631" s="5">
        <f t="shared" si="233"/>
        <v>-54.476982365620017</v>
      </c>
      <c r="G1631" s="6">
        <f t="shared" si="227"/>
        <v>4.9777500000000002E-2</v>
      </c>
      <c r="H1631" s="6">
        <f t="shared" si="228"/>
        <v>0</v>
      </c>
      <c r="I1631" s="7">
        <f t="shared" si="229"/>
        <v>-1815.8994121873338</v>
      </c>
      <c r="J1631" s="8">
        <f t="shared" si="230"/>
        <v>49777.5</v>
      </c>
      <c r="K1631" s="7">
        <f t="shared" si="231"/>
        <v>-51593.399412187333</v>
      </c>
      <c r="L1631" s="4">
        <f>IF(A1631&gt;'Yield Curve'!A2245,L1630,(1+VLOOKUP(A1631,'Yield Curve'!A1624:B2246,2,FALSE))^(1/12)-1)</f>
        <v>7.9741404289037643E-3</v>
      </c>
      <c r="M1631" s="5">
        <f t="shared" si="232"/>
        <v>-0.13008687355241885</v>
      </c>
    </row>
    <row r="1632" spans="1:13" x14ac:dyDescent="0.25">
      <c r="A1632" s="4">
        <v>1624</v>
      </c>
      <c r="B1632" s="4">
        <f t="shared" si="225"/>
        <v>180</v>
      </c>
      <c r="C1632" s="4">
        <f t="shared" si="226"/>
        <v>1639</v>
      </c>
      <c r="D1632" s="4">
        <f>IF(B1632&gt;'Mortality Table'!$A$118,D1631,VLOOKUP(B1632,'Mortality Table'!$A$2:$B$118,2,FALSE))</f>
        <v>0.59733000000000003</v>
      </c>
      <c r="E1632" s="4">
        <f>IF(INT((C1632-1)/12)+1&gt;'Lapse Table'!$A$11,E1631,VLOOKUP(INT((C1632-1)/12)+1,'Lapse Table'!$A$2:$B$11,2,FALSE))/12</f>
        <v>0</v>
      </c>
      <c r="F1632" s="5">
        <f t="shared" si="233"/>
        <v>-54.526759865620015</v>
      </c>
      <c r="G1632" s="6">
        <f t="shared" si="227"/>
        <v>4.9777500000000002E-2</v>
      </c>
      <c r="H1632" s="6">
        <f t="shared" si="228"/>
        <v>0</v>
      </c>
      <c r="I1632" s="7">
        <f t="shared" si="229"/>
        <v>-1817.5586621873338</v>
      </c>
      <c r="J1632" s="8">
        <f t="shared" si="230"/>
        <v>49777.5</v>
      </c>
      <c r="K1632" s="7">
        <f t="shared" si="231"/>
        <v>-51595.058662187337</v>
      </c>
      <c r="L1632" s="4">
        <f>IF(A1632&gt;'Yield Curve'!A2246,L1631,(1+VLOOKUP(A1632,'Yield Curve'!A1625:B2247,2,FALSE))^(1/12)-1)</f>
        <v>7.9741404289037643E-3</v>
      </c>
      <c r="M1632" s="5">
        <f t="shared" si="232"/>
        <v>-0.12906189945184368</v>
      </c>
    </row>
    <row r="1633" spans="1:13" x14ac:dyDescent="0.25">
      <c r="A1633" s="4">
        <v>1625</v>
      </c>
      <c r="B1633" s="4">
        <f t="shared" si="225"/>
        <v>180</v>
      </c>
      <c r="C1633" s="4">
        <f t="shared" si="226"/>
        <v>1640</v>
      </c>
      <c r="D1633" s="4">
        <f>IF(B1633&gt;'Mortality Table'!$A$118,D1632,VLOOKUP(B1633,'Mortality Table'!$A$2:$B$118,2,FALSE))</f>
        <v>0.59733000000000003</v>
      </c>
      <c r="E1633" s="4">
        <f>IF(INT((C1633-1)/12)+1&gt;'Lapse Table'!$A$11,E1632,VLOOKUP(INT((C1633-1)/12)+1,'Lapse Table'!$A$2:$B$11,2,FALSE))/12</f>
        <v>0</v>
      </c>
      <c r="F1633" s="5">
        <f t="shared" si="233"/>
        <v>-54.576537365620013</v>
      </c>
      <c r="G1633" s="6">
        <f t="shared" si="227"/>
        <v>4.9777500000000002E-2</v>
      </c>
      <c r="H1633" s="6">
        <f t="shared" si="228"/>
        <v>0</v>
      </c>
      <c r="I1633" s="7">
        <f t="shared" si="229"/>
        <v>-1819.2179121873339</v>
      </c>
      <c r="J1633" s="8">
        <f t="shared" si="230"/>
        <v>49777.5</v>
      </c>
      <c r="K1633" s="7">
        <f t="shared" si="231"/>
        <v>-51596.717912187334</v>
      </c>
      <c r="L1633" s="4">
        <f>IF(A1633&gt;'Yield Curve'!A2247,L1632,(1+VLOOKUP(A1633,'Yield Curve'!A1626:B2248,2,FALSE))^(1/12)-1)</f>
        <v>7.9741404289037643E-3</v>
      </c>
      <c r="M1633" s="5">
        <f t="shared" si="232"/>
        <v>-0.1280450011444012</v>
      </c>
    </row>
    <row r="1634" spans="1:13" x14ac:dyDescent="0.25">
      <c r="A1634" s="4">
        <v>1626</v>
      </c>
      <c r="B1634" s="4">
        <f t="shared" si="225"/>
        <v>180</v>
      </c>
      <c r="C1634" s="4">
        <f t="shared" si="226"/>
        <v>1641</v>
      </c>
      <c r="D1634" s="4">
        <f>IF(B1634&gt;'Mortality Table'!$A$118,D1633,VLOOKUP(B1634,'Mortality Table'!$A$2:$B$118,2,FALSE))</f>
        <v>0.59733000000000003</v>
      </c>
      <c r="E1634" s="4">
        <f>IF(INT((C1634-1)/12)+1&gt;'Lapse Table'!$A$11,E1633,VLOOKUP(INT((C1634-1)/12)+1,'Lapse Table'!$A$2:$B$11,2,FALSE))/12</f>
        <v>0</v>
      </c>
      <c r="F1634" s="5">
        <f t="shared" si="233"/>
        <v>-54.62631486562001</v>
      </c>
      <c r="G1634" s="6">
        <f t="shared" si="227"/>
        <v>4.9777500000000002E-2</v>
      </c>
      <c r="H1634" s="6">
        <f t="shared" si="228"/>
        <v>0</v>
      </c>
      <c r="I1634" s="7">
        <f t="shared" si="229"/>
        <v>-1820.8771621873336</v>
      </c>
      <c r="J1634" s="8">
        <f t="shared" si="230"/>
        <v>49777.5</v>
      </c>
      <c r="K1634" s="7">
        <f t="shared" si="231"/>
        <v>-51598.377162187331</v>
      </c>
      <c r="L1634" s="4">
        <f>IF(A1634&gt;'Yield Curve'!A2248,L1633,(1+VLOOKUP(A1634,'Yield Curve'!A1627:B2249,2,FALSE))^(1/12)-1)</f>
        <v>7.9741404289037643E-3</v>
      </c>
      <c r="M1634" s="5">
        <f t="shared" si="232"/>
        <v>-0.1270361150017944</v>
      </c>
    </row>
    <row r="1635" spans="1:13" x14ac:dyDescent="0.25">
      <c r="A1635" s="4">
        <v>1627</v>
      </c>
      <c r="B1635" s="4">
        <f t="shared" si="225"/>
        <v>180</v>
      </c>
      <c r="C1635" s="4">
        <f t="shared" si="226"/>
        <v>1642</v>
      </c>
      <c r="D1635" s="4">
        <f>IF(B1635&gt;'Mortality Table'!$A$118,D1634,VLOOKUP(B1635,'Mortality Table'!$A$2:$B$118,2,FALSE))</f>
        <v>0.59733000000000003</v>
      </c>
      <c r="E1635" s="4">
        <f>IF(INT((C1635-1)/12)+1&gt;'Lapse Table'!$A$11,E1634,VLOOKUP(INT((C1635-1)/12)+1,'Lapse Table'!$A$2:$B$11,2,FALSE))/12</f>
        <v>0</v>
      </c>
      <c r="F1635" s="5">
        <f t="shared" si="233"/>
        <v>-54.676092365620008</v>
      </c>
      <c r="G1635" s="6">
        <f t="shared" si="227"/>
        <v>4.9777500000000002E-2</v>
      </c>
      <c r="H1635" s="6">
        <f t="shared" si="228"/>
        <v>0</v>
      </c>
      <c r="I1635" s="7">
        <f t="shared" si="229"/>
        <v>-1822.5364121873336</v>
      </c>
      <c r="J1635" s="8">
        <f t="shared" si="230"/>
        <v>49777.5</v>
      </c>
      <c r="K1635" s="7">
        <f t="shared" si="231"/>
        <v>-51600.036412187335</v>
      </c>
      <c r="L1635" s="4">
        <f>IF(A1635&gt;'Yield Curve'!A2249,L1634,(1+VLOOKUP(A1635,'Yield Curve'!A1628:B2250,2,FALSE))^(1/12)-1)</f>
        <v>7.9741404289037643E-3</v>
      </c>
      <c r="M1635" s="5">
        <f t="shared" si="232"/>
        <v>-0.12603517789703825</v>
      </c>
    </row>
    <row r="1636" spans="1:13" x14ac:dyDescent="0.25">
      <c r="A1636" s="4">
        <v>1628</v>
      </c>
      <c r="B1636" s="4">
        <f t="shared" si="225"/>
        <v>180</v>
      </c>
      <c r="C1636" s="4">
        <f t="shared" si="226"/>
        <v>1643</v>
      </c>
      <c r="D1636" s="4">
        <f>IF(B1636&gt;'Mortality Table'!$A$118,D1635,VLOOKUP(B1636,'Mortality Table'!$A$2:$B$118,2,FALSE))</f>
        <v>0.59733000000000003</v>
      </c>
      <c r="E1636" s="4">
        <f>IF(INT((C1636-1)/12)+1&gt;'Lapse Table'!$A$11,E1635,VLOOKUP(INT((C1636-1)/12)+1,'Lapse Table'!$A$2:$B$11,2,FALSE))/12</f>
        <v>0</v>
      </c>
      <c r="F1636" s="5">
        <f t="shared" si="233"/>
        <v>-54.725869865620005</v>
      </c>
      <c r="G1636" s="6">
        <f t="shared" si="227"/>
        <v>4.9777500000000002E-2</v>
      </c>
      <c r="H1636" s="6">
        <f t="shared" si="228"/>
        <v>0</v>
      </c>
      <c r="I1636" s="7">
        <f t="shared" si="229"/>
        <v>-1824.1956621873335</v>
      </c>
      <c r="J1636" s="8">
        <f t="shared" si="230"/>
        <v>49777.5</v>
      </c>
      <c r="K1636" s="7">
        <f t="shared" si="231"/>
        <v>-51601.695662187332</v>
      </c>
      <c r="L1636" s="4">
        <f>IF(A1636&gt;'Yield Curve'!A2250,L1635,(1+VLOOKUP(A1636,'Yield Curve'!A1629:B2251,2,FALSE))^(1/12)-1)</f>
        <v>7.9741404289037643E-3</v>
      </c>
      <c r="M1636" s="5">
        <f t="shared" si="232"/>
        <v>-0.12504212720051008</v>
      </c>
    </row>
    <row r="1637" spans="1:13" x14ac:dyDescent="0.25">
      <c r="A1637" s="4">
        <v>1629</v>
      </c>
      <c r="B1637" s="4">
        <f t="shared" si="225"/>
        <v>180</v>
      </c>
      <c r="C1637" s="4">
        <f t="shared" si="226"/>
        <v>1644</v>
      </c>
      <c r="D1637" s="4">
        <f>IF(B1637&gt;'Mortality Table'!$A$118,D1636,VLOOKUP(B1637,'Mortality Table'!$A$2:$B$118,2,FALSE))</f>
        <v>0.59733000000000003</v>
      </c>
      <c r="E1637" s="4">
        <f>IF(INT((C1637-1)/12)+1&gt;'Lapse Table'!$A$11,E1636,VLOOKUP(INT((C1637-1)/12)+1,'Lapse Table'!$A$2:$B$11,2,FALSE))/12</f>
        <v>0</v>
      </c>
      <c r="F1637" s="5">
        <f t="shared" si="233"/>
        <v>-54.775647365620003</v>
      </c>
      <c r="G1637" s="6">
        <f t="shared" si="227"/>
        <v>4.9777500000000002E-2</v>
      </c>
      <c r="H1637" s="6">
        <f t="shared" si="228"/>
        <v>0</v>
      </c>
      <c r="I1637" s="7">
        <f t="shared" si="229"/>
        <v>-1825.8549121873336</v>
      </c>
      <c r="J1637" s="8">
        <f t="shared" si="230"/>
        <v>49777.5</v>
      </c>
      <c r="K1637" s="7">
        <f t="shared" si="231"/>
        <v>-51603.354912187337</v>
      </c>
      <c r="L1637" s="4">
        <f>IF(A1637&gt;'Yield Curve'!A2251,L1636,(1+VLOOKUP(A1637,'Yield Curve'!A1630:B2252,2,FALSE))^(1/12)-1)</f>
        <v>7.9741404289037643E-3</v>
      </c>
      <c r="M1637" s="5">
        <f t="shared" si="232"/>
        <v>-0.12405690077603133</v>
      </c>
    </row>
    <row r="1638" spans="1:13" x14ac:dyDescent="0.25">
      <c r="A1638" s="4">
        <v>1630</v>
      </c>
      <c r="B1638" s="4">
        <f t="shared" si="225"/>
        <v>180</v>
      </c>
      <c r="C1638" s="4">
        <f t="shared" si="226"/>
        <v>1645</v>
      </c>
      <c r="D1638" s="4">
        <f>IF(B1638&gt;'Mortality Table'!$A$118,D1637,VLOOKUP(B1638,'Mortality Table'!$A$2:$B$118,2,FALSE))</f>
        <v>0.59733000000000003</v>
      </c>
      <c r="E1638" s="4">
        <f>IF(INT((C1638-1)/12)+1&gt;'Lapse Table'!$A$11,E1637,VLOOKUP(INT((C1638-1)/12)+1,'Lapse Table'!$A$2:$B$11,2,FALSE))/12</f>
        <v>0</v>
      </c>
      <c r="F1638" s="5">
        <f t="shared" si="233"/>
        <v>-54.825424865620001</v>
      </c>
      <c r="G1638" s="6">
        <f t="shared" si="227"/>
        <v>4.9777500000000002E-2</v>
      </c>
      <c r="H1638" s="6">
        <f t="shared" si="228"/>
        <v>0</v>
      </c>
      <c r="I1638" s="7">
        <f t="shared" si="229"/>
        <v>-1827.5141621873333</v>
      </c>
      <c r="J1638" s="8">
        <f t="shared" si="230"/>
        <v>49777.5</v>
      </c>
      <c r="K1638" s="7">
        <f t="shared" si="231"/>
        <v>-51605.014162187334</v>
      </c>
      <c r="L1638" s="4">
        <f>IF(A1638&gt;'Yield Curve'!A2252,L1637,(1+VLOOKUP(A1638,'Yield Curve'!A1631:B2253,2,FALSE))^(1/12)-1)</f>
        <v>7.9741404289037643E-3</v>
      </c>
      <c r="M1638" s="5">
        <f t="shared" si="232"/>
        <v>-0.12307943697697954</v>
      </c>
    </row>
    <row r="1639" spans="1:13" x14ac:dyDescent="0.25">
      <c r="A1639" s="4">
        <v>1631</v>
      </c>
      <c r="B1639" s="4">
        <f t="shared" si="225"/>
        <v>180</v>
      </c>
      <c r="C1639" s="4">
        <f t="shared" si="226"/>
        <v>1646</v>
      </c>
      <c r="D1639" s="4">
        <f>IF(B1639&gt;'Mortality Table'!$A$118,D1638,VLOOKUP(B1639,'Mortality Table'!$A$2:$B$118,2,FALSE))</f>
        <v>0.59733000000000003</v>
      </c>
      <c r="E1639" s="4">
        <f>IF(INT((C1639-1)/12)+1&gt;'Lapse Table'!$A$11,E1638,VLOOKUP(INT((C1639-1)/12)+1,'Lapse Table'!$A$2:$B$11,2,FALSE))/12</f>
        <v>0</v>
      </c>
      <c r="F1639" s="5">
        <f t="shared" si="233"/>
        <v>-54.875202365619998</v>
      </c>
      <c r="G1639" s="6">
        <f t="shared" si="227"/>
        <v>4.9777500000000002E-2</v>
      </c>
      <c r="H1639" s="6">
        <f t="shared" si="228"/>
        <v>0</v>
      </c>
      <c r="I1639" s="7">
        <f t="shared" si="229"/>
        <v>-1829.1734121873333</v>
      </c>
      <c r="J1639" s="8">
        <f t="shared" si="230"/>
        <v>49777.5</v>
      </c>
      <c r="K1639" s="7">
        <f t="shared" si="231"/>
        <v>-51606.673412187331</v>
      </c>
      <c r="L1639" s="4">
        <f>IF(A1639&gt;'Yield Curve'!A2253,L1638,(1+VLOOKUP(A1639,'Yield Curve'!A1632:B2254,2,FALSE))^(1/12)-1)</f>
        <v>7.9741404289037643E-3</v>
      </c>
      <c r="M1639" s="5">
        <f t="shared" si="232"/>
        <v>-0.12210967464243144</v>
      </c>
    </row>
    <row r="1640" spans="1:13" x14ac:dyDescent="0.25">
      <c r="A1640" s="4">
        <v>1632</v>
      </c>
      <c r="B1640" s="4">
        <f t="shared" si="225"/>
        <v>181</v>
      </c>
      <c r="C1640" s="4">
        <f t="shared" si="226"/>
        <v>1647</v>
      </c>
      <c r="D1640" s="4">
        <f>IF(B1640&gt;'Mortality Table'!$A$118,D1639,VLOOKUP(B1640,'Mortality Table'!$A$2:$B$118,2,FALSE))</f>
        <v>0.59733000000000003</v>
      </c>
      <c r="E1640" s="4">
        <f>IF(INT((C1640-1)/12)+1&gt;'Lapse Table'!$A$11,E1639,VLOOKUP(INT((C1640-1)/12)+1,'Lapse Table'!$A$2:$B$11,2,FALSE))/12</f>
        <v>0</v>
      </c>
      <c r="F1640" s="5">
        <f t="shared" si="233"/>
        <v>-54.924979865619996</v>
      </c>
      <c r="G1640" s="6">
        <f t="shared" si="227"/>
        <v>4.9777500000000002E-2</v>
      </c>
      <c r="H1640" s="6">
        <f t="shared" si="228"/>
        <v>0</v>
      </c>
      <c r="I1640" s="7">
        <f t="shared" si="229"/>
        <v>-1830.8326621873332</v>
      </c>
      <c r="J1640" s="8">
        <f t="shared" si="230"/>
        <v>49777.5</v>
      </c>
      <c r="K1640" s="7">
        <f t="shared" si="231"/>
        <v>-51608.332662187335</v>
      </c>
      <c r="L1640" s="4">
        <f>IF(A1640&gt;'Yield Curve'!A2254,L1639,(1+VLOOKUP(A1640,'Yield Curve'!A1633:B2255,2,FALSE))^(1/12)-1)</f>
        <v>7.9741404289037643E-3</v>
      </c>
      <c r="M1640" s="5">
        <f t="shared" si="232"/>
        <v>-0.12114755309333637</v>
      </c>
    </row>
    <row r="1641" spans="1:13" x14ac:dyDescent="0.25">
      <c r="A1641" s="4">
        <v>1633</v>
      </c>
      <c r="B1641" s="4">
        <f t="shared" si="225"/>
        <v>181</v>
      </c>
      <c r="C1641" s="4">
        <f t="shared" si="226"/>
        <v>1648</v>
      </c>
      <c r="D1641" s="4">
        <f>IF(B1641&gt;'Mortality Table'!$A$118,D1640,VLOOKUP(B1641,'Mortality Table'!$A$2:$B$118,2,FALSE))</f>
        <v>0.59733000000000003</v>
      </c>
      <c r="E1641" s="4">
        <f>IF(INT((C1641-1)/12)+1&gt;'Lapse Table'!$A$11,E1640,VLOOKUP(INT((C1641-1)/12)+1,'Lapse Table'!$A$2:$B$11,2,FALSE))/12</f>
        <v>0</v>
      </c>
      <c r="F1641" s="5">
        <f t="shared" si="233"/>
        <v>-54.974757365619993</v>
      </c>
      <c r="G1641" s="6">
        <f t="shared" si="227"/>
        <v>4.9777500000000002E-2</v>
      </c>
      <c r="H1641" s="6">
        <f t="shared" si="228"/>
        <v>0</v>
      </c>
      <c r="I1641" s="7">
        <f t="shared" si="229"/>
        <v>-1832.4919121873329</v>
      </c>
      <c r="J1641" s="8">
        <f t="shared" si="230"/>
        <v>49777.5</v>
      </c>
      <c r="K1641" s="7">
        <f t="shared" si="231"/>
        <v>-51609.991912187332</v>
      </c>
      <c r="L1641" s="4">
        <f>IF(A1641&gt;'Yield Curve'!A2255,L1640,(1+VLOOKUP(A1641,'Yield Curve'!A1634:B2256,2,FALSE))^(1/12)-1)</f>
        <v>7.9741404289037643E-3</v>
      </c>
      <c r="M1641" s="5">
        <f t="shared" si="232"/>
        <v>-0.12019301212871977</v>
      </c>
    </row>
    <row r="1642" spans="1:13" x14ac:dyDescent="0.25">
      <c r="A1642" s="4">
        <v>1634</v>
      </c>
      <c r="B1642" s="4">
        <f t="shared" si="225"/>
        <v>181</v>
      </c>
      <c r="C1642" s="4">
        <f t="shared" si="226"/>
        <v>1649</v>
      </c>
      <c r="D1642" s="4">
        <f>IF(B1642&gt;'Mortality Table'!$A$118,D1641,VLOOKUP(B1642,'Mortality Table'!$A$2:$B$118,2,FALSE))</f>
        <v>0.59733000000000003</v>
      </c>
      <c r="E1642" s="4">
        <f>IF(INT((C1642-1)/12)+1&gt;'Lapse Table'!$A$11,E1641,VLOOKUP(INT((C1642-1)/12)+1,'Lapse Table'!$A$2:$B$11,2,FALSE))/12</f>
        <v>0</v>
      </c>
      <c r="F1642" s="5">
        <f t="shared" si="233"/>
        <v>-55.024534865619991</v>
      </c>
      <c r="G1642" s="6">
        <f t="shared" si="227"/>
        <v>4.9777500000000002E-2</v>
      </c>
      <c r="H1642" s="6">
        <f t="shared" si="228"/>
        <v>0</v>
      </c>
      <c r="I1642" s="7">
        <f t="shared" si="229"/>
        <v>-1834.1511621873331</v>
      </c>
      <c r="J1642" s="8">
        <f t="shared" si="230"/>
        <v>49777.5</v>
      </c>
      <c r="K1642" s="7">
        <f t="shared" si="231"/>
        <v>-51611.651162187336</v>
      </c>
      <c r="L1642" s="4">
        <f>IF(A1642&gt;'Yield Curve'!A2256,L1641,(1+VLOOKUP(A1642,'Yield Curve'!A1635:B2257,2,FALSE))^(1/12)-1)</f>
        <v>7.9741404289037643E-3</v>
      </c>
      <c r="M1642" s="5">
        <f t="shared" si="232"/>
        <v>-0.11924599202191657</v>
      </c>
    </row>
    <row r="1643" spans="1:13" x14ac:dyDescent="0.25">
      <c r="A1643" s="4">
        <v>1635</v>
      </c>
      <c r="B1643" s="4">
        <f t="shared" si="225"/>
        <v>181</v>
      </c>
      <c r="C1643" s="4">
        <f t="shared" si="226"/>
        <v>1650</v>
      </c>
      <c r="D1643" s="4">
        <f>IF(B1643&gt;'Mortality Table'!$A$118,D1642,VLOOKUP(B1643,'Mortality Table'!$A$2:$B$118,2,FALSE))</f>
        <v>0.59733000000000003</v>
      </c>
      <c r="E1643" s="4">
        <f>IF(INT((C1643-1)/12)+1&gt;'Lapse Table'!$A$11,E1642,VLOOKUP(INT((C1643-1)/12)+1,'Lapse Table'!$A$2:$B$11,2,FALSE))/12</f>
        <v>0</v>
      </c>
      <c r="F1643" s="5">
        <f t="shared" si="233"/>
        <v>-55.074312365619988</v>
      </c>
      <c r="G1643" s="6">
        <f t="shared" si="227"/>
        <v>4.9777500000000002E-2</v>
      </c>
      <c r="H1643" s="6">
        <f t="shared" si="228"/>
        <v>0</v>
      </c>
      <c r="I1643" s="7">
        <f t="shared" si="229"/>
        <v>-1835.810412187333</v>
      </c>
      <c r="J1643" s="8">
        <f t="shared" si="230"/>
        <v>49777.5</v>
      </c>
      <c r="K1643" s="7">
        <f t="shared" si="231"/>
        <v>-51613.310412187333</v>
      </c>
      <c r="L1643" s="4">
        <f>IF(A1643&gt;'Yield Curve'!A2257,L1642,(1+VLOOKUP(A1643,'Yield Curve'!A1636:B2258,2,FALSE))^(1/12)-1)</f>
        <v>7.9741404289037643E-3</v>
      </c>
      <c r="M1643" s="5">
        <f t="shared" si="232"/>
        <v>-0.11830643351683418</v>
      </c>
    </row>
    <row r="1644" spans="1:13" x14ac:dyDescent="0.25">
      <c r="A1644" s="4">
        <v>1636</v>
      </c>
      <c r="B1644" s="4">
        <f t="shared" si="225"/>
        <v>181</v>
      </c>
      <c r="C1644" s="4">
        <f t="shared" si="226"/>
        <v>1651</v>
      </c>
      <c r="D1644" s="4">
        <f>IF(B1644&gt;'Mortality Table'!$A$118,D1643,VLOOKUP(B1644,'Mortality Table'!$A$2:$B$118,2,FALSE))</f>
        <v>0.59733000000000003</v>
      </c>
      <c r="E1644" s="4">
        <f>IF(INT((C1644-1)/12)+1&gt;'Lapse Table'!$A$11,E1643,VLOOKUP(INT((C1644-1)/12)+1,'Lapse Table'!$A$2:$B$11,2,FALSE))/12</f>
        <v>0</v>
      </c>
      <c r="F1644" s="5">
        <f t="shared" si="233"/>
        <v>-55.124089865619986</v>
      </c>
      <c r="G1644" s="6">
        <f t="shared" si="227"/>
        <v>4.9777500000000002E-2</v>
      </c>
      <c r="H1644" s="6">
        <f t="shared" si="228"/>
        <v>0</v>
      </c>
      <c r="I1644" s="7">
        <f t="shared" si="229"/>
        <v>-1837.4696621873329</v>
      </c>
      <c r="J1644" s="8">
        <f t="shared" si="230"/>
        <v>49777.5</v>
      </c>
      <c r="K1644" s="7">
        <f t="shared" si="231"/>
        <v>-51614.96966218733</v>
      </c>
      <c r="L1644" s="4">
        <f>IF(A1644&gt;'Yield Curve'!A2258,L1643,(1+VLOOKUP(A1644,'Yield Curve'!A1637:B2259,2,FALSE))^(1/12)-1)</f>
        <v>7.9741404289037643E-3</v>
      </c>
      <c r="M1644" s="5">
        <f t="shared" si="232"/>
        <v>-0.11737427782424509</v>
      </c>
    </row>
    <row r="1645" spans="1:13" x14ac:dyDescent="0.25">
      <c r="A1645" s="4">
        <v>1637</v>
      </c>
      <c r="B1645" s="4">
        <f t="shared" si="225"/>
        <v>181</v>
      </c>
      <c r="C1645" s="4">
        <f t="shared" si="226"/>
        <v>1652</v>
      </c>
      <c r="D1645" s="4">
        <f>IF(B1645&gt;'Mortality Table'!$A$118,D1644,VLOOKUP(B1645,'Mortality Table'!$A$2:$B$118,2,FALSE))</f>
        <v>0.59733000000000003</v>
      </c>
      <c r="E1645" s="4">
        <f>IF(INT((C1645-1)/12)+1&gt;'Lapse Table'!$A$11,E1644,VLOOKUP(INT((C1645-1)/12)+1,'Lapse Table'!$A$2:$B$11,2,FALSE))/12</f>
        <v>0</v>
      </c>
      <c r="F1645" s="5">
        <f t="shared" si="233"/>
        <v>-55.173867365619984</v>
      </c>
      <c r="G1645" s="6">
        <f t="shared" si="227"/>
        <v>4.9777500000000002E-2</v>
      </c>
      <c r="H1645" s="6">
        <f t="shared" si="228"/>
        <v>0</v>
      </c>
      <c r="I1645" s="7">
        <f t="shared" si="229"/>
        <v>-1839.1289121873326</v>
      </c>
      <c r="J1645" s="8">
        <f t="shared" si="230"/>
        <v>49777.5</v>
      </c>
      <c r="K1645" s="7">
        <f t="shared" si="231"/>
        <v>-51616.628912187334</v>
      </c>
      <c r="L1645" s="4">
        <f>IF(A1645&gt;'Yield Curve'!A2259,L1644,(1+VLOOKUP(A1645,'Yield Curve'!A1638:B2260,2,FALSE))^(1/12)-1)</f>
        <v>7.9741404289037643E-3</v>
      </c>
      <c r="M1645" s="5">
        <f t="shared" si="232"/>
        <v>-0.1164494666181088</v>
      </c>
    </row>
    <row r="1646" spans="1:13" x14ac:dyDescent="0.25">
      <c r="A1646" s="4">
        <v>1638</v>
      </c>
      <c r="B1646" s="4">
        <f t="shared" si="225"/>
        <v>181</v>
      </c>
      <c r="C1646" s="4">
        <f t="shared" si="226"/>
        <v>1653</v>
      </c>
      <c r="D1646" s="4">
        <f>IF(B1646&gt;'Mortality Table'!$A$118,D1645,VLOOKUP(B1646,'Mortality Table'!$A$2:$B$118,2,FALSE))</f>
        <v>0.59733000000000003</v>
      </c>
      <c r="E1646" s="4">
        <f>IF(INT((C1646-1)/12)+1&gt;'Lapse Table'!$A$11,E1645,VLOOKUP(INT((C1646-1)/12)+1,'Lapse Table'!$A$2:$B$11,2,FALSE))/12</f>
        <v>0</v>
      </c>
      <c r="F1646" s="5">
        <f t="shared" si="233"/>
        <v>-55.223644865619981</v>
      </c>
      <c r="G1646" s="6">
        <f t="shared" si="227"/>
        <v>4.9777500000000002E-2</v>
      </c>
      <c r="H1646" s="6">
        <f t="shared" si="228"/>
        <v>0</v>
      </c>
      <c r="I1646" s="7">
        <f t="shared" si="229"/>
        <v>-1840.7881621873328</v>
      </c>
      <c r="J1646" s="8">
        <f t="shared" si="230"/>
        <v>49777.5</v>
      </c>
      <c r="K1646" s="7">
        <f t="shared" si="231"/>
        <v>-51618.288162187331</v>
      </c>
      <c r="L1646" s="4">
        <f>IF(A1646&gt;'Yield Curve'!A2260,L1645,(1+VLOOKUP(A1646,'Yield Curve'!A1639:B2261,2,FALSE))^(1/12)-1)</f>
        <v>7.9741404289037643E-3</v>
      </c>
      <c r="M1646" s="5">
        <f t="shared" si="232"/>
        <v>-0.11553194203192217</v>
      </c>
    </row>
    <row r="1647" spans="1:13" x14ac:dyDescent="0.25">
      <c r="A1647" s="4">
        <v>1639</v>
      </c>
      <c r="B1647" s="4">
        <f t="shared" si="225"/>
        <v>181</v>
      </c>
      <c r="C1647" s="4">
        <f t="shared" si="226"/>
        <v>1654</v>
      </c>
      <c r="D1647" s="4">
        <f>IF(B1647&gt;'Mortality Table'!$A$118,D1646,VLOOKUP(B1647,'Mortality Table'!$A$2:$B$118,2,FALSE))</f>
        <v>0.59733000000000003</v>
      </c>
      <c r="E1647" s="4">
        <f>IF(INT((C1647-1)/12)+1&gt;'Lapse Table'!$A$11,E1646,VLOOKUP(INT((C1647-1)/12)+1,'Lapse Table'!$A$2:$B$11,2,FALSE))/12</f>
        <v>0</v>
      </c>
      <c r="F1647" s="5">
        <f t="shared" si="233"/>
        <v>-55.273422365619979</v>
      </c>
      <c r="G1647" s="6">
        <f t="shared" si="227"/>
        <v>4.9777500000000002E-2</v>
      </c>
      <c r="H1647" s="6">
        <f t="shared" si="228"/>
        <v>0</v>
      </c>
      <c r="I1647" s="7">
        <f t="shared" si="229"/>
        <v>-1842.4474121873327</v>
      </c>
      <c r="J1647" s="8">
        <f t="shared" si="230"/>
        <v>49777.5</v>
      </c>
      <c r="K1647" s="7">
        <f t="shared" si="231"/>
        <v>-51619.947412187335</v>
      </c>
      <c r="L1647" s="4">
        <f>IF(A1647&gt;'Yield Curve'!A2261,L1646,(1+VLOOKUP(A1647,'Yield Curve'!A1640:B2262,2,FALSE))^(1/12)-1)</f>
        <v>7.9741404289037643E-3</v>
      </c>
      <c r="M1647" s="5">
        <f t="shared" si="232"/>
        <v>-0.11462164665509923</v>
      </c>
    </row>
    <row r="1648" spans="1:13" x14ac:dyDescent="0.25">
      <c r="A1648" s="4">
        <v>1640</v>
      </c>
      <c r="B1648" s="4">
        <f t="shared" si="225"/>
        <v>181</v>
      </c>
      <c r="C1648" s="4">
        <f t="shared" si="226"/>
        <v>1655</v>
      </c>
      <c r="D1648" s="4">
        <f>IF(B1648&gt;'Mortality Table'!$A$118,D1647,VLOOKUP(B1648,'Mortality Table'!$A$2:$B$118,2,FALSE))</f>
        <v>0.59733000000000003</v>
      </c>
      <c r="E1648" s="4">
        <f>IF(INT((C1648-1)/12)+1&gt;'Lapse Table'!$A$11,E1647,VLOOKUP(INT((C1648-1)/12)+1,'Lapse Table'!$A$2:$B$11,2,FALSE))/12</f>
        <v>0</v>
      </c>
      <c r="F1648" s="5">
        <f t="shared" si="233"/>
        <v>-55.323199865619976</v>
      </c>
      <c r="G1648" s="6">
        <f t="shared" si="227"/>
        <v>4.9777500000000002E-2</v>
      </c>
      <c r="H1648" s="6">
        <f t="shared" si="228"/>
        <v>0</v>
      </c>
      <c r="I1648" s="7">
        <f t="shared" si="229"/>
        <v>-1844.1066621873324</v>
      </c>
      <c r="J1648" s="8">
        <f t="shared" si="230"/>
        <v>49777.5</v>
      </c>
      <c r="K1648" s="7">
        <f t="shared" si="231"/>
        <v>-51621.606662187332</v>
      </c>
      <c r="L1648" s="4">
        <f>IF(A1648&gt;'Yield Curve'!A2262,L1647,(1+VLOOKUP(A1648,'Yield Curve'!A1641:B2263,2,FALSE))^(1/12)-1)</f>
        <v>7.9741404289037643E-3</v>
      </c>
      <c r="M1648" s="5">
        <f t="shared" si="232"/>
        <v>-0.11371852352937883</v>
      </c>
    </row>
    <row r="1649" spans="1:13" x14ac:dyDescent="0.25">
      <c r="A1649" s="4">
        <v>1641</v>
      </c>
      <c r="B1649" s="4">
        <f t="shared" si="225"/>
        <v>181</v>
      </c>
      <c r="C1649" s="4">
        <f t="shared" si="226"/>
        <v>1656</v>
      </c>
      <c r="D1649" s="4">
        <f>IF(B1649&gt;'Mortality Table'!$A$118,D1648,VLOOKUP(B1649,'Mortality Table'!$A$2:$B$118,2,FALSE))</f>
        <v>0.59733000000000003</v>
      </c>
      <c r="E1649" s="4">
        <f>IF(INT((C1649-1)/12)+1&gt;'Lapse Table'!$A$11,E1648,VLOOKUP(INT((C1649-1)/12)+1,'Lapse Table'!$A$2:$B$11,2,FALSE))/12</f>
        <v>0</v>
      </c>
      <c r="F1649" s="5">
        <f t="shared" si="233"/>
        <v>-55.372977365619974</v>
      </c>
      <c r="G1649" s="6">
        <f t="shared" si="227"/>
        <v>4.9777500000000002E-2</v>
      </c>
      <c r="H1649" s="6">
        <f t="shared" si="228"/>
        <v>0</v>
      </c>
      <c r="I1649" s="7">
        <f t="shared" si="229"/>
        <v>-1845.7659121873323</v>
      </c>
      <c r="J1649" s="8">
        <f t="shared" si="230"/>
        <v>49777.5</v>
      </c>
      <c r="K1649" s="7">
        <f t="shared" si="231"/>
        <v>-51623.265912187329</v>
      </c>
      <c r="L1649" s="4">
        <f>IF(A1649&gt;'Yield Curve'!A2263,L1648,(1+VLOOKUP(A1649,'Yield Curve'!A1642:B2264,2,FALSE))^(1/12)-1)</f>
        <v>7.9741404289037643E-3</v>
      </c>
      <c r="M1649" s="5">
        <f t="shared" si="232"/>
        <v>-0.11282251614526144</v>
      </c>
    </row>
    <row r="1650" spans="1:13" x14ac:dyDescent="0.25">
      <c r="A1650" s="4">
        <v>1642</v>
      </c>
      <c r="B1650" s="4">
        <f t="shared" si="225"/>
        <v>181</v>
      </c>
      <c r="C1650" s="4">
        <f t="shared" si="226"/>
        <v>1657</v>
      </c>
      <c r="D1650" s="4">
        <f>IF(B1650&gt;'Mortality Table'!$A$118,D1649,VLOOKUP(B1650,'Mortality Table'!$A$2:$B$118,2,FALSE))</f>
        <v>0.59733000000000003</v>
      </c>
      <c r="E1650" s="4">
        <f>IF(INT((C1650-1)/12)+1&gt;'Lapse Table'!$A$11,E1649,VLOOKUP(INT((C1650-1)/12)+1,'Lapse Table'!$A$2:$B$11,2,FALSE))/12</f>
        <v>0</v>
      </c>
      <c r="F1650" s="5">
        <f t="shared" si="233"/>
        <v>-55.422754865619972</v>
      </c>
      <c r="G1650" s="6">
        <f t="shared" si="227"/>
        <v>4.9777500000000002E-2</v>
      </c>
      <c r="H1650" s="6">
        <f t="shared" si="228"/>
        <v>0</v>
      </c>
      <c r="I1650" s="7">
        <f t="shared" si="229"/>
        <v>-1847.4251621873325</v>
      </c>
      <c r="J1650" s="8">
        <f t="shared" si="230"/>
        <v>49777.5</v>
      </c>
      <c r="K1650" s="7">
        <f t="shared" si="231"/>
        <v>-51624.925162187334</v>
      </c>
      <c r="L1650" s="4">
        <f>IF(A1650&gt;'Yield Curve'!A2264,L1649,(1+VLOOKUP(A1650,'Yield Curve'!A1643:B2265,2,FALSE))^(1/12)-1)</f>
        <v>7.9741404289037643E-3</v>
      </c>
      <c r="M1650" s="5">
        <f t="shared" si="232"/>
        <v>-0.11193356843847292</v>
      </c>
    </row>
    <row r="1651" spans="1:13" x14ac:dyDescent="0.25">
      <c r="A1651" s="4">
        <v>1643</v>
      </c>
      <c r="B1651" s="4">
        <f t="shared" si="225"/>
        <v>181</v>
      </c>
      <c r="C1651" s="4">
        <f t="shared" si="226"/>
        <v>1658</v>
      </c>
      <c r="D1651" s="4">
        <f>IF(B1651&gt;'Mortality Table'!$A$118,D1650,VLOOKUP(B1651,'Mortality Table'!$A$2:$B$118,2,FALSE))</f>
        <v>0.59733000000000003</v>
      </c>
      <c r="E1651" s="4">
        <f>IF(INT((C1651-1)/12)+1&gt;'Lapse Table'!$A$11,E1650,VLOOKUP(INT((C1651-1)/12)+1,'Lapse Table'!$A$2:$B$11,2,FALSE))/12</f>
        <v>0</v>
      </c>
      <c r="F1651" s="5">
        <f t="shared" si="233"/>
        <v>-55.472532365619969</v>
      </c>
      <c r="G1651" s="6">
        <f t="shared" si="227"/>
        <v>4.9777500000000002E-2</v>
      </c>
      <c r="H1651" s="6">
        <f t="shared" si="228"/>
        <v>0</v>
      </c>
      <c r="I1651" s="7">
        <f t="shared" si="229"/>
        <v>-1849.0844121873324</v>
      </c>
      <c r="J1651" s="8">
        <f t="shared" si="230"/>
        <v>49777.5</v>
      </c>
      <c r="K1651" s="7">
        <f t="shared" si="231"/>
        <v>-51626.584412187331</v>
      </c>
      <c r="L1651" s="4">
        <f>IF(A1651&gt;'Yield Curve'!A2265,L1650,(1+VLOOKUP(A1651,'Yield Curve'!A1644:B2266,2,FALSE))^(1/12)-1)</f>
        <v>7.9741404289037643E-3</v>
      </c>
      <c r="M1651" s="5">
        <f t="shared" si="232"/>
        <v>-0.11105162478645726</v>
      </c>
    </row>
    <row r="1652" spans="1:13" x14ac:dyDescent="0.25">
      <c r="A1652" s="4">
        <v>1644</v>
      </c>
      <c r="B1652" s="4">
        <f t="shared" si="225"/>
        <v>182</v>
      </c>
      <c r="C1652" s="4">
        <f t="shared" si="226"/>
        <v>1659</v>
      </c>
      <c r="D1652" s="4">
        <f>IF(B1652&gt;'Mortality Table'!$A$118,D1651,VLOOKUP(B1652,'Mortality Table'!$A$2:$B$118,2,FALSE))</f>
        <v>0.59733000000000003</v>
      </c>
      <c r="E1652" s="4">
        <f>IF(INT((C1652-1)/12)+1&gt;'Lapse Table'!$A$11,E1651,VLOOKUP(INT((C1652-1)/12)+1,'Lapse Table'!$A$2:$B$11,2,FALSE))/12</f>
        <v>0</v>
      </c>
      <c r="F1652" s="5">
        <f t="shared" si="233"/>
        <v>-55.522309865619967</v>
      </c>
      <c r="G1652" s="6">
        <f t="shared" si="227"/>
        <v>4.9777500000000002E-2</v>
      </c>
      <c r="H1652" s="6">
        <f t="shared" si="228"/>
        <v>0</v>
      </c>
      <c r="I1652" s="7">
        <f t="shared" si="229"/>
        <v>-1850.7436621873321</v>
      </c>
      <c r="J1652" s="8">
        <f t="shared" si="230"/>
        <v>49777.5</v>
      </c>
      <c r="K1652" s="7">
        <f t="shared" si="231"/>
        <v>-51628.243662187335</v>
      </c>
      <c r="L1652" s="4">
        <f>IF(A1652&gt;'Yield Curve'!A2266,L1651,(1+VLOOKUP(A1652,'Yield Curve'!A1645:B2267,2,FALSE))^(1/12)-1)</f>
        <v>7.9741404289037643E-3</v>
      </c>
      <c r="M1652" s="5">
        <f t="shared" si="232"/>
        <v>-0.11017663000489603</v>
      </c>
    </row>
    <row r="1653" spans="1:13" x14ac:dyDescent="0.25">
      <c r="A1653" s="4">
        <v>1645</v>
      </c>
      <c r="B1653" s="4">
        <f t="shared" si="225"/>
        <v>182</v>
      </c>
      <c r="C1653" s="4">
        <f t="shared" si="226"/>
        <v>1660</v>
      </c>
      <c r="D1653" s="4">
        <f>IF(B1653&gt;'Mortality Table'!$A$118,D1652,VLOOKUP(B1653,'Mortality Table'!$A$2:$B$118,2,FALSE))</f>
        <v>0.59733000000000003</v>
      </c>
      <c r="E1653" s="4">
        <f>IF(INT((C1653-1)/12)+1&gt;'Lapse Table'!$A$11,E1652,VLOOKUP(INT((C1653-1)/12)+1,'Lapse Table'!$A$2:$B$11,2,FALSE))/12</f>
        <v>0</v>
      </c>
      <c r="F1653" s="5">
        <f t="shared" si="233"/>
        <v>-55.572087365619964</v>
      </c>
      <c r="G1653" s="6">
        <f t="shared" si="227"/>
        <v>4.9777500000000002E-2</v>
      </c>
      <c r="H1653" s="6">
        <f t="shared" si="228"/>
        <v>0</v>
      </c>
      <c r="I1653" s="7">
        <f t="shared" si="229"/>
        <v>-1852.402912187332</v>
      </c>
      <c r="J1653" s="8">
        <f t="shared" si="230"/>
        <v>49777.5</v>
      </c>
      <c r="K1653" s="7">
        <f t="shared" si="231"/>
        <v>-51629.902912187332</v>
      </c>
      <c r="L1653" s="4">
        <f>IF(A1653&gt;'Yield Curve'!A2267,L1652,(1+VLOOKUP(A1653,'Yield Curve'!A1646:B2268,2,FALSE))^(1/12)-1)</f>
        <v>7.9741404289037643E-3</v>
      </c>
      <c r="M1653" s="5">
        <f t="shared" si="232"/>
        <v>-0.10930852934425597</v>
      </c>
    </row>
    <row r="1654" spans="1:13" x14ac:dyDescent="0.25">
      <c r="A1654" s="4">
        <v>1646</v>
      </c>
      <c r="B1654" s="4">
        <f t="shared" si="225"/>
        <v>182</v>
      </c>
      <c r="C1654" s="4">
        <f t="shared" si="226"/>
        <v>1661</v>
      </c>
      <c r="D1654" s="4">
        <f>IF(B1654&gt;'Mortality Table'!$A$118,D1653,VLOOKUP(B1654,'Mortality Table'!$A$2:$B$118,2,FALSE))</f>
        <v>0.59733000000000003</v>
      </c>
      <c r="E1654" s="4">
        <f>IF(INT((C1654-1)/12)+1&gt;'Lapse Table'!$A$11,E1653,VLOOKUP(INT((C1654-1)/12)+1,'Lapse Table'!$A$2:$B$11,2,FALSE))/12</f>
        <v>0</v>
      </c>
      <c r="F1654" s="5">
        <f t="shared" si="233"/>
        <v>-55.621864865619962</v>
      </c>
      <c r="G1654" s="6">
        <f t="shared" si="227"/>
        <v>4.9777500000000002E-2</v>
      </c>
      <c r="H1654" s="6">
        <f t="shared" si="228"/>
        <v>0</v>
      </c>
      <c r="I1654" s="7">
        <f t="shared" si="229"/>
        <v>-1854.0621621873322</v>
      </c>
      <c r="J1654" s="8">
        <f t="shared" si="230"/>
        <v>49777.5</v>
      </c>
      <c r="K1654" s="7">
        <f t="shared" si="231"/>
        <v>-51631.562162187329</v>
      </c>
      <c r="L1654" s="4">
        <f>IF(A1654&gt;'Yield Curve'!A2268,L1653,(1+VLOOKUP(A1654,'Yield Curve'!A1647:B2269,2,FALSE))^(1/12)-1)</f>
        <v>7.9741404289037643E-3</v>
      </c>
      <c r="M1654" s="5">
        <f t="shared" si="232"/>
        <v>-0.1084472684863633</v>
      </c>
    </row>
    <row r="1655" spans="1:13" x14ac:dyDescent="0.25">
      <c r="A1655" s="4">
        <v>1647</v>
      </c>
      <c r="B1655" s="4">
        <f t="shared" si="225"/>
        <v>182</v>
      </c>
      <c r="C1655" s="4">
        <f t="shared" si="226"/>
        <v>1662</v>
      </c>
      <c r="D1655" s="4">
        <f>IF(B1655&gt;'Mortality Table'!$A$118,D1654,VLOOKUP(B1655,'Mortality Table'!$A$2:$B$118,2,FALSE))</f>
        <v>0.59733000000000003</v>
      </c>
      <c r="E1655" s="4">
        <f>IF(INT((C1655-1)/12)+1&gt;'Lapse Table'!$A$11,E1654,VLOOKUP(INT((C1655-1)/12)+1,'Lapse Table'!$A$2:$B$11,2,FALSE))/12</f>
        <v>0</v>
      </c>
      <c r="F1655" s="5">
        <f t="shared" si="233"/>
        <v>-55.671642365619959</v>
      </c>
      <c r="G1655" s="6">
        <f t="shared" si="227"/>
        <v>4.9777500000000002E-2</v>
      </c>
      <c r="H1655" s="6">
        <f t="shared" si="228"/>
        <v>0</v>
      </c>
      <c r="I1655" s="7">
        <f t="shared" si="229"/>
        <v>-1855.7214121873319</v>
      </c>
      <c r="J1655" s="8">
        <f t="shared" si="230"/>
        <v>49777.5</v>
      </c>
      <c r="K1655" s="7">
        <f t="shared" si="231"/>
        <v>-51633.221412187333</v>
      </c>
      <c r="L1655" s="4">
        <f>IF(A1655&gt;'Yield Curve'!A2269,L1654,(1+VLOOKUP(A1655,'Yield Curve'!A1648:B2270,2,FALSE))^(1/12)-1)</f>
        <v>7.9741404289037643E-3</v>
      </c>
      <c r="M1655" s="5">
        <f t="shared" si="232"/>
        <v>-0.10759279354100527</v>
      </c>
    </row>
    <row r="1656" spans="1:13" x14ac:dyDescent="0.25">
      <c r="A1656" s="4">
        <v>1648</v>
      </c>
      <c r="B1656" s="4">
        <f t="shared" si="225"/>
        <v>182</v>
      </c>
      <c r="C1656" s="4">
        <f t="shared" si="226"/>
        <v>1663</v>
      </c>
      <c r="D1656" s="4">
        <f>IF(B1656&gt;'Mortality Table'!$A$118,D1655,VLOOKUP(B1656,'Mortality Table'!$A$2:$B$118,2,FALSE))</f>
        <v>0.59733000000000003</v>
      </c>
      <c r="E1656" s="4">
        <f>IF(INT((C1656-1)/12)+1&gt;'Lapse Table'!$A$11,E1655,VLOOKUP(INT((C1656-1)/12)+1,'Lapse Table'!$A$2:$B$11,2,FALSE))/12</f>
        <v>0</v>
      </c>
      <c r="F1656" s="5">
        <f t="shared" si="233"/>
        <v>-55.721419865619957</v>
      </c>
      <c r="G1656" s="6">
        <f t="shared" si="227"/>
        <v>4.9777500000000002E-2</v>
      </c>
      <c r="H1656" s="6">
        <f t="shared" si="228"/>
        <v>0</v>
      </c>
      <c r="I1656" s="7">
        <f t="shared" si="229"/>
        <v>-1857.3806621873318</v>
      </c>
      <c r="J1656" s="8">
        <f t="shared" si="230"/>
        <v>49777.5</v>
      </c>
      <c r="K1656" s="7">
        <f t="shared" si="231"/>
        <v>-51634.88066218733</v>
      </c>
      <c r="L1656" s="4">
        <f>IF(A1656&gt;'Yield Curve'!A2270,L1655,(1+VLOOKUP(A1656,'Yield Curve'!A1649:B2271,2,FALSE))^(1/12)-1)</f>
        <v>7.9741404289037643E-3</v>
      </c>
      <c r="M1656" s="5">
        <f t="shared" si="232"/>
        <v>-0.10674505104255831</v>
      </c>
    </row>
    <row r="1657" spans="1:13" x14ac:dyDescent="0.25">
      <c r="A1657" s="4">
        <v>1649</v>
      </c>
      <c r="B1657" s="4">
        <f t="shared" si="225"/>
        <v>182</v>
      </c>
      <c r="C1657" s="4">
        <f t="shared" si="226"/>
        <v>1664</v>
      </c>
      <c r="D1657" s="4">
        <f>IF(B1657&gt;'Mortality Table'!$A$118,D1656,VLOOKUP(B1657,'Mortality Table'!$A$2:$B$118,2,FALSE))</f>
        <v>0.59733000000000003</v>
      </c>
      <c r="E1657" s="4">
        <f>IF(INT((C1657-1)/12)+1&gt;'Lapse Table'!$A$11,E1656,VLOOKUP(INT((C1657-1)/12)+1,'Lapse Table'!$A$2:$B$11,2,FALSE))/12</f>
        <v>0</v>
      </c>
      <c r="F1657" s="5">
        <f t="shared" si="233"/>
        <v>-55.771197365619955</v>
      </c>
      <c r="G1657" s="6">
        <f t="shared" si="227"/>
        <v>4.9777500000000002E-2</v>
      </c>
      <c r="H1657" s="6">
        <f t="shared" si="228"/>
        <v>0</v>
      </c>
      <c r="I1657" s="7">
        <f t="shared" si="229"/>
        <v>-1859.0399121873318</v>
      </c>
      <c r="J1657" s="8">
        <f t="shared" si="230"/>
        <v>49777.5</v>
      </c>
      <c r="K1657" s="7">
        <f t="shared" si="231"/>
        <v>-51636.539912187334</v>
      </c>
      <c r="L1657" s="4">
        <f>IF(A1657&gt;'Yield Curve'!A2271,L1656,(1+VLOOKUP(A1657,'Yield Curve'!A1650:B2272,2,FALSE))^(1/12)-1)</f>
        <v>7.9741404289037643E-3</v>
      </c>
      <c r="M1657" s="5">
        <f t="shared" si="232"/>
        <v>-0.10590398794664307</v>
      </c>
    </row>
    <row r="1658" spans="1:13" x14ac:dyDescent="0.25">
      <c r="A1658" s="4">
        <v>1650</v>
      </c>
      <c r="B1658" s="4">
        <f t="shared" si="225"/>
        <v>182</v>
      </c>
      <c r="C1658" s="4">
        <f t="shared" si="226"/>
        <v>1665</v>
      </c>
      <c r="D1658" s="4">
        <f>IF(B1658&gt;'Mortality Table'!$A$118,D1657,VLOOKUP(B1658,'Mortality Table'!$A$2:$B$118,2,FALSE))</f>
        <v>0.59733000000000003</v>
      </c>
      <c r="E1658" s="4">
        <f>IF(INT((C1658-1)/12)+1&gt;'Lapse Table'!$A$11,E1657,VLOOKUP(INT((C1658-1)/12)+1,'Lapse Table'!$A$2:$B$11,2,FALSE))/12</f>
        <v>0</v>
      </c>
      <c r="F1658" s="5">
        <f t="shared" si="233"/>
        <v>-55.820974865619952</v>
      </c>
      <c r="G1658" s="6">
        <f t="shared" si="227"/>
        <v>4.9777500000000002E-2</v>
      </c>
      <c r="H1658" s="6">
        <f t="shared" si="228"/>
        <v>0</v>
      </c>
      <c r="I1658" s="7">
        <f t="shared" si="229"/>
        <v>-1860.6991621873319</v>
      </c>
      <c r="J1658" s="8">
        <f t="shared" si="230"/>
        <v>49777.5</v>
      </c>
      <c r="K1658" s="7">
        <f t="shared" si="231"/>
        <v>-51638.199162187331</v>
      </c>
      <c r="L1658" s="4">
        <f>IF(A1658&gt;'Yield Curve'!A2272,L1657,(1+VLOOKUP(A1658,'Yield Curve'!A1651:B2273,2,FALSE))^(1/12)-1)</f>
        <v>7.9741404289037643E-3</v>
      </c>
      <c r="M1658" s="5">
        <f t="shared" si="232"/>
        <v>-0.10506955162680522</v>
      </c>
    </row>
    <row r="1659" spans="1:13" x14ac:dyDescent="0.25">
      <c r="A1659" s="4">
        <v>1651</v>
      </c>
      <c r="B1659" s="4">
        <f t="shared" si="225"/>
        <v>182</v>
      </c>
      <c r="C1659" s="4">
        <f t="shared" si="226"/>
        <v>1666</v>
      </c>
      <c r="D1659" s="4">
        <f>IF(B1659&gt;'Mortality Table'!$A$118,D1658,VLOOKUP(B1659,'Mortality Table'!$A$2:$B$118,2,FALSE))</f>
        <v>0.59733000000000003</v>
      </c>
      <c r="E1659" s="4">
        <f>IF(INT((C1659-1)/12)+1&gt;'Lapse Table'!$A$11,E1658,VLOOKUP(INT((C1659-1)/12)+1,'Lapse Table'!$A$2:$B$11,2,FALSE))/12</f>
        <v>0</v>
      </c>
      <c r="F1659" s="5">
        <f t="shared" si="233"/>
        <v>-55.87075236561995</v>
      </c>
      <c r="G1659" s="6">
        <f t="shared" si="227"/>
        <v>4.9777500000000002E-2</v>
      </c>
      <c r="H1659" s="6">
        <f t="shared" si="228"/>
        <v>0</v>
      </c>
      <c r="I1659" s="7">
        <f t="shared" si="229"/>
        <v>-1862.3584121873316</v>
      </c>
      <c r="J1659" s="8">
        <f t="shared" si="230"/>
        <v>49777.5</v>
      </c>
      <c r="K1659" s="7">
        <f t="shared" si="231"/>
        <v>-51639.858412187328</v>
      </c>
      <c r="L1659" s="4">
        <f>IF(A1659&gt;'Yield Curve'!A2273,L1658,(1+VLOOKUP(A1659,'Yield Curve'!A1652:B2274,2,FALSE))^(1/12)-1)</f>
        <v>7.9741404289037643E-3</v>
      </c>
      <c r="M1659" s="5">
        <f t="shared" si="232"/>
        <v>-0.10424168987122308</v>
      </c>
    </row>
    <row r="1660" spans="1:13" x14ac:dyDescent="0.25">
      <c r="A1660" s="4">
        <v>1652</v>
      </c>
      <c r="B1660" s="4">
        <f t="shared" si="225"/>
        <v>182</v>
      </c>
      <c r="C1660" s="4">
        <f t="shared" si="226"/>
        <v>1667</v>
      </c>
      <c r="D1660" s="4">
        <f>IF(B1660&gt;'Mortality Table'!$A$118,D1659,VLOOKUP(B1660,'Mortality Table'!$A$2:$B$118,2,FALSE))</f>
        <v>0.59733000000000003</v>
      </c>
      <c r="E1660" s="4">
        <f>IF(INT((C1660-1)/12)+1&gt;'Lapse Table'!$A$11,E1659,VLOOKUP(INT((C1660-1)/12)+1,'Lapse Table'!$A$2:$B$11,2,FALSE))/12</f>
        <v>0</v>
      </c>
      <c r="F1660" s="5">
        <f t="shared" si="233"/>
        <v>-55.920529865619947</v>
      </c>
      <c r="G1660" s="6">
        <f t="shared" si="227"/>
        <v>4.9777500000000002E-2</v>
      </c>
      <c r="H1660" s="6">
        <f t="shared" si="228"/>
        <v>0</v>
      </c>
      <c r="I1660" s="7">
        <f t="shared" si="229"/>
        <v>-1864.0176621873316</v>
      </c>
      <c r="J1660" s="8">
        <f t="shared" si="230"/>
        <v>49777.5</v>
      </c>
      <c r="K1660" s="7">
        <f t="shared" si="231"/>
        <v>-51641.517662187332</v>
      </c>
      <c r="L1660" s="4">
        <f>IF(A1660&gt;'Yield Curve'!A2274,L1659,(1+VLOOKUP(A1660,'Yield Curve'!A1653:B2275,2,FALSE))^(1/12)-1)</f>
        <v>7.9741404289037643E-3</v>
      </c>
      <c r="M1660" s="5">
        <f t="shared" si="232"/>
        <v>-0.10342035087944079</v>
      </c>
    </row>
    <row r="1661" spans="1:13" x14ac:dyDescent="0.25">
      <c r="A1661" s="4">
        <v>1653</v>
      </c>
      <c r="B1661" s="4">
        <f t="shared" si="225"/>
        <v>182</v>
      </c>
      <c r="C1661" s="4">
        <f t="shared" si="226"/>
        <v>1668</v>
      </c>
      <c r="D1661" s="4">
        <f>IF(B1661&gt;'Mortality Table'!$A$118,D1660,VLOOKUP(B1661,'Mortality Table'!$A$2:$B$118,2,FALSE))</f>
        <v>0.59733000000000003</v>
      </c>
      <c r="E1661" s="4">
        <f>IF(INT((C1661-1)/12)+1&gt;'Lapse Table'!$A$11,E1660,VLOOKUP(INT((C1661-1)/12)+1,'Lapse Table'!$A$2:$B$11,2,FALSE))/12</f>
        <v>0</v>
      </c>
      <c r="F1661" s="5">
        <f t="shared" si="233"/>
        <v>-55.970307365619945</v>
      </c>
      <c r="G1661" s="6">
        <f t="shared" si="227"/>
        <v>4.9777500000000002E-2</v>
      </c>
      <c r="H1661" s="6">
        <f t="shared" si="228"/>
        <v>0</v>
      </c>
      <c r="I1661" s="7">
        <f t="shared" si="229"/>
        <v>-1865.6769121873315</v>
      </c>
      <c r="J1661" s="8">
        <f t="shared" si="230"/>
        <v>49777.5</v>
      </c>
      <c r="K1661" s="7">
        <f t="shared" si="231"/>
        <v>-51643.176912187329</v>
      </c>
      <c r="L1661" s="4">
        <f>IF(A1661&gt;'Yield Curve'!A2275,L1660,(1+VLOOKUP(A1661,'Yield Curve'!A1654:B2276,2,FALSE))^(1/12)-1)</f>
        <v>7.9741404289037643E-3</v>
      </c>
      <c r="M1661" s="5">
        <f t="shared" si="232"/>
        <v>-0.10260548325912711</v>
      </c>
    </row>
    <row r="1662" spans="1:13" x14ac:dyDescent="0.25">
      <c r="A1662" s="4">
        <v>1654</v>
      </c>
      <c r="B1662" s="4">
        <f t="shared" si="225"/>
        <v>182</v>
      </c>
      <c r="C1662" s="4">
        <f t="shared" si="226"/>
        <v>1669</v>
      </c>
      <c r="D1662" s="4">
        <f>IF(B1662&gt;'Mortality Table'!$A$118,D1661,VLOOKUP(B1662,'Mortality Table'!$A$2:$B$118,2,FALSE))</f>
        <v>0.59733000000000003</v>
      </c>
      <c r="E1662" s="4">
        <f>IF(INT((C1662-1)/12)+1&gt;'Lapse Table'!$A$11,E1661,VLOOKUP(INT((C1662-1)/12)+1,'Lapse Table'!$A$2:$B$11,2,FALSE))/12</f>
        <v>0</v>
      </c>
      <c r="F1662" s="5">
        <f t="shared" si="233"/>
        <v>-56.020084865619943</v>
      </c>
      <c r="G1662" s="6">
        <f t="shared" si="227"/>
        <v>4.9777500000000002E-2</v>
      </c>
      <c r="H1662" s="6">
        <f t="shared" si="228"/>
        <v>0</v>
      </c>
      <c r="I1662" s="7">
        <f t="shared" si="229"/>
        <v>-1867.3361621873316</v>
      </c>
      <c r="J1662" s="8">
        <f t="shared" si="230"/>
        <v>49777.5</v>
      </c>
      <c r="K1662" s="7">
        <f t="shared" si="231"/>
        <v>-51644.836162187334</v>
      </c>
      <c r="L1662" s="4">
        <f>IF(A1662&gt;'Yield Curve'!A2276,L1661,(1+VLOOKUP(A1662,'Yield Curve'!A1655:B2277,2,FALSE))^(1/12)-1)</f>
        <v>7.9741404289037643E-3</v>
      </c>
      <c r="M1662" s="5">
        <f t="shared" si="232"/>
        <v>-0.10179703602286032</v>
      </c>
    </row>
    <row r="1663" spans="1:13" x14ac:dyDescent="0.25">
      <c r="A1663" s="4">
        <v>1655</v>
      </c>
      <c r="B1663" s="4">
        <f t="shared" si="225"/>
        <v>182</v>
      </c>
      <c r="C1663" s="4">
        <f t="shared" si="226"/>
        <v>1670</v>
      </c>
      <c r="D1663" s="4">
        <f>IF(B1663&gt;'Mortality Table'!$A$118,D1662,VLOOKUP(B1663,'Mortality Table'!$A$2:$B$118,2,FALSE))</f>
        <v>0.59733000000000003</v>
      </c>
      <c r="E1663" s="4">
        <f>IF(INT((C1663-1)/12)+1&gt;'Lapse Table'!$A$11,E1662,VLOOKUP(INT((C1663-1)/12)+1,'Lapse Table'!$A$2:$B$11,2,FALSE))/12</f>
        <v>0</v>
      </c>
      <c r="F1663" s="5">
        <f t="shared" si="233"/>
        <v>-56.06986236561994</v>
      </c>
      <c r="G1663" s="6">
        <f t="shared" si="227"/>
        <v>4.9777500000000002E-2</v>
      </c>
      <c r="H1663" s="6">
        <f t="shared" si="228"/>
        <v>0</v>
      </c>
      <c r="I1663" s="7">
        <f t="shared" si="229"/>
        <v>-1868.9954121873313</v>
      </c>
      <c r="J1663" s="8">
        <f t="shared" si="230"/>
        <v>49777.5</v>
      </c>
      <c r="K1663" s="7">
        <f t="shared" si="231"/>
        <v>-51646.495412187331</v>
      </c>
      <c r="L1663" s="4">
        <f>IF(A1663&gt;'Yield Curve'!A2277,L1662,(1+VLOOKUP(A1663,'Yield Curve'!A1656:B2278,2,FALSE))^(1/12)-1)</f>
        <v>7.9741404289037643E-3</v>
      </c>
      <c r="M1663" s="5">
        <f t="shared" si="232"/>
        <v>-0.10099495858493766</v>
      </c>
    </row>
    <row r="1664" spans="1:13" x14ac:dyDescent="0.25">
      <c r="A1664" s="4">
        <v>1656</v>
      </c>
      <c r="B1664" s="4">
        <f t="shared" si="225"/>
        <v>183</v>
      </c>
      <c r="C1664" s="4">
        <f t="shared" si="226"/>
        <v>1671</v>
      </c>
      <c r="D1664" s="4">
        <f>IF(B1664&gt;'Mortality Table'!$A$118,D1663,VLOOKUP(B1664,'Mortality Table'!$A$2:$B$118,2,FALSE))</f>
        <v>0.59733000000000003</v>
      </c>
      <c r="E1664" s="4">
        <f>IF(INT((C1664-1)/12)+1&gt;'Lapse Table'!$A$11,E1663,VLOOKUP(INT((C1664-1)/12)+1,'Lapse Table'!$A$2:$B$11,2,FALSE))/12</f>
        <v>0</v>
      </c>
      <c r="F1664" s="5">
        <f t="shared" si="233"/>
        <v>-56.119639865619938</v>
      </c>
      <c r="G1664" s="6">
        <f t="shared" si="227"/>
        <v>4.9777500000000002E-2</v>
      </c>
      <c r="H1664" s="6">
        <f t="shared" si="228"/>
        <v>0</v>
      </c>
      <c r="I1664" s="7">
        <f t="shared" si="229"/>
        <v>-1870.6546621873313</v>
      </c>
      <c r="J1664" s="8">
        <f t="shared" si="230"/>
        <v>49777.5</v>
      </c>
      <c r="K1664" s="7">
        <f t="shared" si="231"/>
        <v>-51648.154662187328</v>
      </c>
      <c r="L1664" s="4">
        <f>IF(A1664&gt;'Yield Curve'!A2278,L1663,(1+VLOOKUP(A1664,'Yield Curve'!A1657:B2279,2,FALSE))^(1/12)-1)</f>
        <v>7.9741404289037643E-3</v>
      </c>
      <c r="M1664" s="5">
        <f t="shared" si="232"/>
        <v>-0.10019920075821062</v>
      </c>
    </row>
    <row r="1665" spans="1:13" x14ac:dyDescent="0.25">
      <c r="A1665" s="4">
        <v>1657</v>
      </c>
      <c r="B1665" s="4">
        <f t="shared" si="225"/>
        <v>183</v>
      </c>
      <c r="C1665" s="4">
        <f t="shared" si="226"/>
        <v>1672</v>
      </c>
      <c r="D1665" s="4">
        <f>IF(B1665&gt;'Mortality Table'!$A$118,D1664,VLOOKUP(B1665,'Mortality Table'!$A$2:$B$118,2,FALSE))</f>
        <v>0.59733000000000003</v>
      </c>
      <c r="E1665" s="4">
        <f>IF(INT((C1665-1)/12)+1&gt;'Lapse Table'!$A$11,E1664,VLOOKUP(INT((C1665-1)/12)+1,'Lapse Table'!$A$2:$B$11,2,FALSE))/12</f>
        <v>0</v>
      </c>
      <c r="F1665" s="5">
        <f t="shared" si="233"/>
        <v>-56.169417365619935</v>
      </c>
      <c r="G1665" s="6">
        <f t="shared" si="227"/>
        <v>4.9777500000000002E-2</v>
      </c>
      <c r="H1665" s="6">
        <f t="shared" si="228"/>
        <v>0</v>
      </c>
      <c r="I1665" s="7">
        <f t="shared" si="229"/>
        <v>-1872.3139121873312</v>
      </c>
      <c r="J1665" s="8">
        <f t="shared" si="230"/>
        <v>49777.5</v>
      </c>
      <c r="K1665" s="7">
        <f t="shared" si="231"/>
        <v>-51649.813912187332</v>
      </c>
      <c r="L1665" s="4">
        <f>IF(A1665&gt;'Yield Curve'!A2279,L1664,(1+VLOOKUP(A1665,'Yield Curve'!A1658:B2280,2,FALSE))^(1/12)-1)</f>
        <v>7.9741404289037643E-3</v>
      </c>
      <c r="M1665" s="5">
        <f t="shared" si="232"/>
        <v>-9.9409712750944887E-2</v>
      </c>
    </row>
    <row r="1666" spans="1:13" x14ac:dyDescent="0.25">
      <c r="A1666" s="4">
        <v>1658</v>
      </c>
      <c r="B1666" s="4">
        <f t="shared" si="225"/>
        <v>183</v>
      </c>
      <c r="C1666" s="4">
        <f t="shared" si="226"/>
        <v>1673</v>
      </c>
      <c r="D1666" s="4">
        <f>IF(B1666&gt;'Mortality Table'!$A$118,D1665,VLOOKUP(B1666,'Mortality Table'!$A$2:$B$118,2,FALSE))</f>
        <v>0.59733000000000003</v>
      </c>
      <c r="E1666" s="4">
        <f>IF(INT((C1666-1)/12)+1&gt;'Lapse Table'!$A$11,E1665,VLOOKUP(INT((C1666-1)/12)+1,'Lapse Table'!$A$2:$B$11,2,FALSE))/12</f>
        <v>0</v>
      </c>
      <c r="F1666" s="5">
        <f t="shared" si="233"/>
        <v>-56.219194865619933</v>
      </c>
      <c r="G1666" s="6">
        <f t="shared" si="227"/>
        <v>4.9777500000000002E-2</v>
      </c>
      <c r="H1666" s="6">
        <f t="shared" si="228"/>
        <v>0</v>
      </c>
      <c r="I1666" s="7">
        <f t="shared" si="229"/>
        <v>-1873.9731621873309</v>
      </c>
      <c r="J1666" s="8">
        <f t="shared" si="230"/>
        <v>49777.5</v>
      </c>
      <c r="K1666" s="7">
        <f t="shared" si="231"/>
        <v>-51651.473162187329</v>
      </c>
      <c r="L1666" s="4">
        <f>IF(A1666&gt;'Yield Curve'!A2280,L1665,(1+VLOOKUP(A1666,'Yield Curve'!A1659:B2281,2,FALSE))^(1/12)-1)</f>
        <v>7.9741404289037643E-3</v>
      </c>
      <c r="M1666" s="5">
        <f t="shared" si="232"/>
        <v>-9.8626445163704668E-2</v>
      </c>
    </row>
    <row r="1667" spans="1:13" x14ac:dyDescent="0.25">
      <c r="A1667" s="4">
        <v>1659</v>
      </c>
      <c r="B1667" s="4">
        <f t="shared" si="225"/>
        <v>183</v>
      </c>
      <c r="C1667" s="4">
        <f t="shared" si="226"/>
        <v>1674</v>
      </c>
      <c r="D1667" s="4">
        <f>IF(B1667&gt;'Mortality Table'!$A$118,D1666,VLOOKUP(B1667,'Mortality Table'!$A$2:$B$118,2,FALSE))</f>
        <v>0.59733000000000003</v>
      </c>
      <c r="E1667" s="4">
        <f>IF(INT((C1667-1)/12)+1&gt;'Lapse Table'!$A$11,E1666,VLOOKUP(INT((C1667-1)/12)+1,'Lapse Table'!$A$2:$B$11,2,FALSE))/12</f>
        <v>0</v>
      </c>
      <c r="F1667" s="5">
        <f t="shared" si="233"/>
        <v>-56.268972365619931</v>
      </c>
      <c r="G1667" s="6">
        <f t="shared" si="227"/>
        <v>4.9777500000000002E-2</v>
      </c>
      <c r="H1667" s="6">
        <f t="shared" si="228"/>
        <v>0</v>
      </c>
      <c r="I1667" s="7">
        <f t="shared" si="229"/>
        <v>-1875.6324121873311</v>
      </c>
      <c r="J1667" s="8">
        <f t="shared" si="230"/>
        <v>49777.5</v>
      </c>
      <c r="K1667" s="7">
        <f t="shared" si="231"/>
        <v>-51653.132412187333</v>
      </c>
      <c r="L1667" s="4">
        <f>IF(A1667&gt;'Yield Curve'!A2281,L1666,(1+VLOOKUP(A1667,'Yield Curve'!A1660:B2282,2,FALSE))^(1/12)-1)</f>
        <v>7.9741404289037643E-3</v>
      </c>
      <c r="M1667" s="5">
        <f t="shared" si="232"/>
        <v>-9.7849348986262297E-2</v>
      </c>
    </row>
    <row r="1668" spans="1:13" x14ac:dyDescent="0.25">
      <c r="A1668" s="4">
        <v>1660</v>
      </c>
      <c r="B1668" s="4">
        <f t="shared" si="225"/>
        <v>183</v>
      </c>
      <c r="C1668" s="4">
        <f t="shared" si="226"/>
        <v>1675</v>
      </c>
      <c r="D1668" s="4">
        <f>IF(B1668&gt;'Mortality Table'!$A$118,D1667,VLOOKUP(B1668,'Mortality Table'!$A$2:$B$118,2,FALSE))</f>
        <v>0.59733000000000003</v>
      </c>
      <c r="E1668" s="4">
        <f>IF(INT((C1668-1)/12)+1&gt;'Lapse Table'!$A$11,E1667,VLOOKUP(INT((C1668-1)/12)+1,'Lapse Table'!$A$2:$B$11,2,FALSE))/12</f>
        <v>0</v>
      </c>
      <c r="F1668" s="5">
        <f t="shared" si="233"/>
        <v>-56.318749865619928</v>
      </c>
      <c r="G1668" s="6">
        <f t="shared" si="227"/>
        <v>4.9777500000000002E-2</v>
      </c>
      <c r="H1668" s="6">
        <f t="shared" si="228"/>
        <v>0</v>
      </c>
      <c r="I1668" s="7">
        <f t="shared" si="229"/>
        <v>-1877.291662187331</v>
      </c>
      <c r="J1668" s="8">
        <f t="shared" si="230"/>
        <v>49777.5</v>
      </c>
      <c r="K1668" s="7">
        <f t="shared" si="231"/>
        <v>-51654.79166218733</v>
      </c>
      <c r="L1668" s="4">
        <f>IF(A1668&gt;'Yield Curve'!A2282,L1667,(1+VLOOKUP(A1668,'Yield Curve'!A1661:B2283,2,FALSE))^(1/12)-1)</f>
        <v>7.9741404289037643E-3</v>
      </c>
      <c r="M1668" s="5">
        <f t="shared" si="232"/>
        <v>-9.7078375594531585E-2</v>
      </c>
    </row>
    <row r="1669" spans="1:13" x14ac:dyDescent="0.25">
      <c r="A1669" s="4">
        <v>1661</v>
      </c>
      <c r="B1669" s="4">
        <f t="shared" si="225"/>
        <v>183</v>
      </c>
      <c r="C1669" s="4">
        <f t="shared" si="226"/>
        <v>1676</v>
      </c>
      <c r="D1669" s="4">
        <f>IF(B1669&gt;'Mortality Table'!$A$118,D1668,VLOOKUP(B1669,'Mortality Table'!$A$2:$B$118,2,FALSE))</f>
        <v>0.59733000000000003</v>
      </c>
      <c r="E1669" s="4">
        <f>IF(INT((C1669-1)/12)+1&gt;'Lapse Table'!$A$11,E1668,VLOOKUP(INT((C1669-1)/12)+1,'Lapse Table'!$A$2:$B$11,2,FALSE))/12</f>
        <v>0</v>
      </c>
      <c r="F1669" s="5">
        <f t="shared" si="233"/>
        <v>-56.368527365619926</v>
      </c>
      <c r="G1669" s="6">
        <f t="shared" si="227"/>
        <v>4.9777500000000002E-2</v>
      </c>
      <c r="H1669" s="6">
        <f t="shared" si="228"/>
        <v>0</v>
      </c>
      <c r="I1669" s="7">
        <f t="shared" si="229"/>
        <v>-1878.9509121873309</v>
      </c>
      <c r="J1669" s="8">
        <f t="shared" si="230"/>
        <v>49777.5</v>
      </c>
      <c r="K1669" s="7">
        <f t="shared" si="231"/>
        <v>-51656.450912187334</v>
      </c>
      <c r="L1669" s="4">
        <f>IF(A1669&gt;'Yield Curve'!A2283,L1668,(1+VLOOKUP(A1669,'Yield Curve'!A1662:B2284,2,FALSE))^(1/12)-1)</f>
        <v>7.9741404289037643E-3</v>
      </c>
      <c r="M1669" s="5">
        <f t="shared" si="232"/>
        <v>-9.6313476747525592E-2</v>
      </c>
    </row>
    <row r="1670" spans="1:13" x14ac:dyDescent="0.25">
      <c r="A1670" s="4">
        <v>1662</v>
      </c>
      <c r="B1670" s="4">
        <f t="shared" si="225"/>
        <v>183</v>
      </c>
      <c r="C1670" s="4">
        <f t="shared" si="226"/>
        <v>1677</v>
      </c>
      <c r="D1670" s="4">
        <f>IF(B1670&gt;'Mortality Table'!$A$118,D1669,VLOOKUP(B1670,'Mortality Table'!$A$2:$B$118,2,FALSE))</f>
        <v>0.59733000000000003</v>
      </c>
      <c r="E1670" s="4">
        <f>IF(INT((C1670-1)/12)+1&gt;'Lapse Table'!$A$11,E1669,VLOOKUP(INT((C1670-1)/12)+1,'Lapse Table'!$A$2:$B$11,2,FALSE))/12</f>
        <v>0</v>
      </c>
      <c r="F1670" s="5">
        <f t="shared" si="233"/>
        <v>-56.418304865619923</v>
      </c>
      <c r="G1670" s="6">
        <f t="shared" si="227"/>
        <v>4.9777500000000002E-2</v>
      </c>
      <c r="H1670" s="6">
        <f t="shared" si="228"/>
        <v>0</v>
      </c>
      <c r="I1670" s="7">
        <f t="shared" si="229"/>
        <v>-1880.6101621873306</v>
      </c>
      <c r="J1670" s="8">
        <f t="shared" si="230"/>
        <v>49777.5</v>
      </c>
      <c r="K1670" s="7">
        <f t="shared" si="231"/>
        <v>-51658.110162187331</v>
      </c>
      <c r="L1670" s="4">
        <f>IF(A1670&gt;'Yield Curve'!A2284,L1669,(1+VLOOKUP(A1670,'Yield Curve'!A1663:B2285,2,FALSE))^(1/12)-1)</f>
        <v>7.9741404289037643E-3</v>
      </c>
      <c r="M1670" s="5">
        <f t="shared" si="232"/>
        <v>-9.5554604584338315E-2</v>
      </c>
    </row>
    <row r="1671" spans="1:13" x14ac:dyDescent="0.25">
      <c r="A1671" s="4">
        <v>1663</v>
      </c>
      <c r="B1671" s="4">
        <f t="shared" si="225"/>
        <v>183</v>
      </c>
      <c r="C1671" s="4">
        <f t="shared" si="226"/>
        <v>1678</v>
      </c>
      <c r="D1671" s="4">
        <f>IF(B1671&gt;'Mortality Table'!$A$118,D1670,VLOOKUP(B1671,'Mortality Table'!$A$2:$B$118,2,FALSE))</f>
        <v>0.59733000000000003</v>
      </c>
      <c r="E1671" s="4">
        <f>IF(INT((C1671-1)/12)+1&gt;'Lapse Table'!$A$11,E1670,VLOOKUP(INT((C1671-1)/12)+1,'Lapse Table'!$A$2:$B$11,2,FALSE))/12</f>
        <v>0</v>
      </c>
      <c r="F1671" s="5">
        <f t="shared" si="233"/>
        <v>-56.468082365619921</v>
      </c>
      <c r="G1671" s="6">
        <f t="shared" si="227"/>
        <v>4.9777500000000002E-2</v>
      </c>
      <c r="H1671" s="6">
        <f t="shared" si="228"/>
        <v>0</v>
      </c>
      <c r="I1671" s="7">
        <f t="shared" si="229"/>
        <v>-1882.2694121873308</v>
      </c>
      <c r="J1671" s="8">
        <f t="shared" si="230"/>
        <v>49777.5</v>
      </c>
      <c r="K1671" s="7">
        <f t="shared" si="231"/>
        <v>-51659.769412187328</v>
      </c>
      <c r="L1671" s="4">
        <f>IF(A1671&gt;'Yield Curve'!A2285,L1670,(1+VLOOKUP(A1671,'Yield Curve'!A1664:B2286,2,FALSE))^(1/12)-1)</f>
        <v>7.9741404289037643E-3</v>
      </c>
      <c r="M1671" s="5">
        <f t="shared" si="232"/>
        <v>-9.4801711621150156E-2</v>
      </c>
    </row>
    <row r="1672" spans="1:13" x14ac:dyDescent="0.25">
      <c r="A1672" s="4">
        <v>1664</v>
      </c>
      <c r="B1672" s="4">
        <f t="shared" si="225"/>
        <v>183</v>
      </c>
      <c r="C1672" s="4">
        <f t="shared" si="226"/>
        <v>1679</v>
      </c>
      <c r="D1672" s="4">
        <f>IF(B1672&gt;'Mortality Table'!$A$118,D1671,VLOOKUP(B1672,'Mortality Table'!$A$2:$B$118,2,FALSE))</f>
        <v>0.59733000000000003</v>
      </c>
      <c r="E1672" s="4">
        <f>IF(INT((C1672-1)/12)+1&gt;'Lapse Table'!$A$11,E1671,VLOOKUP(INT((C1672-1)/12)+1,'Lapse Table'!$A$2:$B$11,2,FALSE))/12</f>
        <v>0</v>
      </c>
      <c r="F1672" s="5">
        <f t="shared" si="233"/>
        <v>-56.517859865619918</v>
      </c>
      <c r="G1672" s="6">
        <f t="shared" si="227"/>
        <v>4.9777500000000002E-2</v>
      </c>
      <c r="H1672" s="6">
        <f t="shared" si="228"/>
        <v>0</v>
      </c>
      <c r="I1672" s="7">
        <f t="shared" si="229"/>
        <v>-1883.9286621873307</v>
      </c>
      <c r="J1672" s="8">
        <f t="shared" si="230"/>
        <v>49777.5</v>
      </c>
      <c r="K1672" s="7">
        <f t="shared" si="231"/>
        <v>-51661.428662187333</v>
      </c>
      <c r="L1672" s="4">
        <f>IF(A1672&gt;'Yield Curve'!A2286,L1671,(1+VLOOKUP(A1672,'Yield Curve'!A1665:B2287,2,FALSE))^(1/12)-1)</f>
        <v>7.9741404289037643E-3</v>
      </c>
      <c r="M1672" s="5">
        <f t="shared" si="232"/>
        <v>-9.4054750748256949E-2</v>
      </c>
    </row>
    <row r="1673" spans="1:13" x14ac:dyDescent="0.25">
      <c r="A1673" s="4">
        <v>1665</v>
      </c>
      <c r="B1673" s="4">
        <f t="shared" si="225"/>
        <v>183</v>
      </c>
      <c r="C1673" s="4">
        <f t="shared" si="226"/>
        <v>1680</v>
      </c>
      <c r="D1673" s="4">
        <f>IF(B1673&gt;'Mortality Table'!$A$118,D1672,VLOOKUP(B1673,'Mortality Table'!$A$2:$B$118,2,FALSE))</f>
        <v>0.59733000000000003</v>
      </c>
      <c r="E1673" s="4">
        <f>IF(INT((C1673-1)/12)+1&gt;'Lapse Table'!$A$11,E1672,VLOOKUP(INT((C1673-1)/12)+1,'Lapse Table'!$A$2:$B$11,2,FALSE))/12</f>
        <v>0</v>
      </c>
      <c r="F1673" s="5">
        <f t="shared" si="233"/>
        <v>-56.567637365619916</v>
      </c>
      <c r="G1673" s="6">
        <f t="shared" si="227"/>
        <v>4.9777500000000002E-2</v>
      </c>
      <c r="H1673" s="6">
        <f t="shared" si="228"/>
        <v>0</v>
      </c>
      <c r="I1673" s="7">
        <f t="shared" si="229"/>
        <v>-1885.5879121873304</v>
      </c>
      <c r="J1673" s="8">
        <f t="shared" si="230"/>
        <v>49777.5</v>
      </c>
      <c r="K1673" s="7">
        <f t="shared" si="231"/>
        <v>-51663.087912187329</v>
      </c>
      <c r="L1673" s="4">
        <f>IF(A1673&gt;'Yield Curve'!A2287,L1672,(1+VLOOKUP(A1673,'Yield Curve'!A1666:B2288,2,FALSE))^(1/12)-1)</f>
        <v>7.9741404289037643E-3</v>
      </c>
      <c r="M1673" s="5">
        <f t="shared" si="232"/>
        <v>-9.33136752271225E-2</v>
      </c>
    </row>
    <row r="1674" spans="1:13" x14ac:dyDescent="0.25">
      <c r="A1674" s="4">
        <v>1666</v>
      </c>
      <c r="B1674" s="4">
        <f t="shared" ref="B1674:B1737" si="234">INT($B$3+A1674/12)</f>
        <v>183</v>
      </c>
      <c r="C1674" s="4">
        <f t="shared" ref="C1674:C1737" si="235">$B$4+A1674</f>
        <v>1681</v>
      </c>
      <c r="D1674" s="4">
        <f>IF(B1674&gt;'Mortality Table'!$A$118,D1673,VLOOKUP(B1674,'Mortality Table'!$A$2:$B$118,2,FALSE))</f>
        <v>0.59733000000000003</v>
      </c>
      <c r="E1674" s="4">
        <f>IF(INT((C1674-1)/12)+1&gt;'Lapse Table'!$A$11,E1673,VLOOKUP(INT((C1674-1)/12)+1,'Lapse Table'!$A$2:$B$11,2,FALSE))/12</f>
        <v>0</v>
      </c>
      <c r="F1674" s="5">
        <f t="shared" si="233"/>
        <v>-56.617414865619914</v>
      </c>
      <c r="G1674" s="6">
        <f t="shared" ref="G1674:G1737" si="236">D1674/12*(1-0.5*E1674)</f>
        <v>4.9777500000000002E-2</v>
      </c>
      <c r="H1674" s="6">
        <f t="shared" ref="H1674:H1737" si="237">E1674*(1-0.5*D1674)</f>
        <v>0</v>
      </c>
      <c r="I1674" s="7">
        <f t="shared" ref="I1674:I1737" si="238">F1674*$B$5/12</f>
        <v>-1887.2471621873303</v>
      </c>
      <c r="J1674" s="8">
        <f t="shared" ref="J1674:J1737" si="239">$B$6*G1674</f>
        <v>49777.5</v>
      </c>
      <c r="K1674" s="7">
        <f t="shared" ref="K1674:K1737" si="240">I1674-J1674</f>
        <v>-51664.747162187334</v>
      </c>
      <c r="L1674" s="4">
        <f>IF(A1674&gt;'Yield Curve'!A2288,L1673,(1+VLOOKUP(A1674,'Yield Curve'!A1667:B2289,2,FALSE))^(1/12)-1)</f>
        <v>7.9741404289037643E-3</v>
      </c>
      <c r="M1674" s="5">
        <f t="shared" ref="M1674:M1737" si="241">K1674*(1+L1674)^-A1674</f>
        <v>-9.2578438687454329E-2</v>
      </c>
    </row>
    <row r="1675" spans="1:13" x14ac:dyDescent="0.25">
      <c r="A1675" s="4">
        <v>1667</v>
      </c>
      <c r="B1675" s="4">
        <f t="shared" si="234"/>
        <v>183</v>
      </c>
      <c r="C1675" s="4">
        <f t="shared" si="235"/>
        <v>1682</v>
      </c>
      <c r="D1675" s="4">
        <f>IF(B1675&gt;'Mortality Table'!$A$118,D1674,VLOOKUP(B1675,'Mortality Table'!$A$2:$B$118,2,FALSE))</f>
        <v>0.59733000000000003</v>
      </c>
      <c r="E1675" s="4">
        <f>IF(INT((C1675-1)/12)+1&gt;'Lapse Table'!$A$11,E1674,VLOOKUP(INT((C1675-1)/12)+1,'Lapse Table'!$A$2:$B$11,2,FALSE))/12</f>
        <v>0</v>
      </c>
      <c r="F1675" s="5">
        <f t="shared" ref="F1675:F1738" si="242">F1674-G1675-H1675</f>
        <v>-56.667192365619911</v>
      </c>
      <c r="G1675" s="6">
        <f t="shared" si="236"/>
        <v>4.9777500000000002E-2</v>
      </c>
      <c r="H1675" s="6">
        <f t="shared" si="237"/>
        <v>0</v>
      </c>
      <c r="I1675" s="7">
        <f t="shared" si="238"/>
        <v>-1888.9064121873305</v>
      </c>
      <c r="J1675" s="8">
        <f t="shared" si="239"/>
        <v>49777.5</v>
      </c>
      <c r="K1675" s="7">
        <f t="shared" si="240"/>
        <v>-51666.406412187331</v>
      </c>
      <c r="L1675" s="4">
        <f>IF(A1675&gt;'Yield Curve'!A2289,L1674,(1+VLOOKUP(A1675,'Yield Curve'!A1668:B2290,2,FALSE))^(1/12)-1)</f>
        <v>7.9741404289037643E-3</v>
      </c>
      <c r="M1675" s="5">
        <f t="shared" si="241"/>
        <v>-9.1848995124302141E-2</v>
      </c>
    </row>
    <row r="1676" spans="1:13" x14ac:dyDescent="0.25">
      <c r="A1676" s="4">
        <v>1668</v>
      </c>
      <c r="B1676" s="4">
        <f t="shared" si="234"/>
        <v>184</v>
      </c>
      <c r="C1676" s="4">
        <f t="shared" si="235"/>
        <v>1683</v>
      </c>
      <c r="D1676" s="4">
        <f>IF(B1676&gt;'Mortality Table'!$A$118,D1675,VLOOKUP(B1676,'Mortality Table'!$A$2:$B$118,2,FALSE))</f>
        <v>0.59733000000000003</v>
      </c>
      <c r="E1676" s="4">
        <f>IF(INT((C1676-1)/12)+1&gt;'Lapse Table'!$A$11,E1675,VLOOKUP(INT((C1676-1)/12)+1,'Lapse Table'!$A$2:$B$11,2,FALSE))/12</f>
        <v>0</v>
      </c>
      <c r="F1676" s="5">
        <f t="shared" si="242"/>
        <v>-56.716969865619909</v>
      </c>
      <c r="G1676" s="6">
        <f t="shared" si="236"/>
        <v>4.9777500000000002E-2</v>
      </c>
      <c r="H1676" s="6">
        <f t="shared" si="237"/>
        <v>0</v>
      </c>
      <c r="I1676" s="7">
        <f t="shared" si="238"/>
        <v>-1890.5656621873304</v>
      </c>
      <c r="J1676" s="8">
        <f t="shared" si="239"/>
        <v>49777.5</v>
      </c>
      <c r="K1676" s="7">
        <f t="shared" si="240"/>
        <v>-51668.065662187328</v>
      </c>
      <c r="L1676" s="4">
        <f>IF(A1676&gt;'Yield Curve'!A2290,L1675,(1+VLOOKUP(A1676,'Yield Curve'!A1669:B2291,2,FALSE))^(1/12)-1)</f>
        <v>7.9741404289037643E-3</v>
      </c>
      <c r="M1676" s="5">
        <f t="shared" si="241"/>
        <v>-9.1125298895179674E-2</v>
      </c>
    </row>
    <row r="1677" spans="1:13" x14ac:dyDescent="0.25">
      <c r="A1677" s="4">
        <v>1669</v>
      </c>
      <c r="B1677" s="4">
        <f t="shared" si="234"/>
        <v>184</v>
      </c>
      <c r="C1677" s="4">
        <f t="shared" si="235"/>
        <v>1684</v>
      </c>
      <c r="D1677" s="4">
        <f>IF(B1677&gt;'Mortality Table'!$A$118,D1676,VLOOKUP(B1677,'Mortality Table'!$A$2:$B$118,2,FALSE))</f>
        <v>0.59733000000000003</v>
      </c>
      <c r="E1677" s="4">
        <f>IF(INT((C1677-1)/12)+1&gt;'Lapse Table'!$A$11,E1676,VLOOKUP(INT((C1677-1)/12)+1,'Lapse Table'!$A$2:$B$11,2,FALSE))/12</f>
        <v>0</v>
      </c>
      <c r="F1677" s="5">
        <f t="shared" si="242"/>
        <v>-56.766747365619906</v>
      </c>
      <c r="G1677" s="6">
        <f t="shared" si="236"/>
        <v>4.9777500000000002E-2</v>
      </c>
      <c r="H1677" s="6">
        <f t="shared" si="237"/>
        <v>0</v>
      </c>
      <c r="I1677" s="7">
        <f t="shared" si="238"/>
        <v>-1892.2249121873301</v>
      </c>
      <c r="J1677" s="8">
        <f t="shared" si="239"/>
        <v>49777.5</v>
      </c>
      <c r="K1677" s="7">
        <f t="shared" si="240"/>
        <v>-51669.724912187332</v>
      </c>
      <c r="L1677" s="4">
        <f>IF(A1677&gt;'Yield Curve'!A2291,L1676,(1+VLOOKUP(A1677,'Yield Curve'!A1670:B2292,2,FALSE))^(1/12)-1)</f>
        <v>7.9741404289037643E-3</v>
      </c>
      <c r="M1677" s="5">
        <f t="shared" si="241"/>
        <v>-9.0407304717208897E-2</v>
      </c>
    </row>
    <row r="1678" spans="1:13" x14ac:dyDescent="0.25">
      <c r="A1678" s="4">
        <v>1670</v>
      </c>
      <c r="B1678" s="4">
        <f t="shared" si="234"/>
        <v>184</v>
      </c>
      <c r="C1678" s="4">
        <f t="shared" si="235"/>
        <v>1685</v>
      </c>
      <c r="D1678" s="4">
        <f>IF(B1678&gt;'Mortality Table'!$A$118,D1677,VLOOKUP(B1678,'Mortality Table'!$A$2:$B$118,2,FALSE))</f>
        <v>0.59733000000000003</v>
      </c>
      <c r="E1678" s="4">
        <f>IF(INT((C1678-1)/12)+1&gt;'Lapse Table'!$A$11,E1677,VLOOKUP(INT((C1678-1)/12)+1,'Lapse Table'!$A$2:$B$11,2,FALSE))/12</f>
        <v>0</v>
      </c>
      <c r="F1678" s="5">
        <f t="shared" si="242"/>
        <v>-56.816524865619904</v>
      </c>
      <c r="G1678" s="6">
        <f t="shared" si="236"/>
        <v>4.9777500000000002E-2</v>
      </c>
      <c r="H1678" s="6">
        <f t="shared" si="237"/>
        <v>0</v>
      </c>
      <c r="I1678" s="7">
        <f t="shared" si="238"/>
        <v>-1893.88416218733</v>
      </c>
      <c r="J1678" s="8">
        <f t="shared" si="239"/>
        <v>49777.5</v>
      </c>
      <c r="K1678" s="7">
        <f t="shared" si="240"/>
        <v>-51671.384162187329</v>
      </c>
      <c r="L1678" s="4">
        <f>IF(A1678&gt;'Yield Curve'!A2292,L1677,(1+VLOOKUP(A1678,'Yield Curve'!A1671:B2293,2,FALSE))^(1/12)-1)</f>
        <v>7.9741404289037643E-3</v>
      </c>
      <c r="M1678" s="5">
        <f t="shared" si="241"/>
        <v>-8.9694967664286779E-2</v>
      </c>
    </row>
    <row r="1679" spans="1:13" x14ac:dyDescent="0.25">
      <c r="A1679" s="4">
        <v>1671</v>
      </c>
      <c r="B1679" s="4">
        <f t="shared" si="234"/>
        <v>184</v>
      </c>
      <c r="C1679" s="4">
        <f t="shared" si="235"/>
        <v>1686</v>
      </c>
      <c r="D1679" s="4">
        <f>IF(B1679&gt;'Mortality Table'!$A$118,D1678,VLOOKUP(B1679,'Mortality Table'!$A$2:$B$118,2,FALSE))</f>
        <v>0.59733000000000003</v>
      </c>
      <c r="E1679" s="4">
        <f>IF(INT((C1679-1)/12)+1&gt;'Lapse Table'!$A$11,E1678,VLOOKUP(INT((C1679-1)/12)+1,'Lapse Table'!$A$2:$B$11,2,FALSE))/12</f>
        <v>0</v>
      </c>
      <c r="F1679" s="5">
        <f t="shared" si="242"/>
        <v>-56.866302365619902</v>
      </c>
      <c r="G1679" s="6">
        <f t="shared" si="236"/>
        <v>4.9777500000000002E-2</v>
      </c>
      <c r="H1679" s="6">
        <f t="shared" si="237"/>
        <v>0</v>
      </c>
      <c r="I1679" s="7">
        <f t="shared" si="238"/>
        <v>-1895.5434121873302</v>
      </c>
      <c r="J1679" s="8">
        <f t="shared" si="239"/>
        <v>49777.5</v>
      </c>
      <c r="K1679" s="7">
        <f t="shared" si="240"/>
        <v>-51673.043412187333</v>
      </c>
      <c r="L1679" s="4">
        <f>IF(A1679&gt;'Yield Curve'!A2293,L1678,(1+VLOOKUP(A1679,'Yield Curve'!A1672:B2294,2,FALSE))^(1/12)-1)</f>
        <v>7.9741404289037643E-3</v>
      </c>
      <c r="M1679" s="5">
        <f t="shared" si="241"/>
        <v>-8.8988243164274242E-2</v>
      </c>
    </row>
    <row r="1680" spans="1:13" x14ac:dyDescent="0.25">
      <c r="A1680" s="4">
        <v>1672</v>
      </c>
      <c r="B1680" s="4">
        <f t="shared" si="234"/>
        <v>184</v>
      </c>
      <c r="C1680" s="4">
        <f t="shared" si="235"/>
        <v>1687</v>
      </c>
      <c r="D1680" s="4">
        <f>IF(B1680&gt;'Mortality Table'!$A$118,D1679,VLOOKUP(B1680,'Mortality Table'!$A$2:$B$118,2,FALSE))</f>
        <v>0.59733000000000003</v>
      </c>
      <c r="E1680" s="4">
        <f>IF(INT((C1680-1)/12)+1&gt;'Lapse Table'!$A$11,E1679,VLOOKUP(INT((C1680-1)/12)+1,'Lapse Table'!$A$2:$B$11,2,FALSE))/12</f>
        <v>0</v>
      </c>
      <c r="F1680" s="5">
        <f t="shared" si="242"/>
        <v>-56.916079865619899</v>
      </c>
      <c r="G1680" s="6">
        <f t="shared" si="236"/>
        <v>4.9777500000000002E-2</v>
      </c>
      <c r="H1680" s="6">
        <f t="shared" si="237"/>
        <v>0</v>
      </c>
      <c r="I1680" s="7">
        <f t="shared" si="238"/>
        <v>-1897.2026621873299</v>
      </c>
      <c r="J1680" s="8">
        <f t="shared" si="239"/>
        <v>49777.5</v>
      </c>
      <c r="K1680" s="7">
        <f t="shared" si="240"/>
        <v>-51674.70266218733</v>
      </c>
      <c r="L1680" s="4">
        <f>IF(A1680&gt;'Yield Curve'!A2294,L1679,(1+VLOOKUP(A1680,'Yield Curve'!A1673:B2295,2,FALSE))^(1/12)-1)</f>
        <v>7.9741404289037643E-3</v>
      </c>
      <c r="M1680" s="5">
        <f t="shared" si="241"/>
        <v>-8.8287086996207575E-2</v>
      </c>
    </row>
    <row r="1681" spans="1:13" x14ac:dyDescent="0.25">
      <c r="A1681" s="4">
        <v>1673</v>
      </c>
      <c r="B1681" s="4">
        <f t="shared" si="234"/>
        <v>184</v>
      </c>
      <c r="C1681" s="4">
        <f t="shared" si="235"/>
        <v>1688</v>
      </c>
      <c r="D1681" s="4">
        <f>IF(B1681&gt;'Mortality Table'!$A$118,D1680,VLOOKUP(B1681,'Mortality Table'!$A$2:$B$118,2,FALSE))</f>
        <v>0.59733000000000003</v>
      </c>
      <c r="E1681" s="4">
        <f>IF(INT((C1681-1)/12)+1&gt;'Lapse Table'!$A$11,E1680,VLOOKUP(INT((C1681-1)/12)+1,'Lapse Table'!$A$2:$B$11,2,FALSE))/12</f>
        <v>0</v>
      </c>
      <c r="F1681" s="5">
        <f t="shared" si="242"/>
        <v>-56.965857365619897</v>
      </c>
      <c r="G1681" s="6">
        <f t="shared" si="236"/>
        <v>4.9777500000000002E-2</v>
      </c>
      <c r="H1681" s="6">
        <f t="shared" si="237"/>
        <v>0</v>
      </c>
      <c r="I1681" s="7">
        <f t="shared" si="238"/>
        <v>-1898.8619121873298</v>
      </c>
      <c r="J1681" s="8">
        <f t="shared" si="239"/>
        <v>49777.5</v>
      </c>
      <c r="K1681" s="7">
        <f t="shared" si="240"/>
        <v>-51676.361912187327</v>
      </c>
      <c r="L1681" s="4">
        <f>IF(A1681&gt;'Yield Curve'!A2295,L1680,(1+VLOOKUP(A1681,'Yield Curve'!A1674:B2296,2,FALSE))^(1/12)-1)</f>
        <v>7.9741404289037643E-3</v>
      </c>
      <c r="M1681" s="5">
        <f t="shared" si="241"/>
        <v>-8.7591455287531594E-2</v>
      </c>
    </row>
    <row r="1682" spans="1:13" x14ac:dyDescent="0.25">
      <c r="A1682" s="4">
        <v>1674</v>
      </c>
      <c r="B1682" s="4">
        <f t="shared" si="234"/>
        <v>184</v>
      </c>
      <c r="C1682" s="4">
        <f t="shared" si="235"/>
        <v>1689</v>
      </c>
      <c r="D1682" s="4">
        <f>IF(B1682&gt;'Mortality Table'!$A$118,D1681,VLOOKUP(B1682,'Mortality Table'!$A$2:$B$118,2,FALSE))</f>
        <v>0.59733000000000003</v>
      </c>
      <c r="E1682" s="4">
        <f>IF(INT((C1682-1)/12)+1&gt;'Lapse Table'!$A$11,E1681,VLOOKUP(INT((C1682-1)/12)+1,'Lapse Table'!$A$2:$B$11,2,FALSE))/12</f>
        <v>0</v>
      </c>
      <c r="F1682" s="5">
        <f t="shared" si="242"/>
        <v>-57.015634865619894</v>
      </c>
      <c r="G1682" s="6">
        <f t="shared" si="236"/>
        <v>4.9777500000000002E-2</v>
      </c>
      <c r="H1682" s="6">
        <f t="shared" si="237"/>
        <v>0</v>
      </c>
      <c r="I1682" s="7">
        <f t="shared" si="238"/>
        <v>-1900.5211621873298</v>
      </c>
      <c r="J1682" s="8">
        <f t="shared" si="239"/>
        <v>49777.5</v>
      </c>
      <c r="K1682" s="7">
        <f t="shared" si="240"/>
        <v>-51678.021162187331</v>
      </c>
      <c r="L1682" s="4">
        <f>IF(A1682&gt;'Yield Curve'!A2296,L1681,(1+VLOOKUP(A1682,'Yield Curve'!A1675:B2297,2,FALSE))^(1/12)-1)</f>
        <v>7.9741404289037643E-3</v>
      </c>
      <c r="M1682" s="5">
        <f t="shared" si="241"/>
        <v>-8.6901304511354582E-2</v>
      </c>
    </row>
    <row r="1683" spans="1:13" x14ac:dyDescent="0.25">
      <c r="A1683" s="4">
        <v>1675</v>
      </c>
      <c r="B1683" s="4">
        <f t="shared" si="234"/>
        <v>184</v>
      </c>
      <c r="C1683" s="4">
        <f t="shared" si="235"/>
        <v>1690</v>
      </c>
      <c r="D1683" s="4">
        <f>IF(B1683&gt;'Mortality Table'!$A$118,D1682,VLOOKUP(B1683,'Mortality Table'!$A$2:$B$118,2,FALSE))</f>
        <v>0.59733000000000003</v>
      </c>
      <c r="E1683" s="4">
        <f>IF(INT((C1683-1)/12)+1&gt;'Lapse Table'!$A$11,E1682,VLOOKUP(INT((C1683-1)/12)+1,'Lapse Table'!$A$2:$B$11,2,FALSE))/12</f>
        <v>0</v>
      </c>
      <c r="F1683" s="5">
        <f t="shared" si="242"/>
        <v>-57.065412365619892</v>
      </c>
      <c r="G1683" s="6">
        <f t="shared" si="236"/>
        <v>4.9777500000000002E-2</v>
      </c>
      <c r="H1683" s="6">
        <f t="shared" si="237"/>
        <v>0</v>
      </c>
      <c r="I1683" s="7">
        <f t="shared" si="238"/>
        <v>-1902.1804121873299</v>
      </c>
      <c r="J1683" s="8">
        <f t="shared" si="239"/>
        <v>49777.5</v>
      </c>
      <c r="K1683" s="7">
        <f t="shared" si="240"/>
        <v>-51679.680412187328</v>
      </c>
      <c r="L1683" s="4">
        <f>IF(A1683&gt;'Yield Curve'!A2297,L1682,(1+VLOOKUP(A1683,'Yield Curve'!A1676:B2298,2,FALSE))^(1/12)-1)</f>
        <v>7.9741404289037643E-3</v>
      </c>
      <c r="M1683" s="5">
        <f t="shared" si="241"/>
        <v>-8.6216591483724958E-2</v>
      </c>
    </row>
    <row r="1684" spans="1:13" x14ac:dyDescent="0.25">
      <c r="A1684" s="4">
        <v>1676</v>
      </c>
      <c r="B1684" s="4">
        <f t="shared" si="234"/>
        <v>184</v>
      </c>
      <c r="C1684" s="4">
        <f t="shared" si="235"/>
        <v>1691</v>
      </c>
      <c r="D1684" s="4">
        <f>IF(B1684&gt;'Mortality Table'!$A$118,D1683,VLOOKUP(B1684,'Mortality Table'!$A$2:$B$118,2,FALSE))</f>
        <v>0.59733000000000003</v>
      </c>
      <c r="E1684" s="4">
        <f>IF(INT((C1684-1)/12)+1&gt;'Lapse Table'!$A$11,E1683,VLOOKUP(INT((C1684-1)/12)+1,'Lapse Table'!$A$2:$B$11,2,FALSE))/12</f>
        <v>0</v>
      </c>
      <c r="F1684" s="5">
        <f t="shared" si="242"/>
        <v>-57.11518986561989</v>
      </c>
      <c r="G1684" s="6">
        <f t="shared" si="236"/>
        <v>4.9777500000000002E-2</v>
      </c>
      <c r="H1684" s="6">
        <f t="shared" si="237"/>
        <v>0</v>
      </c>
      <c r="I1684" s="7">
        <f t="shared" si="238"/>
        <v>-1903.8396621873296</v>
      </c>
      <c r="J1684" s="8">
        <f t="shared" si="239"/>
        <v>49777.5</v>
      </c>
      <c r="K1684" s="7">
        <f t="shared" si="240"/>
        <v>-51681.339662187333</v>
      </c>
      <c r="L1684" s="4">
        <f>IF(A1684&gt;'Yield Curve'!A2298,L1683,(1+VLOOKUP(A1684,'Yield Curve'!A1677:B2299,2,FALSE))^(1/12)-1)</f>
        <v>7.9741404289037643E-3</v>
      </c>
      <c r="M1684" s="5">
        <f t="shared" si="241"/>
        <v>-8.5537273360929311E-2</v>
      </c>
    </row>
    <row r="1685" spans="1:13" x14ac:dyDescent="0.25">
      <c r="A1685" s="4">
        <v>1677</v>
      </c>
      <c r="B1685" s="4">
        <f t="shared" si="234"/>
        <v>184</v>
      </c>
      <c r="C1685" s="4">
        <f t="shared" si="235"/>
        <v>1692</v>
      </c>
      <c r="D1685" s="4">
        <f>IF(B1685&gt;'Mortality Table'!$A$118,D1684,VLOOKUP(B1685,'Mortality Table'!$A$2:$B$118,2,FALSE))</f>
        <v>0.59733000000000003</v>
      </c>
      <c r="E1685" s="4">
        <f>IF(INT((C1685-1)/12)+1&gt;'Lapse Table'!$A$11,E1684,VLOOKUP(INT((C1685-1)/12)+1,'Lapse Table'!$A$2:$B$11,2,FALSE))/12</f>
        <v>0</v>
      </c>
      <c r="F1685" s="5">
        <f t="shared" si="242"/>
        <v>-57.164967365619887</v>
      </c>
      <c r="G1685" s="6">
        <f t="shared" si="236"/>
        <v>4.9777500000000002E-2</v>
      </c>
      <c r="H1685" s="6">
        <f t="shared" si="237"/>
        <v>0</v>
      </c>
      <c r="I1685" s="7">
        <f t="shared" si="238"/>
        <v>-1905.4989121873296</v>
      </c>
      <c r="J1685" s="8">
        <f t="shared" si="239"/>
        <v>49777.5</v>
      </c>
      <c r="K1685" s="7">
        <f t="shared" si="240"/>
        <v>-51682.99891218733</v>
      </c>
      <c r="L1685" s="4">
        <f>IF(A1685&gt;'Yield Curve'!A2299,L1684,(1+VLOOKUP(A1685,'Yield Curve'!A1678:B2300,2,FALSE))^(1/12)-1)</f>
        <v>7.9741404289037643E-3</v>
      </c>
      <c r="M1685" s="5">
        <f t="shared" si="241"/>
        <v>-8.4863307636811922E-2</v>
      </c>
    </row>
    <row r="1686" spans="1:13" x14ac:dyDescent="0.25">
      <c r="A1686" s="4">
        <v>1678</v>
      </c>
      <c r="B1686" s="4">
        <f t="shared" si="234"/>
        <v>184</v>
      </c>
      <c r="C1686" s="4">
        <f t="shared" si="235"/>
        <v>1693</v>
      </c>
      <c r="D1686" s="4">
        <f>IF(B1686&gt;'Mortality Table'!$A$118,D1685,VLOOKUP(B1686,'Mortality Table'!$A$2:$B$118,2,FALSE))</f>
        <v>0.59733000000000003</v>
      </c>
      <c r="E1686" s="4">
        <f>IF(INT((C1686-1)/12)+1&gt;'Lapse Table'!$A$11,E1685,VLOOKUP(INT((C1686-1)/12)+1,'Lapse Table'!$A$2:$B$11,2,FALSE))/12</f>
        <v>0</v>
      </c>
      <c r="F1686" s="5">
        <f t="shared" si="242"/>
        <v>-57.214744865619885</v>
      </c>
      <c r="G1686" s="6">
        <f t="shared" si="236"/>
        <v>4.9777500000000002E-2</v>
      </c>
      <c r="H1686" s="6">
        <f t="shared" si="237"/>
        <v>0</v>
      </c>
      <c r="I1686" s="7">
        <f t="shared" si="238"/>
        <v>-1907.1581621873295</v>
      </c>
      <c r="J1686" s="8">
        <f t="shared" si="239"/>
        <v>49777.5</v>
      </c>
      <c r="K1686" s="7">
        <f t="shared" si="240"/>
        <v>-51684.658162187327</v>
      </c>
      <c r="L1686" s="4">
        <f>IF(A1686&gt;'Yield Curve'!A2300,L1685,(1+VLOOKUP(A1686,'Yield Curve'!A1679:B2301,2,FALSE))^(1/12)-1)</f>
        <v>7.9741404289037643E-3</v>
      </c>
      <c r="M1686" s="5">
        <f t="shared" si="241"/>
        <v>-8.4194652140115053E-2</v>
      </c>
    </row>
    <row r="1687" spans="1:13" x14ac:dyDescent="0.25">
      <c r="A1687" s="4">
        <v>1679</v>
      </c>
      <c r="B1687" s="4">
        <f t="shared" si="234"/>
        <v>184</v>
      </c>
      <c r="C1687" s="4">
        <f t="shared" si="235"/>
        <v>1694</v>
      </c>
      <c r="D1687" s="4">
        <f>IF(B1687&gt;'Mortality Table'!$A$118,D1686,VLOOKUP(B1687,'Mortality Table'!$A$2:$B$118,2,FALSE))</f>
        <v>0.59733000000000003</v>
      </c>
      <c r="E1687" s="4">
        <f>IF(INT((C1687-1)/12)+1&gt;'Lapse Table'!$A$11,E1686,VLOOKUP(INT((C1687-1)/12)+1,'Lapse Table'!$A$2:$B$11,2,FALSE))/12</f>
        <v>0</v>
      </c>
      <c r="F1687" s="5">
        <f t="shared" si="242"/>
        <v>-57.264522365619882</v>
      </c>
      <c r="G1687" s="6">
        <f t="shared" si="236"/>
        <v>4.9777500000000002E-2</v>
      </c>
      <c r="H1687" s="6">
        <f t="shared" si="237"/>
        <v>0</v>
      </c>
      <c r="I1687" s="7">
        <f t="shared" si="238"/>
        <v>-1908.8174121873296</v>
      </c>
      <c r="J1687" s="8">
        <f t="shared" si="239"/>
        <v>49777.5</v>
      </c>
      <c r="K1687" s="7">
        <f t="shared" si="240"/>
        <v>-51686.317412187331</v>
      </c>
      <c r="L1687" s="4">
        <f>IF(A1687&gt;'Yield Curve'!A2301,L1686,(1+VLOOKUP(A1687,'Yield Curve'!A1680:B2302,2,FALSE))^(1/12)-1)</f>
        <v>7.9741404289037643E-3</v>
      </c>
      <c r="M1687" s="5">
        <f t="shared" si="241"/>
        <v>-8.3531265031840538E-2</v>
      </c>
    </row>
    <row r="1688" spans="1:13" x14ac:dyDescent="0.25">
      <c r="A1688" s="4">
        <v>1680</v>
      </c>
      <c r="B1688" s="4">
        <f t="shared" si="234"/>
        <v>185</v>
      </c>
      <c r="C1688" s="4">
        <f t="shared" si="235"/>
        <v>1695</v>
      </c>
      <c r="D1688" s="4">
        <f>IF(B1688&gt;'Mortality Table'!$A$118,D1687,VLOOKUP(B1688,'Mortality Table'!$A$2:$B$118,2,FALSE))</f>
        <v>0.59733000000000003</v>
      </c>
      <c r="E1688" s="4">
        <f>IF(INT((C1688-1)/12)+1&gt;'Lapse Table'!$A$11,E1687,VLOOKUP(INT((C1688-1)/12)+1,'Lapse Table'!$A$2:$B$11,2,FALSE))/12</f>
        <v>0</v>
      </c>
      <c r="F1688" s="5">
        <f t="shared" si="242"/>
        <v>-57.31429986561988</v>
      </c>
      <c r="G1688" s="6">
        <f t="shared" si="236"/>
        <v>4.9777500000000002E-2</v>
      </c>
      <c r="H1688" s="6">
        <f t="shared" si="237"/>
        <v>0</v>
      </c>
      <c r="I1688" s="7">
        <f t="shared" si="238"/>
        <v>-1910.4766621873293</v>
      </c>
      <c r="J1688" s="8">
        <f t="shared" si="239"/>
        <v>49777.5</v>
      </c>
      <c r="K1688" s="7">
        <f t="shared" si="240"/>
        <v>-51687.976662187328</v>
      </c>
      <c r="L1688" s="4">
        <f>IF(A1688&gt;'Yield Curve'!A2302,L1687,(1+VLOOKUP(A1688,'Yield Curve'!A1681:B2303,2,FALSE))^(1/12)-1)</f>
        <v>7.9741404289037643E-3</v>
      </c>
      <c r="M1688" s="5">
        <f t="shared" si="241"/>
        <v>-8.2873104802631908E-2</v>
      </c>
    </row>
    <row r="1689" spans="1:13" x14ac:dyDescent="0.25">
      <c r="A1689" s="4">
        <v>1681</v>
      </c>
      <c r="B1689" s="4">
        <f t="shared" si="234"/>
        <v>185</v>
      </c>
      <c r="C1689" s="4">
        <f t="shared" si="235"/>
        <v>1696</v>
      </c>
      <c r="D1689" s="4">
        <f>IF(B1689&gt;'Mortality Table'!$A$118,D1688,VLOOKUP(B1689,'Mortality Table'!$A$2:$B$118,2,FALSE))</f>
        <v>0.59733000000000003</v>
      </c>
      <c r="E1689" s="4">
        <f>IF(INT((C1689-1)/12)+1&gt;'Lapse Table'!$A$11,E1688,VLOOKUP(INT((C1689-1)/12)+1,'Lapse Table'!$A$2:$B$11,2,FALSE))/12</f>
        <v>0</v>
      </c>
      <c r="F1689" s="5">
        <f t="shared" si="242"/>
        <v>-57.364077365619877</v>
      </c>
      <c r="G1689" s="6">
        <f t="shared" si="236"/>
        <v>4.9777500000000002E-2</v>
      </c>
      <c r="H1689" s="6">
        <f t="shared" si="237"/>
        <v>0</v>
      </c>
      <c r="I1689" s="7">
        <f t="shared" si="238"/>
        <v>-1912.1359121873293</v>
      </c>
      <c r="J1689" s="8">
        <f t="shared" si="239"/>
        <v>49777.5</v>
      </c>
      <c r="K1689" s="7">
        <f t="shared" si="240"/>
        <v>-51689.635912187332</v>
      </c>
      <c r="L1689" s="4">
        <f>IF(A1689&gt;'Yield Curve'!A2303,L1688,(1+VLOOKUP(A1689,'Yield Curve'!A1682:B2304,2,FALSE))^(1/12)-1)</f>
        <v>7.9741404289037643E-3</v>
      </c>
      <c r="M1689" s="5">
        <f t="shared" si="241"/>
        <v>-8.2220130270177438E-2</v>
      </c>
    </row>
    <row r="1690" spans="1:13" x14ac:dyDescent="0.25">
      <c r="A1690" s="4">
        <v>1682</v>
      </c>
      <c r="B1690" s="4">
        <f t="shared" si="234"/>
        <v>185</v>
      </c>
      <c r="C1690" s="4">
        <f t="shared" si="235"/>
        <v>1697</v>
      </c>
      <c r="D1690" s="4">
        <f>IF(B1690&gt;'Mortality Table'!$A$118,D1689,VLOOKUP(B1690,'Mortality Table'!$A$2:$B$118,2,FALSE))</f>
        <v>0.59733000000000003</v>
      </c>
      <c r="E1690" s="4">
        <f>IF(INT((C1690-1)/12)+1&gt;'Lapse Table'!$A$11,E1689,VLOOKUP(INT((C1690-1)/12)+1,'Lapse Table'!$A$2:$B$11,2,FALSE))/12</f>
        <v>0</v>
      </c>
      <c r="F1690" s="5">
        <f t="shared" si="242"/>
        <v>-57.413854865619875</v>
      </c>
      <c r="G1690" s="6">
        <f t="shared" si="236"/>
        <v>4.9777500000000002E-2</v>
      </c>
      <c r="H1690" s="6">
        <f t="shared" si="237"/>
        <v>0</v>
      </c>
      <c r="I1690" s="7">
        <f t="shared" si="238"/>
        <v>-1913.7951621873292</v>
      </c>
      <c r="J1690" s="8">
        <f t="shared" si="239"/>
        <v>49777.5</v>
      </c>
      <c r="K1690" s="7">
        <f t="shared" si="240"/>
        <v>-51691.295162187329</v>
      </c>
      <c r="L1690" s="4">
        <f>IF(A1690&gt;'Yield Curve'!A2304,L1689,(1+VLOOKUP(A1690,'Yield Curve'!A1683:B2305,2,FALSE))^(1/12)-1)</f>
        <v>7.9741404289037643E-3</v>
      </c>
      <c r="M1690" s="5">
        <f t="shared" si="241"/>
        <v>-8.1572300576633228E-2</v>
      </c>
    </row>
    <row r="1691" spans="1:13" x14ac:dyDescent="0.25">
      <c r="A1691" s="4">
        <v>1683</v>
      </c>
      <c r="B1691" s="4">
        <f t="shared" si="234"/>
        <v>185</v>
      </c>
      <c r="C1691" s="4">
        <f t="shared" si="235"/>
        <v>1698</v>
      </c>
      <c r="D1691" s="4">
        <f>IF(B1691&gt;'Mortality Table'!$A$118,D1690,VLOOKUP(B1691,'Mortality Table'!$A$2:$B$118,2,FALSE))</f>
        <v>0.59733000000000003</v>
      </c>
      <c r="E1691" s="4">
        <f>IF(INT((C1691-1)/12)+1&gt;'Lapse Table'!$A$11,E1690,VLOOKUP(INT((C1691-1)/12)+1,'Lapse Table'!$A$2:$B$11,2,FALSE))/12</f>
        <v>0</v>
      </c>
      <c r="F1691" s="5">
        <f t="shared" si="242"/>
        <v>-57.463632365619873</v>
      </c>
      <c r="G1691" s="6">
        <f t="shared" si="236"/>
        <v>4.9777500000000002E-2</v>
      </c>
      <c r="H1691" s="6">
        <f t="shared" si="237"/>
        <v>0</v>
      </c>
      <c r="I1691" s="7">
        <f t="shared" si="238"/>
        <v>-1915.4544121873289</v>
      </c>
      <c r="J1691" s="8">
        <f t="shared" si="239"/>
        <v>49777.5</v>
      </c>
      <c r="K1691" s="7">
        <f t="shared" si="240"/>
        <v>-51692.954412187326</v>
      </c>
      <c r="L1691" s="4">
        <f>IF(A1691&gt;'Yield Curve'!A2305,L1690,(1+VLOOKUP(A1691,'Yield Curve'!A1684:B2306,2,FALSE))^(1/12)-1)</f>
        <v>7.9741404289037643E-3</v>
      </c>
      <c r="M1691" s="5">
        <f t="shared" si="241"/>
        <v>-8.0929575186066929E-2</v>
      </c>
    </row>
    <row r="1692" spans="1:13" x14ac:dyDescent="0.25">
      <c r="A1692" s="4">
        <v>1684</v>
      </c>
      <c r="B1692" s="4">
        <f t="shared" si="234"/>
        <v>185</v>
      </c>
      <c r="C1692" s="4">
        <f t="shared" si="235"/>
        <v>1699</v>
      </c>
      <c r="D1692" s="4">
        <f>IF(B1692&gt;'Mortality Table'!$A$118,D1691,VLOOKUP(B1692,'Mortality Table'!$A$2:$B$118,2,FALSE))</f>
        <v>0.59733000000000003</v>
      </c>
      <c r="E1692" s="4">
        <f>IF(INT((C1692-1)/12)+1&gt;'Lapse Table'!$A$11,E1691,VLOOKUP(INT((C1692-1)/12)+1,'Lapse Table'!$A$2:$B$11,2,FALSE))/12</f>
        <v>0</v>
      </c>
      <c r="F1692" s="5">
        <f t="shared" si="242"/>
        <v>-57.51340986561987</v>
      </c>
      <c r="G1692" s="6">
        <f t="shared" si="236"/>
        <v>4.9777500000000002E-2</v>
      </c>
      <c r="H1692" s="6">
        <f t="shared" si="237"/>
        <v>0</v>
      </c>
      <c r="I1692" s="7">
        <f t="shared" si="238"/>
        <v>-1917.1136621873291</v>
      </c>
      <c r="J1692" s="8">
        <f t="shared" si="239"/>
        <v>49777.5</v>
      </c>
      <c r="K1692" s="7">
        <f t="shared" si="240"/>
        <v>-51694.61366218733</v>
      </c>
      <c r="L1692" s="4">
        <f>IF(A1692&gt;'Yield Curve'!A2306,L1691,(1+VLOOKUP(A1692,'Yield Curve'!A1685:B2307,2,FALSE))^(1/12)-1)</f>
        <v>7.9741404289037643E-3</v>
      </c>
      <c r="M1692" s="5">
        <f t="shared" si="241"/>
        <v>-8.0291913881921542E-2</v>
      </c>
    </row>
    <row r="1693" spans="1:13" x14ac:dyDescent="0.25">
      <c r="A1693" s="4">
        <v>1685</v>
      </c>
      <c r="B1693" s="4">
        <f t="shared" si="234"/>
        <v>185</v>
      </c>
      <c r="C1693" s="4">
        <f t="shared" si="235"/>
        <v>1700</v>
      </c>
      <c r="D1693" s="4">
        <f>IF(B1693&gt;'Mortality Table'!$A$118,D1692,VLOOKUP(B1693,'Mortality Table'!$A$2:$B$118,2,FALSE))</f>
        <v>0.59733000000000003</v>
      </c>
      <c r="E1693" s="4">
        <f>IF(INT((C1693-1)/12)+1&gt;'Lapse Table'!$A$11,E1692,VLOOKUP(INT((C1693-1)/12)+1,'Lapse Table'!$A$2:$B$11,2,FALSE))/12</f>
        <v>0</v>
      </c>
      <c r="F1693" s="5">
        <f t="shared" si="242"/>
        <v>-57.563187365619868</v>
      </c>
      <c r="G1693" s="6">
        <f t="shared" si="236"/>
        <v>4.9777500000000002E-2</v>
      </c>
      <c r="H1693" s="6">
        <f t="shared" si="237"/>
        <v>0</v>
      </c>
      <c r="I1693" s="7">
        <f t="shared" si="238"/>
        <v>-1918.772912187329</v>
      </c>
      <c r="J1693" s="8">
        <f t="shared" si="239"/>
        <v>49777.5</v>
      </c>
      <c r="K1693" s="7">
        <f t="shared" si="240"/>
        <v>-51696.272912187327</v>
      </c>
      <c r="L1693" s="4">
        <f>IF(A1693&gt;'Yield Curve'!A2307,L1692,(1+VLOOKUP(A1693,'Yield Curve'!A1686:B2308,2,FALSE))^(1/12)-1)</f>
        <v>7.9741404289037643E-3</v>
      </c>
      <c r="M1693" s="5">
        <f t="shared" si="241"/>
        <v>-7.9659276764499076E-2</v>
      </c>
    </row>
    <row r="1694" spans="1:13" x14ac:dyDescent="0.25">
      <c r="A1694" s="4">
        <v>1686</v>
      </c>
      <c r="B1694" s="4">
        <f t="shared" si="234"/>
        <v>185</v>
      </c>
      <c r="C1694" s="4">
        <f t="shared" si="235"/>
        <v>1701</v>
      </c>
      <c r="D1694" s="4">
        <f>IF(B1694&gt;'Mortality Table'!$A$118,D1693,VLOOKUP(B1694,'Mortality Table'!$A$2:$B$118,2,FALSE))</f>
        <v>0.59733000000000003</v>
      </c>
      <c r="E1694" s="4">
        <f>IF(INT((C1694-1)/12)+1&gt;'Lapse Table'!$A$11,E1693,VLOOKUP(INT((C1694-1)/12)+1,'Lapse Table'!$A$2:$B$11,2,FALSE))/12</f>
        <v>0</v>
      </c>
      <c r="F1694" s="5">
        <f t="shared" si="242"/>
        <v>-57.612964865619865</v>
      </c>
      <c r="G1694" s="6">
        <f t="shared" si="236"/>
        <v>4.9777500000000002E-2</v>
      </c>
      <c r="H1694" s="6">
        <f t="shared" si="237"/>
        <v>0</v>
      </c>
      <c r="I1694" s="7">
        <f t="shared" si="238"/>
        <v>-1920.4321621873289</v>
      </c>
      <c r="J1694" s="8">
        <f t="shared" si="239"/>
        <v>49777.5</v>
      </c>
      <c r="K1694" s="7">
        <f t="shared" si="240"/>
        <v>-51697.932162187331</v>
      </c>
      <c r="L1694" s="4">
        <f>IF(A1694&gt;'Yield Curve'!A2308,L1693,(1+VLOOKUP(A1694,'Yield Curve'!A1687:B2309,2,FALSE))^(1/12)-1)</f>
        <v>7.9741404289037643E-3</v>
      </c>
      <c r="M1694" s="5">
        <f t="shared" si="241"/>
        <v>-7.9031624248464272E-2</v>
      </c>
    </row>
    <row r="1695" spans="1:13" x14ac:dyDescent="0.25">
      <c r="A1695" s="4">
        <v>1687</v>
      </c>
      <c r="B1695" s="4">
        <f t="shared" si="234"/>
        <v>185</v>
      </c>
      <c r="C1695" s="4">
        <f t="shared" si="235"/>
        <v>1702</v>
      </c>
      <c r="D1695" s="4">
        <f>IF(B1695&gt;'Mortality Table'!$A$118,D1694,VLOOKUP(B1695,'Mortality Table'!$A$2:$B$118,2,FALSE))</f>
        <v>0.59733000000000003</v>
      </c>
      <c r="E1695" s="4">
        <f>IF(INT((C1695-1)/12)+1&gt;'Lapse Table'!$A$11,E1694,VLOOKUP(INT((C1695-1)/12)+1,'Lapse Table'!$A$2:$B$11,2,FALSE))/12</f>
        <v>0</v>
      </c>
      <c r="F1695" s="5">
        <f t="shared" si="242"/>
        <v>-57.662742365619863</v>
      </c>
      <c r="G1695" s="6">
        <f t="shared" si="236"/>
        <v>4.9777500000000002E-2</v>
      </c>
      <c r="H1695" s="6">
        <f t="shared" si="237"/>
        <v>0</v>
      </c>
      <c r="I1695" s="7">
        <f t="shared" si="238"/>
        <v>-1922.0914121873286</v>
      </c>
      <c r="J1695" s="8">
        <f t="shared" si="239"/>
        <v>49777.5</v>
      </c>
      <c r="K1695" s="7">
        <f t="shared" si="240"/>
        <v>-51699.591412187328</v>
      </c>
      <c r="L1695" s="4">
        <f>IF(A1695&gt;'Yield Curve'!A2309,L1694,(1+VLOOKUP(A1695,'Yield Curve'!A1688:B2310,2,FALSE))^(1/12)-1)</f>
        <v>7.9741404289037643E-3</v>
      </c>
      <c r="M1695" s="5">
        <f t="shared" si="241"/>
        <v>-7.8408917060367553E-2</v>
      </c>
    </row>
    <row r="1696" spans="1:13" x14ac:dyDescent="0.25">
      <c r="A1696" s="4">
        <v>1688</v>
      </c>
      <c r="B1696" s="4">
        <f t="shared" si="234"/>
        <v>185</v>
      </c>
      <c r="C1696" s="4">
        <f t="shared" si="235"/>
        <v>1703</v>
      </c>
      <c r="D1696" s="4">
        <f>IF(B1696&gt;'Mortality Table'!$A$118,D1695,VLOOKUP(B1696,'Mortality Table'!$A$2:$B$118,2,FALSE))</f>
        <v>0.59733000000000003</v>
      </c>
      <c r="E1696" s="4">
        <f>IF(INT((C1696-1)/12)+1&gt;'Lapse Table'!$A$11,E1695,VLOOKUP(INT((C1696-1)/12)+1,'Lapse Table'!$A$2:$B$11,2,FALSE))/12</f>
        <v>0</v>
      </c>
      <c r="F1696" s="5">
        <f t="shared" si="242"/>
        <v>-57.712519865619861</v>
      </c>
      <c r="G1696" s="6">
        <f t="shared" si="236"/>
        <v>4.9777500000000002E-2</v>
      </c>
      <c r="H1696" s="6">
        <f t="shared" si="237"/>
        <v>0</v>
      </c>
      <c r="I1696" s="7">
        <f t="shared" si="238"/>
        <v>-1923.7506621873288</v>
      </c>
      <c r="J1696" s="8">
        <f t="shared" si="239"/>
        <v>49777.5</v>
      </c>
      <c r="K1696" s="7">
        <f t="shared" si="240"/>
        <v>-51701.250662187325</v>
      </c>
      <c r="L1696" s="4">
        <f>IF(A1696&gt;'Yield Curve'!A2310,L1695,(1+VLOOKUP(A1696,'Yield Curve'!A1689:B2311,2,FALSE))^(1/12)-1)</f>
        <v>7.9741404289037643E-3</v>
      </c>
      <c r="M1696" s="5">
        <f t="shared" si="241"/>
        <v>-7.7791116236188049E-2</v>
      </c>
    </row>
    <row r="1697" spans="1:13" x14ac:dyDescent="0.25">
      <c r="A1697" s="4">
        <v>1689</v>
      </c>
      <c r="B1697" s="4">
        <f t="shared" si="234"/>
        <v>185</v>
      </c>
      <c r="C1697" s="4">
        <f t="shared" si="235"/>
        <v>1704</v>
      </c>
      <c r="D1697" s="4">
        <f>IF(B1697&gt;'Mortality Table'!$A$118,D1696,VLOOKUP(B1697,'Mortality Table'!$A$2:$B$118,2,FALSE))</f>
        <v>0.59733000000000003</v>
      </c>
      <c r="E1697" s="4">
        <f>IF(INT((C1697-1)/12)+1&gt;'Lapse Table'!$A$11,E1696,VLOOKUP(INT((C1697-1)/12)+1,'Lapse Table'!$A$2:$B$11,2,FALSE))/12</f>
        <v>0</v>
      </c>
      <c r="F1697" s="5">
        <f t="shared" si="242"/>
        <v>-57.762297365619858</v>
      </c>
      <c r="G1697" s="6">
        <f t="shared" si="236"/>
        <v>4.9777500000000002E-2</v>
      </c>
      <c r="H1697" s="6">
        <f t="shared" si="237"/>
        <v>0</v>
      </c>
      <c r="I1697" s="7">
        <f t="shared" si="238"/>
        <v>-1925.4099121873287</v>
      </c>
      <c r="J1697" s="8">
        <f t="shared" si="239"/>
        <v>49777.5</v>
      </c>
      <c r="K1697" s="7">
        <f t="shared" si="240"/>
        <v>-51702.90991218733</v>
      </c>
      <c r="L1697" s="4">
        <f>IF(A1697&gt;'Yield Curve'!A2311,L1696,(1+VLOOKUP(A1697,'Yield Curve'!A1690:B2312,2,FALSE))^(1/12)-1)</f>
        <v>7.9741404289037643E-3</v>
      </c>
      <c r="M1697" s="5">
        <f t="shared" si="241"/>
        <v>-7.7178183118895613E-2</v>
      </c>
    </row>
    <row r="1698" spans="1:13" x14ac:dyDescent="0.25">
      <c r="A1698" s="4">
        <v>1690</v>
      </c>
      <c r="B1698" s="4">
        <f t="shared" si="234"/>
        <v>185</v>
      </c>
      <c r="C1698" s="4">
        <f t="shared" si="235"/>
        <v>1705</v>
      </c>
      <c r="D1698" s="4">
        <f>IF(B1698&gt;'Mortality Table'!$A$118,D1697,VLOOKUP(B1698,'Mortality Table'!$A$2:$B$118,2,FALSE))</f>
        <v>0.59733000000000003</v>
      </c>
      <c r="E1698" s="4">
        <f>IF(INT((C1698-1)/12)+1&gt;'Lapse Table'!$A$11,E1697,VLOOKUP(INT((C1698-1)/12)+1,'Lapse Table'!$A$2:$B$11,2,FALSE))/12</f>
        <v>0</v>
      </c>
      <c r="F1698" s="5">
        <f t="shared" si="242"/>
        <v>-57.812074865619856</v>
      </c>
      <c r="G1698" s="6">
        <f t="shared" si="236"/>
        <v>4.9777500000000002E-2</v>
      </c>
      <c r="H1698" s="6">
        <f t="shared" si="237"/>
        <v>0</v>
      </c>
      <c r="I1698" s="7">
        <f t="shared" si="238"/>
        <v>-1927.0691621873284</v>
      </c>
      <c r="J1698" s="8">
        <f t="shared" si="239"/>
        <v>49777.5</v>
      </c>
      <c r="K1698" s="7">
        <f t="shared" si="240"/>
        <v>-51704.569162187327</v>
      </c>
      <c r="L1698" s="4">
        <f>IF(A1698&gt;'Yield Curve'!A2312,L1697,(1+VLOOKUP(A1698,'Yield Curve'!A1691:B2313,2,FALSE))^(1/12)-1)</f>
        <v>7.9741404289037643E-3</v>
      </c>
      <c r="M1698" s="5">
        <f t="shared" si="241"/>
        <v>-7.6570079356032036E-2</v>
      </c>
    </row>
    <row r="1699" spans="1:13" x14ac:dyDescent="0.25">
      <c r="A1699" s="4">
        <v>1691</v>
      </c>
      <c r="B1699" s="4">
        <f t="shared" si="234"/>
        <v>185</v>
      </c>
      <c r="C1699" s="4">
        <f t="shared" si="235"/>
        <v>1706</v>
      </c>
      <c r="D1699" s="4">
        <f>IF(B1699&gt;'Mortality Table'!$A$118,D1698,VLOOKUP(B1699,'Mortality Table'!$A$2:$B$118,2,FALSE))</f>
        <v>0.59733000000000003</v>
      </c>
      <c r="E1699" s="4">
        <f>IF(INT((C1699-1)/12)+1&gt;'Lapse Table'!$A$11,E1698,VLOOKUP(INT((C1699-1)/12)+1,'Lapse Table'!$A$2:$B$11,2,FALSE))/12</f>
        <v>0</v>
      </c>
      <c r="F1699" s="5">
        <f t="shared" si="242"/>
        <v>-57.861852365619853</v>
      </c>
      <c r="G1699" s="6">
        <f t="shared" si="236"/>
        <v>4.9777500000000002E-2</v>
      </c>
      <c r="H1699" s="6">
        <f t="shared" si="237"/>
        <v>0</v>
      </c>
      <c r="I1699" s="7">
        <f t="shared" si="238"/>
        <v>-1928.7284121873283</v>
      </c>
      <c r="J1699" s="8">
        <f t="shared" si="239"/>
        <v>49777.5</v>
      </c>
      <c r="K1699" s="7">
        <f t="shared" si="240"/>
        <v>-51706.228412187331</v>
      </c>
      <c r="L1699" s="4">
        <f>IF(A1699&gt;'Yield Curve'!A2313,L1698,(1+VLOOKUP(A1699,'Yield Curve'!A1692:B2314,2,FALSE))^(1/12)-1)</f>
        <v>7.9741404289037643E-3</v>
      </c>
      <c r="M1699" s="5">
        <f t="shared" si="241"/>
        <v>-7.5966766897311591E-2</v>
      </c>
    </row>
    <row r="1700" spans="1:13" x14ac:dyDescent="0.25">
      <c r="A1700" s="4">
        <v>1692</v>
      </c>
      <c r="B1700" s="4">
        <f t="shared" si="234"/>
        <v>186</v>
      </c>
      <c r="C1700" s="4">
        <f t="shared" si="235"/>
        <v>1707</v>
      </c>
      <c r="D1700" s="4">
        <f>IF(B1700&gt;'Mortality Table'!$A$118,D1699,VLOOKUP(B1700,'Mortality Table'!$A$2:$B$118,2,FALSE))</f>
        <v>0.59733000000000003</v>
      </c>
      <c r="E1700" s="4">
        <f>IF(INT((C1700-1)/12)+1&gt;'Lapse Table'!$A$11,E1699,VLOOKUP(INT((C1700-1)/12)+1,'Lapse Table'!$A$2:$B$11,2,FALSE))/12</f>
        <v>0</v>
      </c>
      <c r="F1700" s="5">
        <f t="shared" si="242"/>
        <v>-57.911629865619851</v>
      </c>
      <c r="G1700" s="6">
        <f t="shared" si="236"/>
        <v>4.9777500000000002E-2</v>
      </c>
      <c r="H1700" s="6">
        <f t="shared" si="237"/>
        <v>0</v>
      </c>
      <c r="I1700" s="7">
        <f t="shared" si="238"/>
        <v>-1930.3876621873285</v>
      </c>
      <c r="J1700" s="8">
        <f t="shared" si="239"/>
        <v>49777.5</v>
      </c>
      <c r="K1700" s="7">
        <f t="shared" si="240"/>
        <v>-51707.887662187328</v>
      </c>
      <c r="L1700" s="4">
        <f>IF(A1700&gt;'Yield Curve'!A2314,L1699,(1+VLOOKUP(A1700,'Yield Curve'!A1693:B2315,2,FALSE))^(1/12)-1)</f>
        <v>7.9741404289037643E-3</v>
      </c>
      <c r="M1700" s="5">
        <f t="shared" si="241"/>
        <v>-7.536820799224013E-2</v>
      </c>
    </row>
    <row r="1701" spans="1:13" x14ac:dyDescent="0.25">
      <c r="A1701" s="4">
        <v>1693</v>
      </c>
      <c r="B1701" s="4">
        <f t="shared" si="234"/>
        <v>186</v>
      </c>
      <c r="C1701" s="4">
        <f t="shared" si="235"/>
        <v>1708</v>
      </c>
      <c r="D1701" s="4">
        <f>IF(B1701&gt;'Mortality Table'!$A$118,D1700,VLOOKUP(B1701,'Mortality Table'!$A$2:$B$118,2,FALSE))</f>
        <v>0.59733000000000003</v>
      </c>
      <c r="E1701" s="4">
        <f>IF(INT((C1701-1)/12)+1&gt;'Lapse Table'!$A$11,E1700,VLOOKUP(INT((C1701-1)/12)+1,'Lapse Table'!$A$2:$B$11,2,FALSE))/12</f>
        <v>0</v>
      </c>
      <c r="F1701" s="5">
        <f t="shared" si="242"/>
        <v>-57.961407365619849</v>
      </c>
      <c r="G1701" s="6">
        <f t="shared" si="236"/>
        <v>4.9777500000000002E-2</v>
      </c>
      <c r="H1701" s="6">
        <f t="shared" si="237"/>
        <v>0</v>
      </c>
      <c r="I1701" s="7">
        <f t="shared" si="238"/>
        <v>-1932.0469121873284</v>
      </c>
      <c r="J1701" s="8">
        <f t="shared" si="239"/>
        <v>49777.5</v>
      </c>
      <c r="K1701" s="7">
        <f t="shared" si="240"/>
        <v>-51709.546912187332</v>
      </c>
      <c r="L1701" s="4">
        <f>IF(A1701&gt;'Yield Curve'!A2315,L1700,(1+VLOOKUP(A1701,'Yield Curve'!A1694:B2316,2,FALSE))^(1/12)-1)</f>
        <v>7.9741404289037643E-3</v>
      </c>
      <c r="M1701" s="5">
        <f t="shared" si="241"/>
        <v>-7.4774365187753294E-2</v>
      </c>
    </row>
    <row r="1702" spans="1:13" x14ac:dyDescent="0.25">
      <c r="A1702" s="4">
        <v>1694</v>
      </c>
      <c r="B1702" s="4">
        <f t="shared" si="234"/>
        <v>186</v>
      </c>
      <c r="C1702" s="4">
        <f t="shared" si="235"/>
        <v>1709</v>
      </c>
      <c r="D1702" s="4">
        <f>IF(B1702&gt;'Mortality Table'!$A$118,D1701,VLOOKUP(B1702,'Mortality Table'!$A$2:$B$118,2,FALSE))</f>
        <v>0.59733000000000003</v>
      </c>
      <c r="E1702" s="4">
        <f>IF(INT((C1702-1)/12)+1&gt;'Lapse Table'!$A$11,E1701,VLOOKUP(INT((C1702-1)/12)+1,'Lapse Table'!$A$2:$B$11,2,FALSE))/12</f>
        <v>0</v>
      </c>
      <c r="F1702" s="5">
        <f t="shared" si="242"/>
        <v>-58.011184865619846</v>
      </c>
      <c r="G1702" s="6">
        <f t="shared" si="236"/>
        <v>4.9777500000000002E-2</v>
      </c>
      <c r="H1702" s="6">
        <f t="shared" si="237"/>
        <v>0</v>
      </c>
      <c r="I1702" s="7">
        <f t="shared" si="238"/>
        <v>-1933.7061621873281</v>
      </c>
      <c r="J1702" s="8">
        <f t="shared" si="239"/>
        <v>49777.5</v>
      </c>
      <c r="K1702" s="7">
        <f t="shared" si="240"/>
        <v>-51711.206162187329</v>
      </c>
      <c r="L1702" s="4">
        <f>IF(A1702&gt;'Yield Curve'!A2316,L1701,(1+VLOOKUP(A1702,'Yield Curve'!A1695:B2317,2,FALSE))^(1/12)-1)</f>
        <v>7.9741404289037643E-3</v>
      </c>
      <c r="M1702" s="5">
        <f t="shared" si="241"/>
        <v>-7.4185201325873015E-2</v>
      </c>
    </row>
    <row r="1703" spans="1:13" x14ac:dyDescent="0.25">
      <c r="A1703" s="4">
        <v>1695</v>
      </c>
      <c r="B1703" s="4">
        <f t="shared" si="234"/>
        <v>186</v>
      </c>
      <c r="C1703" s="4">
        <f t="shared" si="235"/>
        <v>1710</v>
      </c>
      <c r="D1703" s="4">
        <f>IF(B1703&gt;'Mortality Table'!$A$118,D1702,VLOOKUP(B1703,'Mortality Table'!$A$2:$B$118,2,FALSE))</f>
        <v>0.59733000000000003</v>
      </c>
      <c r="E1703" s="4">
        <f>IF(INT((C1703-1)/12)+1&gt;'Lapse Table'!$A$11,E1702,VLOOKUP(INT((C1703-1)/12)+1,'Lapse Table'!$A$2:$B$11,2,FALSE))/12</f>
        <v>0</v>
      </c>
      <c r="F1703" s="5">
        <f t="shared" si="242"/>
        <v>-58.060962365619844</v>
      </c>
      <c r="G1703" s="6">
        <f t="shared" si="236"/>
        <v>4.9777500000000002E-2</v>
      </c>
      <c r="H1703" s="6">
        <f t="shared" si="237"/>
        <v>0</v>
      </c>
      <c r="I1703" s="7">
        <f t="shared" si="238"/>
        <v>-1935.365412187328</v>
      </c>
      <c r="J1703" s="8">
        <f t="shared" si="239"/>
        <v>49777.5</v>
      </c>
      <c r="K1703" s="7">
        <f t="shared" si="240"/>
        <v>-51712.865412187326</v>
      </c>
      <c r="L1703" s="4">
        <f>IF(A1703&gt;'Yield Curve'!A2317,L1702,(1+VLOOKUP(A1703,'Yield Curve'!A1696:B2318,2,FALSE))^(1/12)-1)</f>
        <v>7.9741404289037643E-3</v>
      </c>
      <c r="M1703" s="5">
        <f t="shared" si="241"/>
        <v>-7.3600679541382691E-2</v>
      </c>
    </row>
    <row r="1704" spans="1:13" x14ac:dyDescent="0.25">
      <c r="A1704" s="4">
        <v>1696</v>
      </c>
      <c r="B1704" s="4">
        <f t="shared" si="234"/>
        <v>186</v>
      </c>
      <c r="C1704" s="4">
        <f t="shared" si="235"/>
        <v>1711</v>
      </c>
      <c r="D1704" s="4">
        <f>IF(B1704&gt;'Mortality Table'!$A$118,D1703,VLOOKUP(B1704,'Mortality Table'!$A$2:$B$118,2,FALSE))</f>
        <v>0.59733000000000003</v>
      </c>
      <c r="E1704" s="4">
        <f>IF(INT((C1704-1)/12)+1&gt;'Lapse Table'!$A$11,E1703,VLOOKUP(INT((C1704-1)/12)+1,'Lapse Table'!$A$2:$B$11,2,FALSE))/12</f>
        <v>0</v>
      </c>
      <c r="F1704" s="5">
        <f t="shared" si="242"/>
        <v>-58.110739865619841</v>
      </c>
      <c r="G1704" s="6">
        <f t="shared" si="236"/>
        <v>4.9777500000000002E-2</v>
      </c>
      <c r="H1704" s="6">
        <f t="shared" si="237"/>
        <v>0</v>
      </c>
      <c r="I1704" s="7">
        <f t="shared" si="238"/>
        <v>-1937.0246621873282</v>
      </c>
      <c r="J1704" s="8">
        <f t="shared" si="239"/>
        <v>49777.5</v>
      </c>
      <c r="K1704" s="7">
        <f t="shared" si="240"/>
        <v>-51714.52466218733</v>
      </c>
      <c r="L1704" s="4">
        <f>IF(A1704&gt;'Yield Curve'!A2318,L1703,(1+VLOOKUP(A1704,'Yield Curve'!A1697:B2319,2,FALSE))^(1/12)-1)</f>
        <v>7.9741404289037643E-3</v>
      </c>
      <c r="M1704" s="5">
        <f t="shared" si="241"/>
        <v>-7.3020763259520519E-2</v>
      </c>
    </row>
    <row r="1705" spans="1:13" x14ac:dyDescent="0.25">
      <c r="A1705" s="4">
        <v>1697</v>
      </c>
      <c r="B1705" s="4">
        <f t="shared" si="234"/>
        <v>186</v>
      </c>
      <c r="C1705" s="4">
        <f t="shared" si="235"/>
        <v>1712</v>
      </c>
      <c r="D1705" s="4">
        <f>IF(B1705&gt;'Mortality Table'!$A$118,D1704,VLOOKUP(B1705,'Mortality Table'!$A$2:$B$118,2,FALSE))</f>
        <v>0.59733000000000003</v>
      </c>
      <c r="E1705" s="4">
        <f>IF(INT((C1705-1)/12)+1&gt;'Lapse Table'!$A$11,E1704,VLOOKUP(INT((C1705-1)/12)+1,'Lapse Table'!$A$2:$B$11,2,FALSE))/12</f>
        <v>0</v>
      </c>
      <c r="F1705" s="5">
        <f t="shared" si="242"/>
        <v>-58.160517365619839</v>
      </c>
      <c r="G1705" s="6">
        <f t="shared" si="236"/>
        <v>4.9777500000000002E-2</v>
      </c>
      <c r="H1705" s="6">
        <f t="shared" si="237"/>
        <v>0</v>
      </c>
      <c r="I1705" s="7">
        <f t="shared" si="238"/>
        <v>-1938.6839121873279</v>
      </c>
      <c r="J1705" s="8">
        <f t="shared" si="239"/>
        <v>49777.5</v>
      </c>
      <c r="K1705" s="7">
        <f t="shared" si="240"/>
        <v>-51716.183912187327</v>
      </c>
      <c r="L1705" s="4">
        <f>IF(A1705&gt;'Yield Curve'!A2319,L1704,(1+VLOOKUP(A1705,'Yield Curve'!A1698:B2320,2,FALSE))^(1/12)-1)</f>
        <v>7.9741404289037643E-3</v>
      </c>
      <c r="M1705" s="5">
        <f t="shared" si="241"/>
        <v>-7.2445416193691256E-2</v>
      </c>
    </row>
    <row r="1706" spans="1:13" x14ac:dyDescent="0.25">
      <c r="A1706" s="4">
        <v>1698</v>
      </c>
      <c r="B1706" s="4">
        <f t="shared" si="234"/>
        <v>186</v>
      </c>
      <c r="C1706" s="4">
        <f t="shared" si="235"/>
        <v>1713</v>
      </c>
      <c r="D1706" s="4">
        <f>IF(B1706&gt;'Mortality Table'!$A$118,D1705,VLOOKUP(B1706,'Mortality Table'!$A$2:$B$118,2,FALSE))</f>
        <v>0.59733000000000003</v>
      </c>
      <c r="E1706" s="4">
        <f>IF(INT((C1706-1)/12)+1&gt;'Lapse Table'!$A$11,E1705,VLOOKUP(INT((C1706-1)/12)+1,'Lapse Table'!$A$2:$B$11,2,FALSE))/12</f>
        <v>0</v>
      </c>
      <c r="F1706" s="5">
        <f t="shared" si="242"/>
        <v>-58.210294865619836</v>
      </c>
      <c r="G1706" s="6">
        <f t="shared" si="236"/>
        <v>4.9777500000000002E-2</v>
      </c>
      <c r="H1706" s="6">
        <f t="shared" si="237"/>
        <v>0</v>
      </c>
      <c r="I1706" s="7">
        <f t="shared" si="238"/>
        <v>-1940.3431621873278</v>
      </c>
      <c r="J1706" s="8">
        <f t="shared" si="239"/>
        <v>49777.5</v>
      </c>
      <c r="K1706" s="7">
        <f t="shared" si="240"/>
        <v>-51717.843162187331</v>
      </c>
      <c r="L1706" s="4">
        <f>IF(A1706&gt;'Yield Curve'!A2320,L1705,(1+VLOOKUP(A1706,'Yield Curve'!A1699:B2321,2,FALSE))^(1/12)-1)</f>
        <v>7.9741404289037643E-3</v>
      </c>
      <c r="M1706" s="5">
        <f t="shared" si="241"/>
        <v>-7.1874602343195704E-2</v>
      </c>
    </row>
    <row r="1707" spans="1:13" x14ac:dyDescent="0.25">
      <c r="A1707" s="4">
        <v>1699</v>
      </c>
      <c r="B1707" s="4">
        <f t="shared" si="234"/>
        <v>186</v>
      </c>
      <c r="C1707" s="4">
        <f t="shared" si="235"/>
        <v>1714</v>
      </c>
      <c r="D1707" s="4">
        <f>IF(B1707&gt;'Mortality Table'!$A$118,D1706,VLOOKUP(B1707,'Mortality Table'!$A$2:$B$118,2,FALSE))</f>
        <v>0.59733000000000003</v>
      </c>
      <c r="E1707" s="4">
        <f>IF(INT((C1707-1)/12)+1&gt;'Lapse Table'!$A$11,E1706,VLOOKUP(INT((C1707-1)/12)+1,'Lapse Table'!$A$2:$B$11,2,FALSE))/12</f>
        <v>0</v>
      </c>
      <c r="F1707" s="5">
        <f t="shared" si="242"/>
        <v>-58.260072365619834</v>
      </c>
      <c r="G1707" s="6">
        <f t="shared" si="236"/>
        <v>4.9777500000000002E-2</v>
      </c>
      <c r="H1707" s="6">
        <f t="shared" si="237"/>
        <v>0</v>
      </c>
      <c r="I1707" s="7">
        <f t="shared" si="238"/>
        <v>-1942.0024121873278</v>
      </c>
      <c r="J1707" s="8">
        <f t="shared" si="239"/>
        <v>49777.5</v>
      </c>
      <c r="K1707" s="7">
        <f t="shared" si="240"/>
        <v>-51719.502412187328</v>
      </c>
      <c r="L1707" s="4">
        <f>IF(A1707&gt;'Yield Curve'!A2321,L1706,(1+VLOOKUP(A1707,'Yield Curve'!A1700:B2322,2,FALSE))^(1/12)-1)</f>
        <v>7.9741404289037643E-3</v>
      </c>
      <c r="M1707" s="5">
        <f t="shared" si="241"/>
        <v>-7.1308285990978257E-2</v>
      </c>
    </row>
    <row r="1708" spans="1:13" x14ac:dyDescent="0.25">
      <c r="A1708" s="4">
        <v>1700</v>
      </c>
      <c r="B1708" s="4">
        <f t="shared" si="234"/>
        <v>186</v>
      </c>
      <c r="C1708" s="4">
        <f t="shared" si="235"/>
        <v>1715</v>
      </c>
      <c r="D1708" s="4">
        <f>IF(B1708&gt;'Mortality Table'!$A$118,D1707,VLOOKUP(B1708,'Mortality Table'!$A$2:$B$118,2,FALSE))</f>
        <v>0.59733000000000003</v>
      </c>
      <c r="E1708" s="4">
        <f>IF(INT((C1708-1)/12)+1&gt;'Lapse Table'!$A$11,E1707,VLOOKUP(INT((C1708-1)/12)+1,'Lapse Table'!$A$2:$B$11,2,FALSE))/12</f>
        <v>0</v>
      </c>
      <c r="F1708" s="5">
        <f t="shared" si="242"/>
        <v>-58.309849865619832</v>
      </c>
      <c r="G1708" s="6">
        <f t="shared" si="236"/>
        <v>4.9777500000000002E-2</v>
      </c>
      <c r="H1708" s="6">
        <f t="shared" si="237"/>
        <v>0</v>
      </c>
      <c r="I1708" s="7">
        <f t="shared" si="238"/>
        <v>-1943.6616621873279</v>
      </c>
      <c r="J1708" s="8">
        <f t="shared" si="239"/>
        <v>49777.5</v>
      </c>
      <c r="K1708" s="7">
        <f t="shared" si="240"/>
        <v>-51721.161662187325</v>
      </c>
      <c r="L1708" s="4">
        <f>IF(A1708&gt;'Yield Curve'!A2322,L1707,(1+VLOOKUP(A1708,'Yield Curve'!A1701:B2323,2,FALSE))^(1/12)-1)</f>
        <v>7.9741404289037643E-3</v>
      </c>
      <c r="M1708" s="5">
        <f t="shared" si="241"/>
        <v>-7.0746431701392082E-2</v>
      </c>
    </row>
    <row r="1709" spans="1:13" x14ac:dyDescent="0.25">
      <c r="A1709" s="4">
        <v>1701</v>
      </c>
      <c r="B1709" s="4">
        <f t="shared" si="234"/>
        <v>186</v>
      </c>
      <c r="C1709" s="4">
        <f t="shared" si="235"/>
        <v>1716</v>
      </c>
      <c r="D1709" s="4">
        <f>IF(B1709&gt;'Mortality Table'!$A$118,D1708,VLOOKUP(B1709,'Mortality Table'!$A$2:$B$118,2,FALSE))</f>
        <v>0.59733000000000003</v>
      </c>
      <c r="E1709" s="4">
        <f>IF(INT((C1709-1)/12)+1&gt;'Lapse Table'!$A$11,E1708,VLOOKUP(INT((C1709-1)/12)+1,'Lapse Table'!$A$2:$B$11,2,FALSE))/12</f>
        <v>0</v>
      </c>
      <c r="F1709" s="5">
        <f t="shared" si="242"/>
        <v>-58.359627365619829</v>
      </c>
      <c r="G1709" s="6">
        <f t="shared" si="236"/>
        <v>4.9777500000000002E-2</v>
      </c>
      <c r="H1709" s="6">
        <f t="shared" si="237"/>
        <v>0</v>
      </c>
      <c r="I1709" s="7">
        <f t="shared" si="238"/>
        <v>-1945.3209121873276</v>
      </c>
      <c r="J1709" s="8">
        <f t="shared" si="239"/>
        <v>49777.5</v>
      </c>
      <c r="K1709" s="7">
        <f t="shared" si="240"/>
        <v>-51722.82091218733</v>
      </c>
      <c r="L1709" s="4">
        <f>IF(A1709&gt;'Yield Curve'!A2323,L1708,(1+VLOOKUP(A1709,'Yield Curve'!A1702:B2324,2,FALSE))^(1/12)-1)</f>
        <v>7.9741404289037643E-3</v>
      </c>
      <c r="M1709" s="5">
        <f t="shared" si="241"/>
        <v>-7.0189004317982168E-2</v>
      </c>
    </row>
    <row r="1710" spans="1:13" x14ac:dyDescent="0.25">
      <c r="A1710" s="4">
        <v>1702</v>
      </c>
      <c r="B1710" s="4">
        <f t="shared" si="234"/>
        <v>186</v>
      </c>
      <c r="C1710" s="4">
        <f t="shared" si="235"/>
        <v>1717</v>
      </c>
      <c r="D1710" s="4">
        <f>IF(B1710&gt;'Mortality Table'!$A$118,D1709,VLOOKUP(B1710,'Mortality Table'!$A$2:$B$118,2,FALSE))</f>
        <v>0.59733000000000003</v>
      </c>
      <c r="E1710" s="4">
        <f>IF(INT((C1710-1)/12)+1&gt;'Lapse Table'!$A$11,E1709,VLOOKUP(INT((C1710-1)/12)+1,'Lapse Table'!$A$2:$B$11,2,FALSE))/12</f>
        <v>0</v>
      </c>
      <c r="F1710" s="5">
        <f t="shared" si="242"/>
        <v>-58.409404865619827</v>
      </c>
      <c r="G1710" s="6">
        <f t="shared" si="236"/>
        <v>4.9777500000000002E-2</v>
      </c>
      <c r="H1710" s="6">
        <f t="shared" si="237"/>
        <v>0</v>
      </c>
      <c r="I1710" s="7">
        <f t="shared" si="238"/>
        <v>-1946.9801621873276</v>
      </c>
      <c r="J1710" s="8">
        <f t="shared" si="239"/>
        <v>49777.5</v>
      </c>
      <c r="K1710" s="7">
        <f t="shared" si="240"/>
        <v>-51724.480162187327</v>
      </c>
      <c r="L1710" s="4">
        <f>IF(A1710&gt;'Yield Curve'!A2324,L1709,(1+VLOOKUP(A1710,'Yield Curve'!A1703:B2325,2,FALSE))^(1/12)-1)</f>
        <v>7.9741404289037643E-3</v>
      </c>
      <c r="M1710" s="5">
        <f t="shared" si="241"/>
        <v>-6.9635968961285474E-2</v>
      </c>
    </row>
    <row r="1711" spans="1:13" x14ac:dyDescent="0.25">
      <c r="A1711" s="4">
        <v>1703</v>
      </c>
      <c r="B1711" s="4">
        <f t="shared" si="234"/>
        <v>186</v>
      </c>
      <c r="C1711" s="4">
        <f t="shared" si="235"/>
        <v>1718</v>
      </c>
      <c r="D1711" s="4">
        <f>IF(B1711&gt;'Mortality Table'!$A$118,D1710,VLOOKUP(B1711,'Mortality Table'!$A$2:$B$118,2,FALSE))</f>
        <v>0.59733000000000003</v>
      </c>
      <c r="E1711" s="4">
        <f>IF(INT((C1711-1)/12)+1&gt;'Lapse Table'!$A$11,E1710,VLOOKUP(INT((C1711-1)/12)+1,'Lapse Table'!$A$2:$B$11,2,FALSE))/12</f>
        <v>0</v>
      </c>
      <c r="F1711" s="5">
        <f t="shared" si="242"/>
        <v>-58.459182365619824</v>
      </c>
      <c r="G1711" s="6">
        <f t="shared" si="236"/>
        <v>4.9777500000000002E-2</v>
      </c>
      <c r="H1711" s="6">
        <f t="shared" si="237"/>
        <v>0</v>
      </c>
      <c r="I1711" s="7">
        <f t="shared" si="238"/>
        <v>-1948.6394121873275</v>
      </c>
      <c r="J1711" s="8">
        <f t="shared" si="239"/>
        <v>49777.5</v>
      </c>
      <c r="K1711" s="7">
        <f t="shared" si="240"/>
        <v>-51726.139412187331</v>
      </c>
      <c r="L1711" s="4">
        <f>IF(A1711&gt;'Yield Curve'!A2325,L1710,(1+VLOOKUP(A1711,'Yield Curve'!A1704:B2326,2,FALSE))^(1/12)-1)</f>
        <v>7.9741404289037643E-3</v>
      </c>
      <c r="M1711" s="5">
        <f t="shared" si="241"/>
        <v>-6.9087291026648734E-2</v>
      </c>
    </row>
    <row r="1712" spans="1:13" x14ac:dyDescent="0.25">
      <c r="A1712" s="4">
        <v>1704</v>
      </c>
      <c r="B1712" s="4">
        <f t="shared" si="234"/>
        <v>187</v>
      </c>
      <c r="C1712" s="4">
        <f t="shared" si="235"/>
        <v>1719</v>
      </c>
      <c r="D1712" s="4">
        <f>IF(B1712&gt;'Mortality Table'!$A$118,D1711,VLOOKUP(B1712,'Mortality Table'!$A$2:$B$118,2,FALSE))</f>
        <v>0.59733000000000003</v>
      </c>
      <c r="E1712" s="4">
        <f>IF(INT((C1712-1)/12)+1&gt;'Lapse Table'!$A$11,E1711,VLOOKUP(INT((C1712-1)/12)+1,'Lapse Table'!$A$2:$B$11,2,FALSE))/12</f>
        <v>0</v>
      </c>
      <c r="F1712" s="5">
        <f t="shared" si="242"/>
        <v>-58.508959865619822</v>
      </c>
      <c r="G1712" s="6">
        <f t="shared" si="236"/>
        <v>4.9777500000000002E-2</v>
      </c>
      <c r="H1712" s="6">
        <f t="shared" si="237"/>
        <v>0</v>
      </c>
      <c r="I1712" s="7">
        <f t="shared" si="238"/>
        <v>-1950.2986621873272</v>
      </c>
      <c r="J1712" s="8">
        <f t="shared" si="239"/>
        <v>49777.5</v>
      </c>
      <c r="K1712" s="7">
        <f t="shared" si="240"/>
        <v>-51727.798662187328</v>
      </c>
      <c r="L1712" s="4">
        <f>IF(A1712&gt;'Yield Curve'!A2326,L1711,(1+VLOOKUP(A1712,'Yield Curve'!A1705:B2327,2,FALSE))^(1/12)-1)</f>
        <v>7.9741404289037643E-3</v>
      </c>
      <c r="M1712" s="5">
        <f t="shared" si="241"/>
        <v>-6.8542936182063099E-2</v>
      </c>
    </row>
    <row r="1713" spans="1:13" x14ac:dyDescent="0.25">
      <c r="A1713" s="4">
        <v>1705</v>
      </c>
      <c r="B1713" s="4">
        <f t="shared" si="234"/>
        <v>187</v>
      </c>
      <c r="C1713" s="4">
        <f t="shared" si="235"/>
        <v>1720</v>
      </c>
      <c r="D1713" s="4">
        <f>IF(B1713&gt;'Mortality Table'!$A$118,D1712,VLOOKUP(B1713,'Mortality Table'!$A$2:$B$118,2,FALSE))</f>
        <v>0.59733000000000003</v>
      </c>
      <c r="E1713" s="4">
        <f>IF(INT((C1713-1)/12)+1&gt;'Lapse Table'!$A$11,E1712,VLOOKUP(INT((C1713-1)/12)+1,'Lapse Table'!$A$2:$B$11,2,FALSE))/12</f>
        <v>0</v>
      </c>
      <c r="F1713" s="5">
        <f t="shared" si="242"/>
        <v>-58.55873736561982</v>
      </c>
      <c r="G1713" s="6">
        <f t="shared" si="236"/>
        <v>4.9777500000000002E-2</v>
      </c>
      <c r="H1713" s="6">
        <f t="shared" si="237"/>
        <v>0</v>
      </c>
      <c r="I1713" s="7">
        <f t="shared" si="238"/>
        <v>-1951.9579121873273</v>
      </c>
      <c r="J1713" s="8">
        <f t="shared" si="239"/>
        <v>49777.5</v>
      </c>
      <c r="K1713" s="7">
        <f t="shared" si="240"/>
        <v>-51729.457912187325</v>
      </c>
      <c r="L1713" s="4">
        <f>IF(A1713&gt;'Yield Curve'!A2327,L1712,(1+VLOOKUP(A1713,'Yield Curve'!A1706:B2328,2,FALSE))^(1/12)-1)</f>
        <v>7.9741404289037643E-3</v>
      </c>
      <c r="M1713" s="5">
        <f t="shared" si="241"/>
        <v>-6.8002870366016363E-2</v>
      </c>
    </row>
    <row r="1714" spans="1:13" x14ac:dyDescent="0.25">
      <c r="A1714" s="4">
        <v>1706</v>
      </c>
      <c r="B1714" s="4">
        <f t="shared" si="234"/>
        <v>187</v>
      </c>
      <c r="C1714" s="4">
        <f t="shared" si="235"/>
        <v>1721</v>
      </c>
      <c r="D1714" s="4">
        <f>IF(B1714&gt;'Mortality Table'!$A$118,D1713,VLOOKUP(B1714,'Mortality Table'!$A$2:$B$118,2,FALSE))</f>
        <v>0.59733000000000003</v>
      </c>
      <c r="E1714" s="4">
        <f>IF(INT((C1714-1)/12)+1&gt;'Lapse Table'!$A$11,E1713,VLOOKUP(INT((C1714-1)/12)+1,'Lapse Table'!$A$2:$B$11,2,FALSE))/12</f>
        <v>0</v>
      </c>
      <c r="F1714" s="5">
        <f t="shared" si="242"/>
        <v>-58.608514865619817</v>
      </c>
      <c r="G1714" s="6">
        <f t="shared" si="236"/>
        <v>4.9777500000000002E-2</v>
      </c>
      <c r="H1714" s="6">
        <f t="shared" si="237"/>
        <v>0</v>
      </c>
      <c r="I1714" s="7">
        <f t="shared" si="238"/>
        <v>-1953.6171621873273</v>
      </c>
      <c r="J1714" s="8">
        <f t="shared" si="239"/>
        <v>49777.5</v>
      </c>
      <c r="K1714" s="7">
        <f t="shared" si="240"/>
        <v>-51731.117162187329</v>
      </c>
      <c r="L1714" s="4">
        <f>IF(A1714&gt;'Yield Curve'!A2328,L1713,(1+VLOOKUP(A1714,'Yield Curve'!A1707:B2329,2,FALSE))^(1/12)-1)</f>
        <v>7.9741404289037643E-3</v>
      </c>
      <c r="M1714" s="5">
        <f t="shared" si="241"/>
        <v>-6.7467059785361494E-2</v>
      </c>
    </row>
    <row r="1715" spans="1:13" x14ac:dyDescent="0.25">
      <c r="A1715" s="4">
        <v>1707</v>
      </c>
      <c r="B1715" s="4">
        <f t="shared" si="234"/>
        <v>187</v>
      </c>
      <c r="C1715" s="4">
        <f t="shared" si="235"/>
        <v>1722</v>
      </c>
      <c r="D1715" s="4">
        <f>IF(B1715&gt;'Mortality Table'!$A$118,D1714,VLOOKUP(B1715,'Mortality Table'!$A$2:$B$118,2,FALSE))</f>
        <v>0.59733000000000003</v>
      </c>
      <c r="E1715" s="4">
        <f>IF(INT((C1715-1)/12)+1&gt;'Lapse Table'!$A$11,E1714,VLOOKUP(INT((C1715-1)/12)+1,'Lapse Table'!$A$2:$B$11,2,FALSE))/12</f>
        <v>0</v>
      </c>
      <c r="F1715" s="5">
        <f t="shared" si="242"/>
        <v>-58.658292365619815</v>
      </c>
      <c r="G1715" s="6">
        <f t="shared" si="236"/>
        <v>4.9777500000000002E-2</v>
      </c>
      <c r="H1715" s="6">
        <f t="shared" si="237"/>
        <v>0</v>
      </c>
      <c r="I1715" s="7">
        <f t="shared" si="238"/>
        <v>-1955.2764121873272</v>
      </c>
      <c r="J1715" s="8">
        <f t="shared" si="239"/>
        <v>49777.5</v>
      </c>
      <c r="K1715" s="7">
        <f t="shared" si="240"/>
        <v>-51732.776412187326</v>
      </c>
      <c r="L1715" s="4">
        <f>IF(A1715&gt;'Yield Curve'!A2329,L1714,(1+VLOOKUP(A1715,'Yield Curve'!A1708:B2330,2,FALSE))^(1/12)-1)</f>
        <v>7.9741404289037643E-3</v>
      </c>
      <c r="M1715" s="5">
        <f t="shared" si="241"/>
        <v>-6.6935470913202427E-2</v>
      </c>
    </row>
    <row r="1716" spans="1:13" x14ac:dyDescent="0.25">
      <c r="A1716" s="4">
        <v>1708</v>
      </c>
      <c r="B1716" s="4">
        <f t="shared" si="234"/>
        <v>187</v>
      </c>
      <c r="C1716" s="4">
        <f t="shared" si="235"/>
        <v>1723</v>
      </c>
      <c r="D1716" s="4">
        <f>IF(B1716&gt;'Mortality Table'!$A$118,D1715,VLOOKUP(B1716,'Mortality Table'!$A$2:$B$118,2,FALSE))</f>
        <v>0.59733000000000003</v>
      </c>
      <c r="E1716" s="4">
        <f>IF(INT((C1716-1)/12)+1&gt;'Lapse Table'!$A$11,E1715,VLOOKUP(INT((C1716-1)/12)+1,'Lapse Table'!$A$2:$B$11,2,FALSE))/12</f>
        <v>0</v>
      </c>
      <c r="F1716" s="5">
        <f t="shared" si="242"/>
        <v>-58.708069865619812</v>
      </c>
      <c r="G1716" s="6">
        <f t="shared" si="236"/>
        <v>4.9777500000000002E-2</v>
      </c>
      <c r="H1716" s="6">
        <f t="shared" si="237"/>
        <v>0</v>
      </c>
      <c r="I1716" s="7">
        <f t="shared" si="238"/>
        <v>-1956.9356621873269</v>
      </c>
      <c r="J1716" s="8">
        <f t="shared" si="239"/>
        <v>49777.5</v>
      </c>
      <c r="K1716" s="7">
        <f t="shared" si="240"/>
        <v>-51734.43566218733</v>
      </c>
      <c r="L1716" s="4">
        <f>IF(A1716&gt;'Yield Curve'!A2330,L1715,(1+VLOOKUP(A1716,'Yield Curve'!A1709:B2331,2,FALSE))^(1/12)-1)</f>
        <v>7.9741404289037643E-3</v>
      </c>
      <c r="M1716" s="5">
        <f t="shared" si="241"/>
        <v>-6.6408070486796353E-2</v>
      </c>
    </row>
    <row r="1717" spans="1:13" x14ac:dyDescent="0.25">
      <c r="A1717" s="4">
        <v>1709</v>
      </c>
      <c r="B1717" s="4">
        <f t="shared" si="234"/>
        <v>187</v>
      </c>
      <c r="C1717" s="4">
        <f t="shared" si="235"/>
        <v>1724</v>
      </c>
      <c r="D1717" s="4">
        <f>IF(B1717&gt;'Mortality Table'!$A$118,D1716,VLOOKUP(B1717,'Mortality Table'!$A$2:$B$118,2,FALSE))</f>
        <v>0.59733000000000003</v>
      </c>
      <c r="E1717" s="4">
        <f>IF(INT((C1717-1)/12)+1&gt;'Lapse Table'!$A$11,E1716,VLOOKUP(INT((C1717-1)/12)+1,'Lapse Table'!$A$2:$B$11,2,FALSE))/12</f>
        <v>0</v>
      </c>
      <c r="F1717" s="5">
        <f t="shared" si="242"/>
        <v>-58.75784736561981</v>
      </c>
      <c r="G1717" s="6">
        <f t="shared" si="236"/>
        <v>4.9777500000000002E-2</v>
      </c>
      <c r="H1717" s="6">
        <f t="shared" si="237"/>
        <v>0</v>
      </c>
      <c r="I1717" s="7">
        <f t="shared" si="238"/>
        <v>-1958.5949121873271</v>
      </c>
      <c r="J1717" s="8">
        <f t="shared" si="239"/>
        <v>49777.5</v>
      </c>
      <c r="K1717" s="7">
        <f t="shared" si="240"/>
        <v>-51736.094912187327</v>
      </c>
      <c r="L1717" s="4">
        <f>IF(A1717&gt;'Yield Curve'!A2331,L1716,(1+VLOOKUP(A1717,'Yield Curve'!A1710:B2332,2,FALSE))^(1/12)-1)</f>
        <v>7.9741404289037643E-3</v>
      </c>
      <c r="M1717" s="5">
        <f t="shared" si="241"/>
        <v>-6.5884825505472477E-2</v>
      </c>
    </row>
    <row r="1718" spans="1:13" x14ac:dyDescent="0.25">
      <c r="A1718" s="4">
        <v>1710</v>
      </c>
      <c r="B1718" s="4">
        <f t="shared" si="234"/>
        <v>187</v>
      </c>
      <c r="C1718" s="4">
        <f t="shared" si="235"/>
        <v>1725</v>
      </c>
      <c r="D1718" s="4">
        <f>IF(B1718&gt;'Mortality Table'!$A$118,D1717,VLOOKUP(B1718,'Mortality Table'!$A$2:$B$118,2,FALSE))</f>
        <v>0.59733000000000003</v>
      </c>
      <c r="E1718" s="4">
        <f>IF(INT((C1718-1)/12)+1&gt;'Lapse Table'!$A$11,E1717,VLOOKUP(INT((C1718-1)/12)+1,'Lapse Table'!$A$2:$B$11,2,FALSE))/12</f>
        <v>0</v>
      </c>
      <c r="F1718" s="5">
        <f t="shared" si="242"/>
        <v>-58.807624865619808</v>
      </c>
      <c r="G1718" s="6">
        <f t="shared" si="236"/>
        <v>4.9777500000000002E-2</v>
      </c>
      <c r="H1718" s="6">
        <f t="shared" si="237"/>
        <v>0</v>
      </c>
      <c r="I1718" s="7">
        <f t="shared" si="238"/>
        <v>-1960.254162187327</v>
      </c>
      <c r="J1718" s="8">
        <f t="shared" si="239"/>
        <v>49777.5</v>
      </c>
      <c r="K1718" s="7">
        <f t="shared" si="240"/>
        <v>-51737.754162187324</v>
      </c>
      <c r="L1718" s="4">
        <f>IF(A1718&gt;'Yield Curve'!A2332,L1717,(1+VLOOKUP(A1718,'Yield Curve'!A1711:B2333,2,FALSE))^(1/12)-1)</f>
        <v>7.9741404289037643E-3</v>
      </c>
      <c r="M1718" s="5">
        <f t="shared" si="241"/>
        <v>-6.536570322856719E-2</v>
      </c>
    </row>
    <row r="1719" spans="1:13" x14ac:dyDescent="0.25">
      <c r="A1719" s="4">
        <v>1711</v>
      </c>
      <c r="B1719" s="4">
        <f t="shared" si="234"/>
        <v>187</v>
      </c>
      <c r="C1719" s="4">
        <f t="shared" si="235"/>
        <v>1726</v>
      </c>
      <c r="D1719" s="4">
        <f>IF(B1719&gt;'Mortality Table'!$A$118,D1718,VLOOKUP(B1719,'Mortality Table'!$A$2:$B$118,2,FALSE))</f>
        <v>0.59733000000000003</v>
      </c>
      <c r="E1719" s="4">
        <f>IF(INT((C1719-1)/12)+1&gt;'Lapse Table'!$A$11,E1718,VLOOKUP(INT((C1719-1)/12)+1,'Lapse Table'!$A$2:$B$11,2,FALSE))/12</f>
        <v>0</v>
      </c>
      <c r="F1719" s="5">
        <f t="shared" si="242"/>
        <v>-58.857402365619805</v>
      </c>
      <c r="G1719" s="6">
        <f t="shared" si="236"/>
        <v>4.9777500000000002E-2</v>
      </c>
      <c r="H1719" s="6">
        <f t="shared" si="237"/>
        <v>0</v>
      </c>
      <c r="I1719" s="7">
        <f t="shared" si="238"/>
        <v>-1961.9134121873267</v>
      </c>
      <c r="J1719" s="8">
        <f t="shared" si="239"/>
        <v>49777.5</v>
      </c>
      <c r="K1719" s="7">
        <f t="shared" si="240"/>
        <v>-51739.413412187329</v>
      </c>
      <c r="L1719" s="4">
        <f>IF(A1719&gt;'Yield Curve'!A2333,L1718,(1+VLOOKUP(A1719,'Yield Curve'!A1712:B2334,2,FALSE))^(1/12)-1)</f>
        <v>7.9741404289037643E-3</v>
      </c>
      <c r="M1719" s="5">
        <f t="shared" si="241"/>
        <v>-6.4850671173375687E-2</v>
      </c>
    </row>
    <row r="1720" spans="1:13" x14ac:dyDescent="0.25">
      <c r="A1720" s="4">
        <v>1712</v>
      </c>
      <c r="B1720" s="4">
        <f t="shared" si="234"/>
        <v>187</v>
      </c>
      <c r="C1720" s="4">
        <f t="shared" si="235"/>
        <v>1727</v>
      </c>
      <c r="D1720" s="4">
        <f>IF(B1720&gt;'Mortality Table'!$A$118,D1719,VLOOKUP(B1720,'Mortality Table'!$A$2:$B$118,2,FALSE))</f>
        <v>0.59733000000000003</v>
      </c>
      <c r="E1720" s="4">
        <f>IF(INT((C1720-1)/12)+1&gt;'Lapse Table'!$A$11,E1719,VLOOKUP(INT((C1720-1)/12)+1,'Lapse Table'!$A$2:$B$11,2,FALSE))/12</f>
        <v>0</v>
      </c>
      <c r="F1720" s="5">
        <f t="shared" si="242"/>
        <v>-58.907179865619803</v>
      </c>
      <c r="G1720" s="6">
        <f t="shared" si="236"/>
        <v>4.9777500000000002E-2</v>
      </c>
      <c r="H1720" s="6">
        <f t="shared" si="237"/>
        <v>0</v>
      </c>
      <c r="I1720" s="7">
        <f t="shared" si="238"/>
        <v>-1963.5726621873266</v>
      </c>
      <c r="J1720" s="8">
        <f t="shared" si="239"/>
        <v>49777.5</v>
      </c>
      <c r="K1720" s="7">
        <f t="shared" si="240"/>
        <v>-51741.072662187325</v>
      </c>
      <c r="L1720" s="4">
        <f>IF(A1720&gt;'Yield Curve'!A2334,L1719,(1+VLOOKUP(A1720,'Yield Curve'!A1713:B2335,2,FALSE))^(1/12)-1)</f>
        <v>7.9741404289037643E-3</v>
      </c>
      <c r="M1720" s="5">
        <f t="shared" si="241"/>
        <v>-6.4339697113119432E-2</v>
      </c>
    </row>
    <row r="1721" spans="1:13" x14ac:dyDescent="0.25">
      <c r="A1721" s="4">
        <v>1713</v>
      </c>
      <c r="B1721" s="4">
        <f t="shared" si="234"/>
        <v>187</v>
      </c>
      <c r="C1721" s="4">
        <f t="shared" si="235"/>
        <v>1728</v>
      </c>
      <c r="D1721" s="4">
        <f>IF(B1721&gt;'Mortality Table'!$A$118,D1720,VLOOKUP(B1721,'Mortality Table'!$A$2:$B$118,2,FALSE))</f>
        <v>0.59733000000000003</v>
      </c>
      <c r="E1721" s="4">
        <f>IF(INT((C1721-1)/12)+1&gt;'Lapse Table'!$A$11,E1720,VLOOKUP(INT((C1721-1)/12)+1,'Lapse Table'!$A$2:$B$11,2,FALSE))/12</f>
        <v>0</v>
      </c>
      <c r="F1721" s="5">
        <f t="shared" si="242"/>
        <v>-58.9569573656198</v>
      </c>
      <c r="G1721" s="6">
        <f t="shared" si="236"/>
        <v>4.9777500000000002E-2</v>
      </c>
      <c r="H1721" s="6">
        <f t="shared" si="237"/>
        <v>0</v>
      </c>
      <c r="I1721" s="7">
        <f t="shared" si="238"/>
        <v>-1965.2319121873268</v>
      </c>
      <c r="J1721" s="8">
        <f t="shared" si="239"/>
        <v>49777.5</v>
      </c>
      <c r="K1721" s="7">
        <f t="shared" si="240"/>
        <v>-51742.73191218733</v>
      </c>
      <c r="L1721" s="4">
        <f>IF(A1721&gt;'Yield Curve'!A2335,L1720,(1+VLOOKUP(A1721,'Yield Curve'!A1714:B2336,2,FALSE))^(1/12)-1)</f>
        <v>7.9741404289037643E-3</v>
      </c>
      <c r="M1721" s="5">
        <f t="shared" si="241"/>
        <v>-6.3832749074929876E-2</v>
      </c>
    </row>
    <row r="1722" spans="1:13" x14ac:dyDescent="0.25">
      <c r="A1722" s="4">
        <v>1714</v>
      </c>
      <c r="B1722" s="4">
        <f t="shared" si="234"/>
        <v>187</v>
      </c>
      <c r="C1722" s="4">
        <f t="shared" si="235"/>
        <v>1729</v>
      </c>
      <c r="D1722" s="4">
        <f>IF(B1722&gt;'Mortality Table'!$A$118,D1721,VLOOKUP(B1722,'Mortality Table'!$A$2:$B$118,2,FALSE))</f>
        <v>0.59733000000000003</v>
      </c>
      <c r="E1722" s="4">
        <f>IF(INT((C1722-1)/12)+1&gt;'Lapse Table'!$A$11,E1721,VLOOKUP(INT((C1722-1)/12)+1,'Lapse Table'!$A$2:$B$11,2,FALSE))/12</f>
        <v>0</v>
      </c>
      <c r="F1722" s="5">
        <f t="shared" si="242"/>
        <v>-59.006734865619798</v>
      </c>
      <c r="G1722" s="6">
        <f t="shared" si="236"/>
        <v>4.9777500000000002E-2</v>
      </c>
      <c r="H1722" s="6">
        <f t="shared" si="237"/>
        <v>0</v>
      </c>
      <c r="I1722" s="7">
        <f t="shared" si="238"/>
        <v>-1966.8911621873267</v>
      </c>
      <c r="J1722" s="8">
        <f t="shared" si="239"/>
        <v>49777.5</v>
      </c>
      <c r="K1722" s="7">
        <f t="shared" si="240"/>
        <v>-51744.391162187327</v>
      </c>
      <c r="L1722" s="4">
        <f>IF(A1722&gt;'Yield Curve'!A2336,L1721,(1+VLOOKUP(A1722,'Yield Curve'!A1715:B2337,2,FALSE))^(1/12)-1)</f>
        <v>7.9741404289037643E-3</v>
      </c>
      <c r="M1722" s="5">
        <f t="shared" si="241"/>
        <v>-6.3329795337847952E-2</v>
      </c>
    </row>
    <row r="1723" spans="1:13" x14ac:dyDescent="0.25">
      <c r="A1723" s="4">
        <v>1715</v>
      </c>
      <c r="B1723" s="4">
        <f t="shared" si="234"/>
        <v>187</v>
      </c>
      <c r="C1723" s="4">
        <f t="shared" si="235"/>
        <v>1730</v>
      </c>
      <c r="D1723" s="4">
        <f>IF(B1723&gt;'Mortality Table'!$A$118,D1722,VLOOKUP(B1723,'Mortality Table'!$A$2:$B$118,2,FALSE))</f>
        <v>0.59733000000000003</v>
      </c>
      <c r="E1723" s="4">
        <f>IF(INT((C1723-1)/12)+1&gt;'Lapse Table'!$A$11,E1722,VLOOKUP(INT((C1723-1)/12)+1,'Lapse Table'!$A$2:$B$11,2,FALSE))/12</f>
        <v>0</v>
      </c>
      <c r="F1723" s="5">
        <f t="shared" si="242"/>
        <v>-59.056512365619795</v>
      </c>
      <c r="G1723" s="6">
        <f t="shared" si="236"/>
        <v>4.9777500000000002E-2</v>
      </c>
      <c r="H1723" s="6">
        <f t="shared" si="237"/>
        <v>0</v>
      </c>
      <c r="I1723" s="7">
        <f t="shared" si="238"/>
        <v>-1968.5504121873264</v>
      </c>
      <c r="J1723" s="8">
        <f t="shared" si="239"/>
        <v>49777.5</v>
      </c>
      <c r="K1723" s="7">
        <f t="shared" si="240"/>
        <v>-51746.050412187324</v>
      </c>
      <c r="L1723" s="4">
        <f>IF(A1723&gt;'Yield Curve'!A2337,L1722,(1+VLOOKUP(A1723,'Yield Curve'!A1716:B2338,2,FALSE))^(1/12)-1)</f>
        <v>7.9741404289037643E-3</v>
      </c>
      <c r="M1723" s="5">
        <f t="shared" si="241"/>
        <v>-6.2830804430839354E-2</v>
      </c>
    </row>
    <row r="1724" spans="1:13" x14ac:dyDescent="0.25">
      <c r="A1724" s="4">
        <v>1716</v>
      </c>
      <c r="B1724" s="4">
        <f t="shared" si="234"/>
        <v>188</v>
      </c>
      <c r="C1724" s="4">
        <f t="shared" si="235"/>
        <v>1731</v>
      </c>
      <c r="D1724" s="4">
        <f>IF(B1724&gt;'Mortality Table'!$A$118,D1723,VLOOKUP(B1724,'Mortality Table'!$A$2:$B$118,2,FALSE))</f>
        <v>0.59733000000000003</v>
      </c>
      <c r="E1724" s="4">
        <f>IF(INT((C1724-1)/12)+1&gt;'Lapse Table'!$A$11,E1723,VLOOKUP(INT((C1724-1)/12)+1,'Lapse Table'!$A$2:$B$11,2,FALSE))/12</f>
        <v>0</v>
      </c>
      <c r="F1724" s="5">
        <f t="shared" si="242"/>
        <v>-59.106289865619793</v>
      </c>
      <c r="G1724" s="6">
        <f t="shared" si="236"/>
        <v>4.9777500000000002E-2</v>
      </c>
      <c r="H1724" s="6">
        <f t="shared" si="237"/>
        <v>0</v>
      </c>
      <c r="I1724" s="7">
        <f t="shared" si="238"/>
        <v>-1970.2096621873263</v>
      </c>
      <c r="J1724" s="8">
        <f t="shared" si="239"/>
        <v>49777.5</v>
      </c>
      <c r="K1724" s="7">
        <f t="shared" si="240"/>
        <v>-51747.709662187328</v>
      </c>
      <c r="L1724" s="4">
        <f>IF(A1724&gt;'Yield Curve'!A2338,L1723,(1+VLOOKUP(A1724,'Yield Curve'!A1717:B2339,2,FALSE))^(1/12)-1)</f>
        <v>7.9741404289037643E-3</v>
      </c>
      <c r="M1724" s="5">
        <f t="shared" si="241"/>
        <v>-6.2335745130825376E-2</v>
      </c>
    </row>
    <row r="1725" spans="1:13" x14ac:dyDescent="0.25">
      <c r="A1725" s="4">
        <v>1717</v>
      </c>
      <c r="B1725" s="4">
        <f t="shared" si="234"/>
        <v>188</v>
      </c>
      <c r="C1725" s="4">
        <f t="shared" si="235"/>
        <v>1732</v>
      </c>
      <c r="D1725" s="4">
        <f>IF(B1725&gt;'Mortality Table'!$A$118,D1724,VLOOKUP(B1725,'Mortality Table'!$A$2:$B$118,2,FALSE))</f>
        <v>0.59733000000000003</v>
      </c>
      <c r="E1725" s="4">
        <f>IF(INT((C1725-1)/12)+1&gt;'Lapse Table'!$A$11,E1724,VLOOKUP(INT((C1725-1)/12)+1,'Lapse Table'!$A$2:$B$11,2,FALSE))/12</f>
        <v>0</v>
      </c>
      <c r="F1725" s="5">
        <f t="shared" si="242"/>
        <v>-59.156067365619791</v>
      </c>
      <c r="G1725" s="6">
        <f t="shared" si="236"/>
        <v>4.9777500000000002E-2</v>
      </c>
      <c r="H1725" s="6">
        <f t="shared" si="237"/>
        <v>0</v>
      </c>
      <c r="I1725" s="7">
        <f t="shared" si="238"/>
        <v>-1971.8689121873265</v>
      </c>
      <c r="J1725" s="8">
        <f t="shared" si="239"/>
        <v>49777.5</v>
      </c>
      <c r="K1725" s="7">
        <f t="shared" si="240"/>
        <v>-51749.368912187325</v>
      </c>
      <c r="L1725" s="4">
        <f>IF(A1725&gt;'Yield Curve'!A2339,L1724,(1+VLOOKUP(A1725,'Yield Curve'!A1718:B2340,2,FALSE))^(1/12)-1)</f>
        <v>7.9741404289037643E-3</v>
      </c>
      <c r="M1725" s="5">
        <f t="shared" si="241"/>
        <v>-6.1844586460729489E-2</v>
      </c>
    </row>
    <row r="1726" spans="1:13" x14ac:dyDescent="0.25">
      <c r="A1726" s="4">
        <v>1718</v>
      </c>
      <c r="B1726" s="4">
        <f t="shared" si="234"/>
        <v>188</v>
      </c>
      <c r="C1726" s="4">
        <f t="shared" si="235"/>
        <v>1733</v>
      </c>
      <c r="D1726" s="4">
        <f>IF(B1726&gt;'Mortality Table'!$A$118,D1725,VLOOKUP(B1726,'Mortality Table'!$A$2:$B$118,2,FALSE))</f>
        <v>0.59733000000000003</v>
      </c>
      <c r="E1726" s="4">
        <f>IF(INT((C1726-1)/12)+1&gt;'Lapse Table'!$A$11,E1725,VLOOKUP(INT((C1726-1)/12)+1,'Lapse Table'!$A$2:$B$11,2,FALSE))/12</f>
        <v>0</v>
      </c>
      <c r="F1726" s="5">
        <f t="shared" si="242"/>
        <v>-59.205844865619788</v>
      </c>
      <c r="G1726" s="6">
        <f t="shared" si="236"/>
        <v>4.9777500000000002E-2</v>
      </c>
      <c r="H1726" s="6">
        <f t="shared" si="237"/>
        <v>0</v>
      </c>
      <c r="I1726" s="7">
        <f t="shared" si="238"/>
        <v>-1973.5281621873264</v>
      </c>
      <c r="J1726" s="8">
        <f t="shared" si="239"/>
        <v>49777.5</v>
      </c>
      <c r="K1726" s="7">
        <f t="shared" si="240"/>
        <v>-51751.028162187329</v>
      </c>
      <c r="L1726" s="4">
        <f>IF(A1726&gt;'Yield Curve'!A2340,L1725,(1+VLOOKUP(A1726,'Yield Curve'!A1719:B2341,2,FALSE))^(1/12)-1)</f>
        <v>7.9741404289037643E-3</v>
      </c>
      <c r="M1726" s="5">
        <f t="shared" si="241"/>
        <v>-6.1357297687539065E-2</v>
      </c>
    </row>
    <row r="1727" spans="1:13" x14ac:dyDescent="0.25">
      <c r="A1727" s="4">
        <v>1719</v>
      </c>
      <c r="B1727" s="4">
        <f t="shared" si="234"/>
        <v>188</v>
      </c>
      <c r="C1727" s="4">
        <f t="shared" si="235"/>
        <v>1734</v>
      </c>
      <c r="D1727" s="4">
        <f>IF(B1727&gt;'Mortality Table'!$A$118,D1726,VLOOKUP(B1727,'Mortality Table'!$A$2:$B$118,2,FALSE))</f>
        <v>0.59733000000000003</v>
      </c>
      <c r="E1727" s="4">
        <f>IF(INT((C1727-1)/12)+1&gt;'Lapse Table'!$A$11,E1726,VLOOKUP(INT((C1727-1)/12)+1,'Lapse Table'!$A$2:$B$11,2,FALSE))/12</f>
        <v>0</v>
      </c>
      <c r="F1727" s="5">
        <f t="shared" si="242"/>
        <v>-59.255622365619786</v>
      </c>
      <c r="G1727" s="6">
        <f t="shared" si="236"/>
        <v>4.9777500000000002E-2</v>
      </c>
      <c r="H1727" s="6">
        <f t="shared" si="237"/>
        <v>0</v>
      </c>
      <c r="I1727" s="7">
        <f t="shared" si="238"/>
        <v>-1975.1874121873261</v>
      </c>
      <c r="J1727" s="8">
        <f t="shared" si="239"/>
        <v>49777.5</v>
      </c>
      <c r="K1727" s="7">
        <f t="shared" si="240"/>
        <v>-51752.687412187326</v>
      </c>
      <c r="L1727" s="4">
        <f>IF(A1727&gt;'Yield Curve'!A2341,L1726,(1+VLOOKUP(A1727,'Yield Curve'!A1720:B2342,2,FALSE))^(1/12)-1)</f>
        <v>7.9741404289037643E-3</v>
      </c>
      <c r="M1727" s="5">
        <f t="shared" si="241"/>
        <v>-6.0873848320382368E-2</v>
      </c>
    </row>
    <row r="1728" spans="1:13" x14ac:dyDescent="0.25">
      <c r="A1728" s="4">
        <v>1720</v>
      </c>
      <c r="B1728" s="4">
        <f t="shared" si="234"/>
        <v>188</v>
      </c>
      <c r="C1728" s="4">
        <f t="shared" si="235"/>
        <v>1735</v>
      </c>
      <c r="D1728" s="4">
        <f>IF(B1728&gt;'Mortality Table'!$A$118,D1727,VLOOKUP(B1728,'Mortality Table'!$A$2:$B$118,2,FALSE))</f>
        <v>0.59733000000000003</v>
      </c>
      <c r="E1728" s="4">
        <f>IF(INT((C1728-1)/12)+1&gt;'Lapse Table'!$A$11,E1727,VLOOKUP(INT((C1728-1)/12)+1,'Lapse Table'!$A$2:$B$11,2,FALSE))/12</f>
        <v>0</v>
      </c>
      <c r="F1728" s="5">
        <f t="shared" si="242"/>
        <v>-59.305399865619783</v>
      </c>
      <c r="G1728" s="6">
        <f t="shared" si="236"/>
        <v>4.9777500000000002E-2</v>
      </c>
      <c r="H1728" s="6">
        <f t="shared" si="237"/>
        <v>0</v>
      </c>
      <c r="I1728" s="7">
        <f t="shared" si="238"/>
        <v>-1976.846662187326</v>
      </c>
      <c r="J1728" s="8">
        <f t="shared" si="239"/>
        <v>49777.5</v>
      </c>
      <c r="K1728" s="7">
        <f t="shared" si="240"/>
        <v>-51754.346662187323</v>
      </c>
      <c r="L1728" s="4">
        <f>IF(A1728&gt;'Yield Curve'!A2342,L1727,(1+VLOOKUP(A1728,'Yield Curve'!A1721:B2343,2,FALSE))^(1/12)-1)</f>
        <v>7.9741404289037643E-3</v>
      </c>
      <c r="M1728" s="5">
        <f t="shared" si="241"/>
        <v>-6.0394208108621034E-2</v>
      </c>
    </row>
    <row r="1729" spans="1:13" x14ac:dyDescent="0.25">
      <c r="A1729" s="4">
        <v>1721</v>
      </c>
      <c r="B1729" s="4">
        <f t="shared" si="234"/>
        <v>188</v>
      </c>
      <c r="C1729" s="4">
        <f t="shared" si="235"/>
        <v>1736</v>
      </c>
      <c r="D1729" s="4">
        <f>IF(B1729&gt;'Mortality Table'!$A$118,D1728,VLOOKUP(B1729,'Mortality Table'!$A$2:$B$118,2,FALSE))</f>
        <v>0.59733000000000003</v>
      </c>
      <c r="E1729" s="4">
        <f>IF(INT((C1729-1)/12)+1&gt;'Lapse Table'!$A$11,E1728,VLOOKUP(INT((C1729-1)/12)+1,'Lapse Table'!$A$2:$B$11,2,FALSE))/12</f>
        <v>0</v>
      </c>
      <c r="F1729" s="5">
        <f t="shared" si="242"/>
        <v>-59.355177365619781</v>
      </c>
      <c r="G1729" s="6">
        <f t="shared" si="236"/>
        <v>4.9777500000000002E-2</v>
      </c>
      <c r="H1729" s="6">
        <f t="shared" si="237"/>
        <v>0</v>
      </c>
      <c r="I1729" s="7">
        <f t="shared" si="238"/>
        <v>-1978.5059121873262</v>
      </c>
      <c r="J1729" s="8">
        <f t="shared" si="239"/>
        <v>49777.5</v>
      </c>
      <c r="K1729" s="7">
        <f t="shared" si="240"/>
        <v>-51756.005912187327</v>
      </c>
      <c r="L1729" s="4">
        <f>IF(A1729&gt;'Yield Curve'!A2343,L1728,(1+VLOOKUP(A1729,'Yield Curve'!A1722:B2344,2,FALSE))^(1/12)-1)</f>
        <v>7.9741404289037643E-3</v>
      </c>
      <c r="M1729" s="5">
        <f t="shared" si="241"/>
        <v>-5.9918347039957152E-2</v>
      </c>
    </row>
    <row r="1730" spans="1:13" x14ac:dyDescent="0.25">
      <c r="A1730" s="4">
        <v>1722</v>
      </c>
      <c r="B1730" s="4">
        <f t="shared" si="234"/>
        <v>188</v>
      </c>
      <c r="C1730" s="4">
        <f t="shared" si="235"/>
        <v>1737</v>
      </c>
      <c r="D1730" s="4">
        <f>IF(B1730&gt;'Mortality Table'!$A$118,D1729,VLOOKUP(B1730,'Mortality Table'!$A$2:$B$118,2,FALSE))</f>
        <v>0.59733000000000003</v>
      </c>
      <c r="E1730" s="4">
        <f>IF(INT((C1730-1)/12)+1&gt;'Lapse Table'!$A$11,E1729,VLOOKUP(INT((C1730-1)/12)+1,'Lapse Table'!$A$2:$B$11,2,FALSE))/12</f>
        <v>0</v>
      </c>
      <c r="F1730" s="5">
        <f t="shared" si="242"/>
        <v>-59.404954865619779</v>
      </c>
      <c r="G1730" s="6">
        <f t="shared" si="236"/>
        <v>4.9777500000000002E-2</v>
      </c>
      <c r="H1730" s="6">
        <f t="shared" si="237"/>
        <v>0</v>
      </c>
      <c r="I1730" s="7">
        <f t="shared" si="238"/>
        <v>-1980.1651621873259</v>
      </c>
      <c r="J1730" s="8">
        <f t="shared" si="239"/>
        <v>49777.5</v>
      </c>
      <c r="K1730" s="7">
        <f t="shared" si="240"/>
        <v>-51757.665162187324</v>
      </c>
      <c r="L1730" s="4">
        <f>IF(A1730&gt;'Yield Curve'!A2344,L1729,(1+VLOOKUP(A1730,'Yield Curve'!A1723:B2345,2,FALSE))^(1/12)-1)</f>
        <v>7.9741404289037643E-3</v>
      </c>
      <c r="M1730" s="5">
        <f t="shared" si="241"/>
        <v>-5.9446235338555461E-2</v>
      </c>
    </row>
    <row r="1731" spans="1:13" x14ac:dyDescent="0.25">
      <c r="A1731" s="4">
        <v>1723</v>
      </c>
      <c r="B1731" s="4">
        <f t="shared" si="234"/>
        <v>188</v>
      </c>
      <c r="C1731" s="4">
        <f t="shared" si="235"/>
        <v>1738</v>
      </c>
      <c r="D1731" s="4">
        <f>IF(B1731&gt;'Mortality Table'!$A$118,D1730,VLOOKUP(B1731,'Mortality Table'!$A$2:$B$118,2,FALSE))</f>
        <v>0.59733000000000003</v>
      </c>
      <c r="E1731" s="4">
        <f>IF(INT((C1731-1)/12)+1&gt;'Lapse Table'!$A$11,E1730,VLOOKUP(INT((C1731-1)/12)+1,'Lapse Table'!$A$2:$B$11,2,FALSE))/12</f>
        <v>0</v>
      </c>
      <c r="F1731" s="5">
        <f t="shared" si="242"/>
        <v>-59.454732365619776</v>
      </c>
      <c r="G1731" s="6">
        <f t="shared" si="236"/>
        <v>4.9777500000000002E-2</v>
      </c>
      <c r="H1731" s="6">
        <f t="shared" si="237"/>
        <v>0</v>
      </c>
      <c r="I1731" s="7">
        <f t="shared" si="238"/>
        <v>-1981.8244121873258</v>
      </c>
      <c r="J1731" s="8">
        <f t="shared" si="239"/>
        <v>49777.5</v>
      </c>
      <c r="K1731" s="7">
        <f t="shared" si="240"/>
        <v>-51759.324412187329</v>
      </c>
      <c r="L1731" s="4">
        <f>IF(A1731&gt;'Yield Curve'!A2345,L1730,(1+VLOOKUP(A1731,'Yield Curve'!A1724:B2346,2,FALSE))^(1/12)-1)</f>
        <v>7.9741404289037643E-3</v>
      </c>
      <c r="M1731" s="5">
        <f t="shared" si="241"/>
        <v>-5.8977843463180392E-2</v>
      </c>
    </row>
    <row r="1732" spans="1:13" x14ac:dyDescent="0.25">
      <c r="A1732" s="4">
        <v>1724</v>
      </c>
      <c r="B1732" s="4">
        <f t="shared" si="234"/>
        <v>188</v>
      </c>
      <c r="C1732" s="4">
        <f t="shared" si="235"/>
        <v>1739</v>
      </c>
      <c r="D1732" s="4">
        <f>IF(B1732&gt;'Mortality Table'!$A$118,D1731,VLOOKUP(B1732,'Mortality Table'!$A$2:$B$118,2,FALSE))</f>
        <v>0.59733000000000003</v>
      </c>
      <c r="E1732" s="4">
        <f>IF(INT((C1732-1)/12)+1&gt;'Lapse Table'!$A$11,E1731,VLOOKUP(INT((C1732-1)/12)+1,'Lapse Table'!$A$2:$B$11,2,FALSE))/12</f>
        <v>0</v>
      </c>
      <c r="F1732" s="5">
        <f t="shared" si="242"/>
        <v>-59.504509865619774</v>
      </c>
      <c r="G1732" s="6">
        <f t="shared" si="236"/>
        <v>4.9777500000000002E-2</v>
      </c>
      <c r="H1732" s="6">
        <f t="shared" si="237"/>
        <v>0</v>
      </c>
      <c r="I1732" s="7">
        <f t="shared" si="238"/>
        <v>-1983.4836621873258</v>
      </c>
      <c r="J1732" s="8">
        <f t="shared" si="239"/>
        <v>49777.5</v>
      </c>
      <c r="K1732" s="7">
        <f t="shared" si="240"/>
        <v>-51760.983662187326</v>
      </c>
      <c r="L1732" s="4">
        <f>IF(A1732&gt;'Yield Curve'!A2346,L1731,(1+VLOOKUP(A1732,'Yield Curve'!A1725:B2347,2,FALSE))^(1/12)-1)</f>
        <v>7.9741404289037643E-3</v>
      </c>
      <c r="M1732" s="5">
        <f t="shared" si="241"/>
        <v>-5.8513142105347679E-2</v>
      </c>
    </row>
    <row r="1733" spans="1:13" x14ac:dyDescent="0.25">
      <c r="A1733" s="4">
        <v>1725</v>
      </c>
      <c r="B1733" s="4">
        <f t="shared" si="234"/>
        <v>188</v>
      </c>
      <c r="C1733" s="4">
        <f t="shared" si="235"/>
        <v>1740</v>
      </c>
      <c r="D1733" s="4">
        <f>IF(B1733&gt;'Mortality Table'!$A$118,D1732,VLOOKUP(B1733,'Mortality Table'!$A$2:$B$118,2,FALSE))</f>
        <v>0.59733000000000003</v>
      </c>
      <c r="E1733" s="4">
        <f>IF(INT((C1733-1)/12)+1&gt;'Lapse Table'!$A$11,E1732,VLOOKUP(INT((C1733-1)/12)+1,'Lapse Table'!$A$2:$B$11,2,FALSE))/12</f>
        <v>0</v>
      </c>
      <c r="F1733" s="5">
        <f t="shared" si="242"/>
        <v>-59.554287365619771</v>
      </c>
      <c r="G1733" s="6">
        <f t="shared" si="236"/>
        <v>4.9777500000000002E-2</v>
      </c>
      <c r="H1733" s="6">
        <f t="shared" si="237"/>
        <v>0</v>
      </c>
      <c r="I1733" s="7">
        <f t="shared" si="238"/>
        <v>-1985.1429121873259</v>
      </c>
      <c r="J1733" s="8">
        <f t="shared" si="239"/>
        <v>49777.5</v>
      </c>
      <c r="K1733" s="7">
        <f t="shared" si="240"/>
        <v>-51762.642912187323</v>
      </c>
      <c r="L1733" s="4">
        <f>IF(A1733&gt;'Yield Curve'!A2347,L1732,(1+VLOOKUP(A1733,'Yield Curve'!A1726:B2348,2,FALSE))^(1/12)-1)</f>
        <v>7.9741404289037643E-3</v>
      </c>
      <c r="M1733" s="5">
        <f t="shared" si="241"/>
        <v>-5.8052102187490552E-2</v>
      </c>
    </row>
    <row r="1734" spans="1:13" x14ac:dyDescent="0.25">
      <c r="A1734" s="4">
        <v>1726</v>
      </c>
      <c r="B1734" s="4">
        <f t="shared" si="234"/>
        <v>188</v>
      </c>
      <c r="C1734" s="4">
        <f t="shared" si="235"/>
        <v>1741</v>
      </c>
      <c r="D1734" s="4">
        <f>IF(B1734&gt;'Mortality Table'!$A$118,D1733,VLOOKUP(B1734,'Mortality Table'!$A$2:$B$118,2,FALSE))</f>
        <v>0.59733000000000003</v>
      </c>
      <c r="E1734" s="4">
        <f>IF(INT((C1734-1)/12)+1&gt;'Lapse Table'!$A$11,E1733,VLOOKUP(INT((C1734-1)/12)+1,'Lapse Table'!$A$2:$B$11,2,FALSE))/12</f>
        <v>0</v>
      </c>
      <c r="F1734" s="5">
        <f t="shared" si="242"/>
        <v>-59.604064865619769</v>
      </c>
      <c r="G1734" s="6">
        <f t="shared" si="236"/>
        <v>4.9777500000000002E-2</v>
      </c>
      <c r="H1734" s="6">
        <f t="shared" si="237"/>
        <v>0</v>
      </c>
      <c r="I1734" s="7">
        <f t="shared" si="238"/>
        <v>-1986.8021621873256</v>
      </c>
      <c r="J1734" s="8">
        <f t="shared" si="239"/>
        <v>49777.5</v>
      </c>
      <c r="K1734" s="7">
        <f t="shared" si="240"/>
        <v>-51764.302162187327</v>
      </c>
      <c r="L1734" s="4">
        <f>IF(A1734&gt;'Yield Curve'!A2348,L1733,(1+VLOOKUP(A1734,'Yield Curve'!A1727:B2349,2,FALSE))^(1/12)-1)</f>
        <v>7.9741404289037643E-3</v>
      </c>
      <c r="M1734" s="5">
        <f t="shared" si="241"/>
        <v>-5.7594694861140536E-2</v>
      </c>
    </row>
    <row r="1735" spans="1:13" x14ac:dyDescent="0.25">
      <c r="A1735" s="4">
        <v>1727</v>
      </c>
      <c r="B1735" s="4">
        <f t="shared" si="234"/>
        <v>188</v>
      </c>
      <c r="C1735" s="4">
        <f t="shared" si="235"/>
        <v>1742</v>
      </c>
      <c r="D1735" s="4">
        <f>IF(B1735&gt;'Mortality Table'!$A$118,D1734,VLOOKUP(B1735,'Mortality Table'!$A$2:$B$118,2,FALSE))</f>
        <v>0.59733000000000003</v>
      </c>
      <c r="E1735" s="4">
        <f>IF(INT((C1735-1)/12)+1&gt;'Lapse Table'!$A$11,E1734,VLOOKUP(INT((C1735-1)/12)+1,'Lapse Table'!$A$2:$B$11,2,FALSE))/12</f>
        <v>0</v>
      </c>
      <c r="F1735" s="5">
        <f t="shared" si="242"/>
        <v>-59.653842365619766</v>
      </c>
      <c r="G1735" s="6">
        <f t="shared" si="236"/>
        <v>4.9777500000000002E-2</v>
      </c>
      <c r="H1735" s="6">
        <f t="shared" si="237"/>
        <v>0</v>
      </c>
      <c r="I1735" s="7">
        <f t="shared" si="238"/>
        <v>-1988.4614121873255</v>
      </c>
      <c r="J1735" s="8">
        <f t="shared" si="239"/>
        <v>49777.5</v>
      </c>
      <c r="K1735" s="7">
        <f t="shared" si="240"/>
        <v>-51765.961412187324</v>
      </c>
      <c r="L1735" s="4">
        <f>IF(A1735&gt;'Yield Curve'!A2349,L1734,(1+VLOOKUP(A1735,'Yield Curve'!A1728:B2350,2,FALSE))^(1/12)-1)</f>
        <v>7.9741404289037643E-3</v>
      </c>
      <c r="M1735" s="5">
        <f t="shared" si="241"/>
        <v>-5.71408915051222E-2</v>
      </c>
    </row>
    <row r="1736" spans="1:13" x14ac:dyDescent="0.25">
      <c r="A1736" s="4">
        <v>1728</v>
      </c>
      <c r="B1736" s="4">
        <f t="shared" si="234"/>
        <v>189</v>
      </c>
      <c r="C1736" s="4">
        <f t="shared" si="235"/>
        <v>1743</v>
      </c>
      <c r="D1736" s="4">
        <f>IF(B1736&gt;'Mortality Table'!$A$118,D1735,VLOOKUP(B1736,'Mortality Table'!$A$2:$B$118,2,FALSE))</f>
        <v>0.59733000000000003</v>
      </c>
      <c r="E1736" s="4">
        <f>IF(INT((C1736-1)/12)+1&gt;'Lapse Table'!$A$11,E1735,VLOOKUP(INT((C1736-1)/12)+1,'Lapse Table'!$A$2:$B$11,2,FALSE))/12</f>
        <v>0</v>
      </c>
      <c r="F1736" s="5">
        <f t="shared" si="242"/>
        <v>-59.703619865619764</v>
      </c>
      <c r="G1736" s="6">
        <f t="shared" si="236"/>
        <v>4.9777500000000002E-2</v>
      </c>
      <c r="H1736" s="6">
        <f t="shared" si="237"/>
        <v>0</v>
      </c>
      <c r="I1736" s="7">
        <f t="shared" si="238"/>
        <v>-1990.1206621873255</v>
      </c>
      <c r="J1736" s="8">
        <f t="shared" si="239"/>
        <v>49777.5</v>
      </c>
      <c r="K1736" s="7">
        <f t="shared" si="240"/>
        <v>-51767.620662187328</v>
      </c>
      <c r="L1736" s="4">
        <f>IF(A1736&gt;'Yield Curve'!A2350,L1735,(1+VLOOKUP(A1736,'Yield Curve'!A1729:B2351,2,FALSE))^(1/12)-1)</f>
        <v>7.9741404289037643E-3</v>
      </c>
      <c r="M1736" s="5">
        <f t="shared" si="241"/>
        <v>-5.6690663723762573E-2</v>
      </c>
    </row>
    <row r="1737" spans="1:13" x14ac:dyDescent="0.25">
      <c r="A1737" s="4">
        <v>1729</v>
      </c>
      <c r="B1737" s="4">
        <f t="shared" si="234"/>
        <v>189</v>
      </c>
      <c r="C1737" s="4">
        <f t="shared" si="235"/>
        <v>1744</v>
      </c>
      <c r="D1737" s="4">
        <f>IF(B1737&gt;'Mortality Table'!$A$118,D1736,VLOOKUP(B1737,'Mortality Table'!$A$2:$B$118,2,FALSE))</f>
        <v>0.59733000000000003</v>
      </c>
      <c r="E1737" s="4">
        <f>IF(INT((C1737-1)/12)+1&gt;'Lapse Table'!$A$11,E1736,VLOOKUP(INT((C1737-1)/12)+1,'Lapse Table'!$A$2:$B$11,2,FALSE))/12</f>
        <v>0</v>
      </c>
      <c r="F1737" s="5">
        <f t="shared" si="242"/>
        <v>-59.753397365619762</v>
      </c>
      <c r="G1737" s="6">
        <f t="shared" si="236"/>
        <v>4.9777500000000002E-2</v>
      </c>
      <c r="H1737" s="6">
        <f t="shared" si="237"/>
        <v>0</v>
      </c>
      <c r="I1737" s="7">
        <f t="shared" si="238"/>
        <v>-1991.7799121873252</v>
      </c>
      <c r="J1737" s="8">
        <f t="shared" si="239"/>
        <v>49777.5</v>
      </c>
      <c r="K1737" s="7">
        <f t="shared" si="240"/>
        <v>-51769.279912187325</v>
      </c>
      <c r="L1737" s="4">
        <f>IF(A1737&gt;'Yield Curve'!A2351,L1736,(1+VLOOKUP(A1737,'Yield Curve'!A1730:B2352,2,FALSE))^(1/12)-1)</f>
        <v>7.9741404289037643E-3</v>
      </c>
      <c r="M1737" s="5">
        <f t="shared" si="241"/>
        <v>-5.624398334511449E-2</v>
      </c>
    </row>
    <row r="1738" spans="1:13" x14ac:dyDescent="0.25">
      <c r="A1738" s="4">
        <v>1730</v>
      </c>
      <c r="B1738" s="4">
        <f t="shared" ref="B1738:B1801" si="243">INT($B$3+A1738/12)</f>
        <v>189</v>
      </c>
      <c r="C1738" s="4">
        <f t="shared" ref="C1738:C1801" si="244">$B$4+A1738</f>
        <v>1745</v>
      </c>
      <c r="D1738" s="4">
        <f>IF(B1738&gt;'Mortality Table'!$A$118,D1737,VLOOKUP(B1738,'Mortality Table'!$A$2:$B$118,2,FALSE))</f>
        <v>0.59733000000000003</v>
      </c>
      <c r="E1738" s="4">
        <f>IF(INT((C1738-1)/12)+1&gt;'Lapse Table'!$A$11,E1737,VLOOKUP(INT((C1738-1)/12)+1,'Lapse Table'!$A$2:$B$11,2,FALSE))/12</f>
        <v>0</v>
      </c>
      <c r="F1738" s="5">
        <f t="shared" si="242"/>
        <v>-59.803174865619759</v>
      </c>
      <c r="G1738" s="6">
        <f t="shared" ref="G1738:G1801" si="245">D1738/12*(1-0.5*E1738)</f>
        <v>4.9777500000000002E-2</v>
      </c>
      <c r="H1738" s="6">
        <f t="shared" ref="H1738:H1801" si="246">E1738*(1-0.5*D1738)</f>
        <v>0</v>
      </c>
      <c r="I1738" s="7">
        <f t="shared" ref="I1738:I1801" si="247">F1738*$B$5/12</f>
        <v>-1993.4391621873253</v>
      </c>
      <c r="J1738" s="8">
        <f t="shared" ref="J1738:J1801" si="248">$B$6*G1738</f>
        <v>49777.5</v>
      </c>
      <c r="K1738" s="7">
        <f t="shared" ref="K1738:K1801" si="249">I1738-J1738</f>
        <v>-51770.939162187322</v>
      </c>
      <c r="L1738" s="4">
        <f>IF(A1738&gt;'Yield Curve'!A2352,L1737,(1+VLOOKUP(A1738,'Yield Curve'!A1731:B2353,2,FALSE))^(1/12)-1)</f>
        <v>7.9741404289037643E-3</v>
      </c>
      <c r="M1738" s="5">
        <f t="shared" ref="M1738:M1801" si="250">K1738*(1+L1738)^-A1738</f>
        <v>-5.5800822419193742E-2</v>
      </c>
    </row>
    <row r="1739" spans="1:13" x14ac:dyDescent="0.25">
      <c r="A1739" s="4">
        <v>1731</v>
      </c>
      <c r="B1739" s="4">
        <f t="shared" si="243"/>
        <v>189</v>
      </c>
      <c r="C1739" s="4">
        <f t="shared" si="244"/>
        <v>1746</v>
      </c>
      <c r="D1739" s="4">
        <f>IF(B1739&gt;'Mortality Table'!$A$118,D1738,VLOOKUP(B1739,'Mortality Table'!$A$2:$B$118,2,FALSE))</f>
        <v>0.59733000000000003</v>
      </c>
      <c r="E1739" s="4">
        <f>IF(INT((C1739-1)/12)+1&gt;'Lapse Table'!$A$11,E1738,VLOOKUP(INT((C1739-1)/12)+1,'Lapse Table'!$A$2:$B$11,2,FALSE))/12</f>
        <v>0</v>
      </c>
      <c r="F1739" s="5">
        <f t="shared" ref="F1739:F1802" si="251">F1738-G1739-H1739</f>
        <v>-59.852952365619757</v>
      </c>
      <c r="G1739" s="6">
        <f t="shared" si="245"/>
        <v>4.9777500000000002E-2</v>
      </c>
      <c r="H1739" s="6">
        <f t="shared" si="246"/>
        <v>0</v>
      </c>
      <c r="I1739" s="7">
        <f t="shared" si="247"/>
        <v>-1995.0984121873253</v>
      </c>
      <c r="J1739" s="8">
        <f t="shared" si="248"/>
        <v>49777.5</v>
      </c>
      <c r="K1739" s="7">
        <f t="shared" si="249"/>
        <v>-51772.598412187326</v>
      </c>
      <c r="L1739" s="4">
        <f>IF(A1739&gt;'Yield Curve'!A2353,L1738,(1+VLOOKUP(A1739,'Yield Curve'!A1732:B2354,2,FALSE))^(1/12)-1)</f>
        <v>7.9741404289037643E-3</v>
      </c>
      <c r="M1739" s="5">
        <f t="shared" si="250"/>
        <v>-5.5361153216230419E-2</v>
      </c>
    </row>
    <row r="1740" spans="1:13" x14ac:dyDescent="0.25">
      <c r="A1740" s="4">
        <v>1732</v>
      </c>
      <c r="B1740" s="4">
        <f t="shared" si="243"/>
        <v>189</v>
      </c>
      <c r="C1740" s="4">
        <f t="shared" si="244"/>
        <v>1747</v>
      </c>
      <c r="D1740" s="4">
        <f>IF(B1740&gt;'Mortality Table'!$A$118,D1739,VLOOKUP(B1740,'Mortality Table'!$A$2:$B$118,2,FALSE))</f>
        <v>0.59733000000000003</v>
      </c>
      <c r="E1740" s="4">
        <f>IF(INT((C1740-1)/12)+1&gt;'Lapse Table'!$A$11,E1739,VLOOKUP(INT((C1740-1)/12)+1,'Lapse Table'!$A$2:$B$11,2,FALSE))/12</f>
        <v>0</v>
      </c>
      <c r="F1740" s="5">
        <f t="shared" si="251"/>
        <v>-59.902729865619754</v>
      </c>
      <c r="G1740" s="6">
        <f t="shared" si="245"/>
        <v>4.9777500000000002E-2</v>
      </c>
      <c r="H1740" s="6">
        <f t="shared" si="246"/>
        <v>0</v>
      </c>
      <c r="I1740" s="7">
        <f t="shared" si="247"/>
        <v>-1996.7576621873252</v>
      </c>
      <c r="J1740" s="8">
        <f t="shared" si="248"/>
        <v>49777.5</v>
      </c>
      <c r="K1740" s="7">
        <f t="shared" si="249"/>
        <v>-51774.257662187323</v>
      </c>
      <c r="L1740" s="4">
        <f>IF(A1740&gt;'Yield Curve'!A2354,L1739,(1+VLOOKUP(A1740,'Yield Curve'!A1733:B2355,2,FALSE))^(1/12)-1)</f>
        <v>7.9741404289037643E-3</v>
      </c>
      <c r="M1740" s="5">
        <f t="shared" si="250"/>
        <v>-5.4924948224933837E-2</v>
      </c>
    </row>
    <row r="1741" spans="1:13" x14ac:dyDescent="0.25">
      <c r="A1741" s="4">
        <v>1733</v>
      </c>
      <c r="B1741" s="4">
        <f t="shared" si="243"/>
        <v>189</v>
      </c>
      <c r="C1741" s="4">
        <f t="shared" si="244"/>
        <v>1748</v>
      </c>
      <c r="D1741" s="4">
        <f>IF(B1741&gt;'Mortality Table'!$A$118,D1740,VLOOKUP(B1741,'Mortality Table'!$A$2:$B$118,2,FALSE))</f>
        <v>0.59733000000000003</v>
      </c>
      <c r="E1741" s="4">
        <f>IF(INT((C1741-1)/12)+1&gt;'Lapse Table'!$A$11,E1740,VLOOKUP(INT((C1741-1)/12)+1,'Lapse Table'!$A$2:$B$11,2,FALSE))/12</f>
        <v>0</v>
      </c>
      <c r="F1741" s="5">
        <f t="shared" si="251"/>
        <v>-59.952507365619752</v>
      </c>
      <c r="G1741" s="6">
        <f t="shared" si="245"/>
        <v>4.9777500000000002E-2</v>
      </c>
      <c r="H1741" s="6">
        <f t="shared" si="246"/>
        <v>0</v>
      </c>
      <c r="I1741" s="7">
        <f t="shared" si="247"/>
        <v>-1998.4169121873249</v>
      </c>
      <c r="J1741" s="8">
        <f t="shared" si="248"/>
        <v>49777.5</v>
      </c>
      <c r="K1741" s="7">
        <f t="shared" si="249"/>
        <v>-51775.916912187327</v>
      </c>
      <c r="L1741" s="4">
        <f>IF(A1741&gt;'Yield Curve'!A2355,L1740,(1+VLOOKUP(A1741,'Yield Curve'!A1734:B2356,2,FALSE))^(1/12)-1)</f>
        <v>7.9741404289037643E-3</v>
      </c>
      <c r="M1741" s="5">
        <f t="shared" si="250"/>
        <v>-5.4492180150771286E-2</v>
      </c>
    </row>
    <row r="1742" spans="1:13" x14ac:dyDescent="0.25">
      <c r="A1742" s="4">
        <v>1734</v>
      </c>
      <c r="B1742" s="4">
        <f t="shared" si="243"/>
        <v>189</v>
      </c>
      <c r="C1742" s="4">
        <f t="shared" si="244"/>
        <v>1749</v>
      </c>
      <c r="D1742" s="4">
        <f>IF(B1742&gt;'Mortality Table'!$A$118,D1741,VLOOKUP(B1742,'Mortality Table'!$A$2:$B$118,2,FALSE))</f>
        <v>0.59733000000000003</v>
      </c>
      <c r="E1742" s="4">
        <f>IF(INT((C1742-1)/12)+1&gt;'Lapse Table'!$A$11,E1741,VLOOKUP(INT((C1742-1)/12)+1,'Lapse Table'!$A$2:$B$11,2,FALSE))/12</f>
        <v>0</v>
      </c>
      <c r="F1742" s="5">
        <f t="shared" si="251"/>
        <v>-60.00228486561975</v>
      </c>
      <c r="G1742" s="6">
        <f t="shared" si="245"/>
        <v>4.9777500000000002E-2</v>
      </c>
      <c r="H1742" s="6">
        <f t="shared" si="246"/>
        <v>0</v>
      </c>
      <c r="I1742" s="7">
        <f t="shared" si="247"/>
        <v>-2000.0761621873251</v>
      </c>
      <c r="J1742" s="8">
        <f t="shared" si="248"/>
        <v>49777.5</v>
      </c>
      <c r="K1742" s="7">
        <f t="shared" si="249"/>
        <v>-51777.576162187324</v>
      </c>
      <c r="L1742" s="4">
        <f>IF(A1742&gt;'Yield Curve'!A2356,L1741,(1+VLOOKUP(A1742,'Yield Curve'!A1735:B2357,2,FALSE))^(1/12)-1)</f>
        <v>7.9741404289037643E-3</v>
      </c>
      <c r="M1742" s="5">
        <f t="shared" si="250"/>
        <v>-5.4062821914260185E-2</v>
      </c>
    </row>
    <row r="1743" spans="1:13" x14ac:dyDescent="0.25">
      <c r="A1743" s="4">
        <v>1735</v>
      </c>
      <c r="B1743" s="4">
        <f t="shared" si="243"/>
        <v>189</v>
      </c>
      <c r="C1743" s="4">
        <f t="shared" si="244"/>
        <v>1750</v>
      </c>
      <c r="D1743" s="4">
        <f>IF(B1743&gt;'Mortality Table'!$A$118,D1742,VLOOKUP(B1743,'Mortality Table'!$A$2:$B$118,2,FALSE))</f>
        <v>0.59733000000000003</v>
      </c>
      <c r="E1743" s="4">
        <f>IF(INT((C1743-1)/12)+1&gt;'Lapse Table'!$A$11,E1742,VLOOKUP(INT((C1743-1)/12)+1,'Lapse Table'!$A$2:$B$11,2,FALSE))/12</f>
        <v>0</v>
      </c>
      <c r="F1743" s="5">
        <f t="shared" si="251"/>
        <v>-60.052062365619747</v>
      </c>
      <c r="G1743" s="6">
        <f t="shared" si="245"/>
        <v>4.9777500000000002E-2</v>
      </c>
      <c r="H1743" s="6">
        <f t="shared" si="246"/>
        <v>0</v>
      </c>
      <c r="I1743" s="7">
        <f t="shared" si="247"/>
        <v>-2001.735412187325</v>
      </c>
      <c r="J1743" s="8">
        <f t="shared" si="248"/>
        <v>49777.5</v>
      </c>
      <c r="K1743" s="7">
        <f t="shared" si="249"/>
        <v>-51779.235412187321</v>
      </c>
      <c r="L1743" s="4">
        <f>IF(A1743&gt;'Yield Curve'!A2357,L1742,(1+VLOOKUP(A1743,'Yield Curve'!A1736:B2358,2,FALSE))^(1/12)-1)</f>
        <v>7.9741404289037643E-3</v>
      </c>
      <c r="M1743" s="5">
        <f t="shared" si="250"/>
        <v>-5.3636846649273699E-2</v>
      </c>
    </row>
    <row r="1744" spans="1:13" x14ac:dyDescent="0.25">
      <c r="A1744" s="4">
        <v>1736</v>
      </c>
      <c r="B1744" s="4">
        <f t="shared" si="243"/>
        <v>189</v>
      </c>
      <c r="C1744" s="4">
        <f t="shared" si="244"/>
        <v>1751</v>
      </c>
      <c r="D1744" s="4">
        <f>IF(B1744&gt;'Mortality Table'!$A$118,D1743,VLOOKUP(B1744,'Mortality Table'!$A$2:$B$118,2,FALSE))</f>
        <v>0.59733000000000003</v>
      </c>
      <c r="E1744" s="4">
        <f>IF(INT((C1744-1)/12)+1&gt;'Lapse Table'!$A$11,E1743,VLOOKUP(INT((C1744-1)/12)+1,'Lapse Table'!$A$2:$B$11,2,FALSE))/12</f>
        <v>0</v>
      </c>
      <c r="F1744" s="5">
        <f t="shared" si="251"/>
        <v>-60.101839865619745</v>
      </c>
      <c r="G1744" s="6">
        <f t="shared" si="245"/>
        <v>4.9777500000000002E-2</v>
      </c>
      <c r="H1744" s="6">
        <f t="shared" si="246"/>
        <v>0</v>
      </c>
      <c r="I1744" s="7">
        <f t="shared" si="247"/>
        <v>-2003.3946621873247</v>
      </c>
      <c r="J1744" s="8">
        <f t="shared" si="248"/>
        <v>49777.5</v>
      </c>
      <c r="K1744" s="7">
        <f t="shared" si="249"/>
        <v>-51780.894662187326</v>
      </c>
      <c r="L1744" s="4">
        <f>IF(A1744&gt;'Yield Curve'!A2358,L1743,(1+VLOOKUP(A1744,'Yield Curve'!A1737:B2359,2,FALSE))^(1/12)-1)</f>
        <v>7.9741404289037643E-3</v>
      </c>
      <c r="M1744" s="5">
        <f t="shared" si="250"/>
        <v>-5.3214227701359855E-2</v>
      </c>
    </row>
    <row r="1745" spans="1:13" x14ac:dyDescent="0.25">
      <c r="A1745" s="4">
        <v>1737</v>
      </c>
      <c r="B1745" s="4">
        <f t="shared" si="243"/>
        <v>189</v>
      </c>
      <c r="C1745" s="4">
        <f t="shared" si="244"/>
        <v>1752</v>
      </c>
      <c r="D1745" s="4">
        <f>IF(B1745&gt;'Mortality Table'!$A$118,D1744,VLOOKUP(B1745,'Mortality Table'!$A$2:$B$118,2,FALSE))</f>
        <v>0.59733000000000003</v>
      </c>
      <c r="E1745" s="4">
        <f>IF(INT((C1745-1)/12)+1&gt;'Lapse Table'!$A$11,E1744,VLOOKUP(INT((C1745-1)/12)+1,'Lapse Table'!$A$2:$B$11,2,FALSE))/12</f>
        <v>0</v>
      </c>
      <c r="F1745" s="5">
        <f t="shared" si="251"/>
        <v>-60.151617365619742</v>
      </c>
      <c r="G1745" s="6">
        <f t="shared" si="245"/>
        <v>4.9777500000000002E-2</v>
      </c>
      <c r="H1745" s="6">
        <f t="shared" si="246"/>
        <v>0</v>
      </c>
      <c r="I1745" s="7">
        <f t="shared" si="247"/>
        <v>-2005.0539121873246</v>
      </c>
      <c r="J1745" s="8">
        <f t="shared" si="248"/>
        <v>49777.5</v>
      </c>
      <c r="K1745" s="7">
        <f t="shared" si="249"/>
        <v>-51782.553912187323</v>
      </c>
      <c r="L1745" s="4">
        <f>IF(A1745&gt;'Yield Curve'!A2359,L1744,(1+VLOOKUP(A1745,'Yield Curve'!A1738:B2360,2,FALSE))^(1/12)-1)</f>
        <v>7.9741404289037643E-3</v>
      </c>
      <c r="M1745" s="5">
        <f t="shared" si="250"/>
        <v>-5.2794938626073838E-2</v>
      </c>
    </row>
    <row r="1746" spans="1:13" x14ac:dyDescent="0.25">
      <c r="A1746" s="4">
        <v>1738</v>
      </c>
      <c r="B1746" s="4">
        <f t="shared" si="243"/>
        <v>189</v>
      </c>
      <c r="C1746" s="4">
        <f t="shared" si="244"/>
        <v>1753</v>
      </c>
      <c r="D1746" s="4">
        <f>IF(B1746&gt;'Mortality Table'!$A$118,D1745,VLOOKUP(B1746,'Mortality Table'!$A$2:$B$118,2,FALSE))</f>
        <v>0.59733000000000003</v>
      </c>
      <c r="E1746" s="4">
        <f>IF(INT((C1746-1)/12)+1&gt;'Lapse Table'!$A$11,E1745,VLOOKUP(INT((C1746-1)/12)+1,'Lapse Table'!$A$2:$B$11,2,FALSE))/12</f>
        <v>0</v>
      </c>
      <c r="F1746" s="5">
        <f t="shared" si="251"/>
        <v>-60.20139486561974</v>
      </c>
      <c r="G1746" s="6">
        <f t="shared" si="245"/>
        <v>4.9777500000000002E-2</v>
      </c>
      <c r="H1746" s="6">
        <f t="shared" si="246"/>
        <v>0</v>
      </c>
      <c r="I1746" s="7">
        <f t="shared" si="247"/>
        <v>-2006.7131621873248</v>
      </c>
      <c r="J1746" s="8">
        <f t="shared" si="248"/>
        <v>49777.5</v>
      </c>
      <c r="K1746" s="7">
        <f t="shared" si="249"/>
        <v>-51784.213162187327</v>
      </c>
      <c r="L1746" s="4">
        <f>IF(A1746&gt;'Yield Curve'!A2360,L1745,(1+VLOOKUP(A1746,'Yield Curve'!A1739:B2361,2,FALSE))^(1/12)-1)</f>
        <v>7.9741404289037643E-3</v>
      </c>
      <c r="M1746" s="5">
        <f t="shared" si="250"/>
        <v>-5.2378953187323295E-2</v>
      </c>
    </row>
    <row r="1747" spans="1:13" x14ac:dyDescent="0.25">
      <c r="A1747" s="4">
        <v>1739</v>
      </c>
      <c r="B1747" s="4">
        <f t="shared" si="243"/>
        <v>189</v>
      </c>
      <c r="C1747" s="4">
        <f t="shared" si="244"/>
        <v>1754</v>
      </c>
      <c r="D1747" s="4">
        <f>IF(B1747&gt;'Mortality Table'!$A$118,D1746,VLOOKUP(B1747,'Mortality Table'!$A$2:$B$118,2,FALSE))</f>
        <v>0.59733000000000003</v>
      </c>
      <c r="E1747" s="4">
        <f>IF(INT((C1747-1)/12)+1&gt;'Lapse Table'!$A$11,E1746,VLOOKUP(INT((C1747-1)/12)+1,'Lapse Table'!$A$2:$B$11,2,FALSE))/12</f>
        <v>0</v>
      </c>
      <c r="F1747" s="5">
        <f t="shared" si="251"/>
        <v>-60.251172365619738</v>
      </c>
      <c r="G1747" s="6">
        <f t="shared" si="245"/>
        <v>4.9777500000000002E-2</v>
      </c>
      <c r="H1747" s="6">
        <f t="shared" si="246"/>
        <v>0</v>
      </c>
      <c r="I1747" s="7">
        <f t="shared" si="247"/>
        <v>-2008.3724121873247</v>
      </c>
      <c r="J1747" s="8">
        <f t="shared" si="248"/>
        <v>49777.5</v>
      </c>
      <c r="K1747" s="7">
        <f t="shared" si="249"/>
        <v>-51785.872412187324</v>
      </c>
      <c r="L1747" s="4">
        <f>IF(A1747&gt;'Yield Curve'!A2361,L1746,(1+VLOOKUP(A1747,'Yield Curve'!A1740:B2362,2,FALSE))^(1/12)-1)</f>
        <v>7.9741404289037643E-3</v>
      </c>
      <c r="M1747" s="5">
        <f t="shared" si="250"/>
        <v>-5.1966245355726817E-2</v>
      </c>
    </row>
    <row r="1748" spans="1:13" x14ac:dyDescent="0.25">
      <c r="A1748" s="4">
        <v>1740</v>
      </c>
      <c r="B1748" s="4">
        <f t="shared" si="243"/>
        <v>190</v>
      </c>
      <c r="C1748" s="4">
        <f t="shared" si="244"/>
        <v>1755</v>
      </c>
      <c r="D1748" s="4">
        <f>IF(B1748&gt;'Mortality Table'!$A$118,D1747,VLOOKUP(B1748,'Mortality Table'!$A$2:$B$118,2,FALSE))</f>
        <v>0.59733000000000003</v>
      </c>
      <c r="E1748" s="4">
        <f>IF(INT((C1748-1)/12)+1&gt;'Lapse Table'!$A$11,E1747,VLOOKUP(INT((C1748-1)/12)+1,'Lapse Table'!$A$2:$B$11,2,FALSE))/12</f>
        <v>0</v>
      </c>
      <c r="F1748" s="5">
        <f t="shared" si="251"/>
        <v>-60.300949865619735</v>
      </c>
      <c r="G1748" s="6">
        <f t="shared" si="245"/>
        <v>4.9777500000000002E-2</v>
      </c>
      <c r="H1748" s="6">
        <f t="shared" si="246"/>
        <v>0</v>
      </c>
      <c r="I1748" s="7">
        <f t="shared" si="247"/>
        <v>-2010.0316621873244</v>
      </c>
      <c r="J1748" s="8">
        <f t="shared" si="248"/>
        <v>49777.5</v>
      </c>
      <c r="K1748" s="7">
        <f t="shared" si="249"/>
        <v>-51787.531662187321</v>
      </c>
      <c r="L1748" s="4">
        <f>IF(A1748&gt;'Yield Curve'!A2362,L1747,(1+VLOOKUP(A1748,'Yield Curve'!A1741:B2363,2,FALSE))^(1/12)-1)</f>
        <v>7.9741404289037643E-3</v>
      </c>
      <c r="M1748" s="5">
        <f t="shared" si="250"/>
        <v>-5.155678930698538E-2</v>
      </c>
    </row>
    <row r="1749" spans="1:13" x14ac:dyDescent="0.25">
      <c r="A1749" s="4">
        <v>1741</v>
      </c>
      <c r="B1749" s="4">
        <f t="shared" si="243"/>
        <v>190</v>
      </c>
      <c r="C1749" s="4">
        <f t="shared" si="244"/>
        <v>1756</v>
      </c>
      <c r="D1749" s="4">
        <f>IF(B1749&gt;'Mortality Table'!$A$118,D1748,VLOOKUP(B1749,'Mortality Table'!$A$2:$B$118,2,FALSE))</f>
        <v>0.59733000000000003</v>
      </c>
      <c r="E1749" s="4">
        <f>IF(INT((C1749-1)/12)+1&gt;'Lapse Table'!$A$11,E1748,VLOOKUP(INT((C1749-1)/12)+1,'Lapse Table'!$A$2:$B$11,2,FALSE))/12</f>
        <v>0</v>
      </c>
      <c r="F1749" s="5">
        <f t="shared" si="251"/>
        <v>-60.350727365619733</v>
      </c>
      <c r="G1749" s="6">
        <f t="shared" si="245"/>
        <v>4.9777500000000002E-2</v>
      </c>
      <c r="H1749" s="6">
        <f t="shared" si="246"/>
        <v>0</v>
      </c>
      <c r="I1749" s="7">
        <f t="shared" si="247"/>
        <v>-2011.6909121873243</v>
      </c>
      <c r="J1749" s="8">
        <f t="shared" si="248"/>
        <v>49777.5</v>
      </c>
      <c r="K1749" s="7">
        <f t="shared" si="249"/>
        <v>-51789.190912187325</v>
      </c>
      <c r="L1749" s="4">
        <f>IF(A1749&gt;'Yield Curve'!A2363,L1748,(1+VLOOKUP(A1749,'Yield Curve'!A1742:B2364,2,FALSE))^(1/12)-1)</f>
        <v>7.9741404289037643E-3</v>
      </c>
      <c r="M1749" s="5">
        <f t="shared" si="250"/>
        <v>-5.1150559420266438E-2</v>
      </c>
    </row>
    <row r="1750" spans="1:13" x14ac:dyDescent="0.25">
      <c r="A1750" s="4">
        <v>1742</v>
      </c>
      <c r="B1750" s="4">
        <f t="shared" si="243"/>
        <v>190</v>
      </c>
      <c r="C1750" s="4">
        <f t="shared" si="244"/>
        <v>1757</v>
      </c>
      <c r="D1750" s="4">
        <f>IF(B1750&gt;'Mortality Table'!$A$118,D1749,VLOOKUP(B1750,'Mortality Table'!$A$2:$B$118,2,FALSE))</f>
        <v>0.59733000000000003</v>
      </c>
      <c r="E1750" s="4">
        <f>IF(INT((C1750-1)/12)+1&gt;'Lapse Table'!$A$11,E1749,VLOOKUP(INT((C1750-1)/12)+1,'Lapse Table'!$A$2:$B$11,2,FALSE))/12</f>
        <v>0</v>
      </c>
      <c r="F1750" s="5">
        <f t="shared" si="251"/>
        <v>-60.40050486561973</v>
      </c>
      <c r="G1750" s="6">
        <f t="shared" si="245"/>
        <v>4.9777500000000002E-2</v>
      </c>
      <c r="H1750" s="6">
        <f t="shared" si="246"/>
        <v>0</v>
      </c>
      <c r="I1750" s="7">
        <f t="shared" si="247"/>
        <v>-2013.3501621873245</v>
      </c>
      <c r="J1750" s="8">
        <f t="shared" si="248"/>
        <v>49777.5</v>
      </c>
      <c r="K1750" s="7">
        <f t="shared" si="249"/>
        <v>-51790.850162187322</v>
      </c>
      <c r="L1750" s="4">
        <f>IF(A1750&gt;'Yield Curve'!A2364,L1749,(1+VLOOKUP(A1750,'Yield Curve'!A1743:B2365,2,FALSE))^(1/12)-1)</f>
        <v>7.9741404289037643E-3</v>
      </c>
      <c r="M1750" s="5">
        <f t="shared" si="250"/>
        <v>-5.0747530276600977E-2</v>
      </c>
    </row>
    <row r="1751" spans="1:13" x14ac:dyDescent="0.25">
      <c r="A1751" s="4">
        <v>1743</v>
      </c>
      <c r="B1751" s="4">
        <f t="shared" si="243"/>
        <v>190</v>
      </c>
      <c r="C1751" s="4">
        <f t="shared" si="244"/>
        <v>1758</v>
      </c>
      <c r="D1751" s="4">
        <f>IF(B1751&gt;'Mortality Table'!$A$118,D1750,VLOOKUP(B1751,'Mortality Table'!$A$2:$B$118,2,FALSE))</f>
        <v>0.59733000000000003</v>
      </c>
      <c r="E1751" s="4">
        <f>IF(INT((C1751-1)/12)+1&gt;'Lapse Table'!$A$11,E1750,VLOOKUP(INT((C1751-1)/12)+1,'Lapse Table'!$A$2:$B$11,2,FALSE))/12</f>
        <v>0</v>
      </c>
      <c r="F1751" s="5">
        <f t="shared" si="251"/>
        <v>-60.450282365619728</v>
      </c>
      <c r="G1751" s="6">
        <f t="shared" si="245"/>
        <v>4.9777500000000002E-2</v>
      </c>
      <c r="H1751" s="6">
        <f t="shared" si="246"/>
        <v>0</v>
      </c>
      <c r="I1751" s="7">
        <f t="shared" si="247"/>
        <v>-2015.0094121873244</v>
      </c>
      <c r="J1751" s="8">
        <f t="shared" si="248"/>
        <v>49777.5</v>
      </c>
      <c r="K1751" s="7">
        <f t="shared" si="249"/>
        <v>-51792.509412187326</v>
      </c>
      <c r="L1751" s="4">
        <f>IF(A1751&gt;'Yield Curve'!A2365,L1750,(1+VLOOKUP(A1751,'Yield Curve'!A1744:B2366,2,FALSE))^(1/12)-1)</f>
        <v>7.9741404289037643E-3</v>
      </c>
      <c r="M1751" s="5">
        <f t="shared" si="250"/>
        <v>-5.0347676657292999E-2</v>
      </c>
    </row>
    <row r="1752" spans="1:13" x14ac:dyDescent="0.25">
      <c r="A1752" s="4">
        <v>1744</v>
      </c>
      <c r="B1752" s="4">
        <f t="shared" si="243"/>
        <v>190</v>
      </c>
      <c r="C1752" s="4">
        <f t="shared" si="244"/>
        <v>1759</v>
      </c>
      <c r="D1752" s="4">
        <f>IF(B1752&gt;'Mortality Table'!$A$118,D1751,VLOOKUP(B1752,'Mortality Table'!$A$2:$B$118,2,FALSE))</f>
        <v>0.59733000000000003</v>
      </c>
      <c r="E1752" s="4">
        <f>IF(INT((C1752-1)/12)+1&gt;'Lapse Table'!$A$11,E1751,VLOOKUP(INT((C1752-1)/12)+1,'Lapse Table'!$A$2:$B$11,2,FALSE))/12</f>
        <v>0</v>
      </c>
      <c r="F1752" s="5">
        <f t="shared" si="251"/>
        <v>-60.500059865619725</v>
      </c>
      <c r="G1752" s="6">
        <f t="shared" si="245"/>
        <v>4.9777500000000002E-2</v>
      </c>
      <c r="H1752" s="6">
        <f t="shared" si="246"/>
        <v>0</v>
      </c>
      <c r="I1752" s="7">
        <f t="shared" si="247"/>
        <v>-2016.6686621873241</v>
      </c>
      <c r="J1752" s="8">
        <f t="shared" si="248"/>
        <v>49777.5</v>
      </c>
      <c r="K1752" s="7">
        <f t="shared" si="249"/>
        <v>-51794.168662187323</v>
      </c>
      <c r="L1752" s="4">
        <f>IF(A1752&gt;'Yield Curve'!A2366,L1751,(1+VLOOKUP(A1752,'Yield Curve'!A1745:B2367,2,FALSE))^(1/12)-1)</f>
        <v>7.9741404289037643E-3</v>
      </c>
      <c r="M1752" s="5">
        <f t="shared" si="250"/>
        <v>-4.9950973542341653E-2</v>
      </c>
    </row>
    <row r="1753" spans="1:13" x14ac:dyDescent="0.25">
      <c r="A1753" s="4">
        <v>1745</v>
      </c>
      <c r="B1753" s="4">
        <f t="shared" si="243"/>
        <v>190</v>
      </c>
      <c r="C1753" s="4">
        <f t="shared" si="244"/>
        <v>1760</v>
      </c>
      <c r="D1753" s="4">
        <f>IF(B1753&gt;'Mortality Table'!$A$118,D1752,VLOOKUP(B1753,'Mortality Table'!$A$2:$B$118,2,FALSE))</f>
        <v>0.59733000000000003</v>
      </c>
      <c r="E1753" s="4">
        <f>IF(INT((C1753-1)/12)+1&gt;'Lapse Table'!$A$11,E1752,VLOOKUP(INT((C1753-1)/12)+1,'Lapse Table'!$A$2:$B$11,2,FALSE))/12</f>
        <v>0</v>
      </c>
      <c r="F1753" s="5">
        <f t="shared" si="251"/>
        <v>-60.549837365619723</v>
      </c>
      <c r="G1753" s="6">
        <f t="shared" si="245"/>
        <v>4.9777500000000002E-2</v>
      </c>
      <c r="H1753" s="6">
        <f t="shared" si="246"/>
        <v>0</v>
      </c>
      <c r="I1753" s="7">
        <f t="shared" si="247"/>
        <v>-2018.327912187324</v>
      </c>
      <c r="J1753" s="8">
        <f t="shared" si="248"/>
        <v>49777.5</v>
      </c>
      <c r="K1753" s="7">
        <f t="shared" si="249"/>
        <v>-51795.827912187327</v>
      </c>
      <c r="L1753" s="4">
        <f>IF(A1753&gt;'Yield Curve'!A2367,L1752,(1+VLOOKUP(A1753,'Yield Curve'!A1746:B2368,2,FALSE))^(1/12)-1)</f>
        <v>7.9741404289037643E-3</v>
      </c>
      <c r="M1753" s="5">
        <f t="shared" si="250"/>
        <v>-4.9557396108875794E-2</v>
      </c>
    </row>
    <row r="1754" spans="1:13" x14ac:dyDescent="0.25">
      <c r="A1754" s="4">
        <v>1746</v>
      </c>
      <c r="B1754" s="4">
        <f t="shared" si="243"/>
        <v>190</v>
      </c>
      <c r="C1754" s="4">
        <f t="shared" si="244"/>
        <v>1761</v>
      </c>
      <c r="D1754" s="4">
        <f>IF(B1754&gt;'Mortality Table'!$A$118,D1753,VLOOKUP(B1754,'Mortality Table'!$A$2:$B$118,2,FALSE))</f>
        <v>0.59733000000000003</v>
      </c>
      <c r="E1754" s="4">
        <f>IF(INT((C1754-1)/12)+1&gt;'Lapse Table'!$A$11,E1753,VLOOKUP(INT((C1754-1)/12)+1,'Lapse Table'!$A$2:$B$11,2,FALSE))/12</f>
        <v>0</v>
      </c>
      <c r="F1754" s="5">
        <f t="shared" si="251"/>
        <v>-60.599614865619721</v>
      </c>
      <c r="G1754" s="6">
        <f t="shared" si="245"/>
        <v>4.9777500000000002E-2</v>
      </c>
      <c r="H1754" s="6">
        <f t="shared" si="246"/>
        <v>0</v>
      </c>
      <c r="I1754" s="7">
        <f t="shared" si="247"/>
        <v>-2019.9871621873242</v>
      </c>
      <c r="J1754" s="8">
        <f t="shared" si="248"/>
        <v>49777.5</v>
      </c>
      <c r="K1754" s="7">
        <f t="shared" si="249"/>
        <v>-51797.487162187324</v>
      </c>
      <c r="L1754" s="4">
        <f>IF(A1754&gt;'Yield Curve'!A2368,L1753,(1+VLOOKUP(A1754,'Yield Curve'!A1747:B2369,2,FALSE))^(1/12)-1)</f>
        <v>7.9741404289037643E-3</v>
      </c>
      <c r="M1754" s="5">
        <f t="shared" si="250"/>
        <v>-4.9166919729600779E-2</v>
      </c>
    </row>
    <row r="1755" spans="1:13" x14ac:dyDescent="0.25">
      <c r="A1755" s="4">
        <v>1747</v>
      </c>
      <c r="B1755" s="4">
        <f t="shared" si="243"/>
        <v>190</v>
      </c>
      <c r="C1755" s="4">
        <f t="shared" si="244"/>
        <v>1762</v>
      </c>
      <c r="D1755" s="4">
        <f>IF(B1755&gt;'Mortality Table'!$A$118,D1754,VLOOKUP(B1755,'Mortality Table'!$A$2:$B$118,2,FALSE))</f>
        <v>0.59733000000000003</v>
      </c>
      <c r="E1755" s="4">
        <f>IF(INT((C1755-1)/12)+1&gt;'Lapse Table'!$A$11,E1754,VLOOKUP(INT((C1755-1)/12)+1,'Lapse Table'!$A$2:$B$11,2,FALSE))/12</f>
        <v>0</v>
      </c>
      <c r="F1755" s="5">
        <f t="shared" si="251"/>
        <v>-60.649392365619718</v>
      </c>
      <c r="G1755" s="6">
        <f t="shared" si="245"/>
        <v>4.9777500000000002E-2</v>
      </c>
      <c r="H1755" s="6">
        <f t="shared" si="246"/>
        <v>0</v>
      </c>
      <c r="I1755" s="7">
        <f t="shared" si="247"/>
        <v>-2021.6464121873239</v>
      </c>
      <c r="J1755" s="8">
        <f t="shared" si="248"/>
        <v>49777.5</v>
      </c>
      <c r="K1755" s="7">
        <f t="shared" si="249"/>
        <v>-51799.146412187321</v>
      </c>
      <c r="L1755" s="4">
        <f>IF(A1755&gt;'Yield Curve'!A2369,L1754,(1+VLOOKUP(A1755,'Yield Curve'!A1748:B2370,2,FALSE))^(1/12)-1)</f>
        <v>7.9741404289037643E-3</v>
      </c>
      <c r="M1755" s="5">
        <f t="shared" si="250"/>
        <v>-4.877951997125763E-2</v>
      </c>
    </row>
    <row r="1756" spans="1:13" x14ac:dyDescent="0.25">
      <c r="A1756" s="4">
        <v>1748</v>
      </c>
      <c r="B1756" s="4">
        <f t="shared" si="243"/>
        <v>190</v>
      </c>
      <c r="C1756" s="4">
        <f t="shared" si="244"/>
        <v>1763</v>
      </c>
      <c r="D1756" s="4">
        <f>IF(B1756&gt;'Mortality Table'!$A$118,D1755,VLOOKUP(B1756,'Mortality Table'!$A$2:$B$118,2,FALSE))</f>
        <v>0.59733000000000003</v>
      </c>
      <c r="E1756" s="4">
        <f>IF(INT((C1756-1)/12)+1&gt;'Lapse Table'!$A$11,E1755,VLOOKUP(INT((C1756-1)/12)+1,'Lapse Table'!$A$2:$B$11,2,FALSE))/12</f>
        <v>0</v>
      </c>
      <c r="F1756" s="5">
        <f t="shared" si="251"/>
        <v>-60.699169865619716</v>
      </c>
      <c r="G1756" s="6">
        <f t="shared" si="245"/>
        <v>4.9777500000000002E-2</v>
      </c>
      <c r="H1756" s="6">
        <f t="shared" si="246"/>
        <v>0</v>
      </c>
      <c r="I1756" s="7">
        <f t="shared" si="247"/>
        <v>-2023.3056621873238</v>
      </c>
      <c r="J1756" s="8">
        <f t="shared" si="248"/>
        <v>49777.5</v>
      </c>
      <c r="K1756" s="7">
        <f t="shared" si="249"/>
        <v>-51800.805662187326</v>
      </c>
      <c r="L1756" s="4">
        <f>IF(A1756&gt;'Yield Curve'!A2370,L1755,(1+VLOOKUP(A1756,'Yield Curve'!A1749:B2371,2,FALSE))^(1/12)-1)</f>
        <v>7.9741404289037643E-3</v>
      </c>
      <c r="M1756" s="5">
        <f t="shared" si="250"/>
        <v>-4.8395172593094241E-2</v>
      </c>
    </row>
    <row r="1757" spans="1:13" x14ac:dyDescent="0.25">
      <c r="A1757" s="4">
        <v>1749</v>
      </c>
      <c r="B1757" s="4">
        <f t="shared" si="243"/>
        <v>190</v>
      </c>
      <c r="C1757" s="4">
        <f t="shared" si="244"/>
        <v>1764</v>
      </c>
      <c r="D1757" s="4">
        <f>IF(B1757&gt;'Mortality Table'!$A$118,D1756,VLOOKUP(B1757,'Mortality Table'!$A$2:$B$118,2,FALSE))</f>
        <v>0.59733000000000003</v>
      </c>
      <c r="E1757" s="4">
        <f>IF(INT((C1757-1)/12)+1&gt;'Lapse Table'!$A$11,E1756,VLOOKUP(INT((C1757-1)/12)+1,'Lapse Table'!$A$2:$B$11,2,FALSE))/12</f>
        <v>0</v>
      </c>
      <c r="F1757" s="5">
        <f t="shared" si="251"/>
        <v>-60.748947365619713</v>
      </c>
      <c r="G1757" s="6">
        <f t="shared" si="245"/>
        <v>4.9777500000000002E-2</v>
      </c>
      <c r="H1757" s="6">
        <f t="shared" si="246"/>
        <v>0</v>
      </c>
      <c r="I1757" s="7">
        <f t="shared" si="247"/>
        <v>-2024.9649121873238</v>
      </c>
      <c r="J1757" s="8">
        <f t="shared" si="248"/>
        <v>49777.5</v>
      </c>
      <c r="K1757" s="7">
        <f t="shared" si="249"/>
        <v>-51802.464912187323</v>
      </c>
      <c r="L1757" s="4">
        <f>IF(A1757&gt;'Yield Curve'!A2371,L1756,(1+VLOOKUP(A1757,'Yield Curve'!A1750:B2372,2,FALSE))^(1/12)-1)</f>
        <v>7.9741404289037643E-3</v>
      </c>
      <c r="M1757" s="5">
        <f t="shared" si="250"/>
        <v>-4.8013853545348657E-2</v>
      </c>
    </row>
    <row r="1758" spans="1:13" x14ac:dyDescent="0.25">
      <c r="A1758" s="4">
        <v>1750</v>
      </c>
      <c r="B1758" s="4">
        <f t="shared" si="243"/>
        <v>190</v>
      </c>
      <c r="C1758" s="4">
        <f t="shared" si="244"/>
        <v>1765</v>
      </c>
      <c r="D1758" s="4">
        <f>IF(B1758&gt;'Mortality Table'!$A$118,D1757,VLOOKUP(B1758,'Mortality Table'!$A$2:$B$118,2,FALSE))</f>
        <v>0.59733000000000003</v>
      </c>
      <c r="E1758" s="4">
        <f>IF(INT((C1758-1)/12)+1&gt;'Lapse Table'!$A$11,E1757,VLOOKUP(INT((C1758-1)/12)+1,'Lapse Table'!$A$2:$B$11,2,FALSE))/12</f>
        <v>0</v>
      </c>
      <c r="F1758" s="5">
        <f t="shared" si="251"/>
        <v>-60.798724865619711</v>
      </c>
      <c r="G1758" s="6">
        <f t="shared" si="245"/>
        <v>4.9777500000000002E-2</v>
      </c>
      <c r="H1758" s="6">
        <f t="shared" si="246"/>
        <v>0</v>
      </c>
      <c r="I1758" s="7">
        <f t="shared" si="247"/>
        <v>-2026.6241621873239</v>
      </c>
      <c r="J1758" s="8">
        <f t="shared" si="248"/>
        <v>49777.5</v>
      </c>
      <c r="K1758" s="7">
        <f t="shared" si="249"/>
        <v>-51804.124162187327</v>
      </c>
      <c r="L1758" s="4">
        <f>IF(A1758&gt;'Yield Curve'!A2372,L1757,(1+VLOOKUP(A1758,'Yield Curve'!A1751:B2373,2,FALSE))^(1/12)-1)</f>
        <v>7.9741404289037643E-3</v>
      </c>
      <c r="M1758" s="5">
        <f t="shared" si="250"/>
        <v>-4.763553896774441E-2</v>
      </c>
    </row>
    <row r="1759" spans="1:13" x14ac:dyDescent="0.25">
      <c r="A1759" s="4">
        <v>1751</v>
      </c>
      <c r="B1759" s="4">
        <f t="shared" si="243"/>
        <v>190</v>
      </c>
      <c r="C1759" s="4">
        <f t="shared" si="244"/>
        <v>1766</v>
      </c>
      <c r="D1759" s="4">
        <f>IF(B1759&gt;'Mortality Table'!$A$118,D1758,VLOOKUP(B1759,'Mortality Table'!$A$2:$B$118,2,FALSE))</f>
        <v>0.59733000000000003</v>
      </c>
      <c r="E1759" s="4">
        <f>IF(INT((C1759-1)/12)+1&gt;'Lapse Table'!$A$11,E1758,VLOOKUP(INT((C1759-1)/12)+1,'Lapse Table'!$A$2:$B$11,2,FALSE))/12</f>
        <v>0</v>
      </c>
      <c r="F1759" s="5">
        <f t="shared" si="251"/>
        <v>-60.848502365619709</v>
      </c>
      <c r="G1759" s="6">
        <f t="shared" si="245"/>
        <v>4.9777500000000002E-2</v>
      </c>
      <c r="H1759" s="6">
        <f t="shared" si="246"/>
        <v>0</v>
      </c>
      <c r="I1759" s="7">
        <f t="shared" si="247"/>
        <v>-2028.2834121873236</v>
      </c>
      <c r="J1759" s="8">
        <f t="shared" si="248"/>
        <v>49777.5</v>
      </c>
      <c r="K1759" s="7">
        <f t="shared" si="249"/>
        <v>-51805.783412187324</v>
      </c>
      <c r="L1759" s="4">
        <f>IF(A1759&gt;'Yield Curve'!A2373,L1758,(1+VLOOKUP(A1759,'Yield Curve'!A1752:B2374,2,FALSE))^(1/12)-1)</f>
        <v>7.9741404289037643E-3</v>
      </c>
      <c r="M1759" s="5">
        <f t="shared" si="250"/>
        <v>-4.7260205187997395E-2</v>
      </c>
    </row>
    <row r="1760" spans="1:13" x14ac:dyDescent="0.25">
      <c r="A1760" s="4">
        <v>1752</v>
      </c>
      <c r="B1760" s="4">
        <f t="shared" si="243"/>
        <v>191</v>
      </c>
      <c r="C1760" s="4">
        <f t="shared" si="244"/>
        <v>1767</v>
      </c>
      <c r="D1760" s="4">
        <f>IF(B1760&gt;'Mortality Table'!$A$118,D1759,VLOOKUP(B1760,'Mortality Table'!$A$2:$B$118,2,FALSE))</f>
        <v>0.59733000000000003</v>
      </c>
      <c r="E1760" s="4">
        <f>IF(INT((C1760-1)/12)+1&gt;'Lapse Table'!$A$11,E1759,VLOOKUP(INT((C1760-1)/12)+1,'Lapse Table'!$A$2:$B$11,2,FALSE))/12</f>
        <v>0</v>
      </c>
      <c r="F1760" s="5">
        <f t="shared" si="251"/>
        <v>-60.898279865619706</v>
      </c>
      <c r="G1760" s="6">
        <f t="shared" si="245"/>
        <v>4.9777500000000002E-2</v>
      </c>
      <c r="H1760" s="6">
        <f t="shared" si="246"/>
        <v>0</v>
      </c>
      <c r="I1760" s="7">
        <f t="shared" si="247"/>
        <v>-2029.9426621873235</v>
      </c>
      <c r="J1760" s="8">
        <f t="shared" si="248"/>
        <v>49777.5</v>
      </c>
      <c r="K1760" s="7">
        <f t="shared" si="249"/>
        <v>-51807.442662187321</v>
      </c>
      <c r="L1760" s="4">
        <f>IF(A1760&gt;'Yield Curve'!A2374,L1759,(1+VLOOKUP(A1760,'Yield Curve'!A1753:B2375,2,FALSE))^(1/12)-1)</f>
        <v>7.9741404289037643E-3</v>
      </c>
      <c r="M1760" s="5">
        <f t="shared" si="250"/>
        <v>-4.6887828720334909E-2</v>
      </c>
    </row>
    <row r="1761" spans="1:13" x14ac:dyDescent="0.25">
      <c r="A1761" s="4">
        <v>1753</v>
      </c>
      <c r="B1761" s="4">
        <f t="shared" si="243"/>
        <v>191</v>
      </c>
      <c r="C1761" s="4">
        <f t="shared" si="244"/>
        <v>1768</v>
      </c>
      <c r="D1761" s="4">
        <f>IF(B1761&gt;'Mortality Table'!$A$118,D1760,VLOOKUP(B1761,'Mortality Table'!$A$2:$B$118,2,FALSE))</f>
        <v>0.59733000000000003</v>
      </c>
      <c r="E1761" s="4">
        <f>IF(INT((C1761-1)/12)+1&gt;'Lapse Table'!$A$11,E1760,VLOOKUP(INT((C1761-1)/12)+1,'Lapse Table'!$A$2:$B$11,2,FALSE))/12</f>
        <v>0</v>
      </c>
      <c r="F1761" s="5">
        <f t="shared" si="251"/>
        <v>-60.948057365619704</v>
      </c>
      <c r="G1761" s="6">
        <f t="shared" si="245"/>
        <v>4.9777500000000002E-2</v>
      </c>
      <c r="H1761" s="6">
        <f t="shared" si="246"/>
        <v>0</v>
      </c>
      <c r="I1761" s="7">
        <f t="shared" si="247"/>
        <v>-2031.6019121873235</v>
      </c>
      <c r="J1761" s="8">
        <f t="shared" si="248"/>
        <v>49777.5</v>
      </c>
      <c r="K1761" s="7">
        <f t="shared" si="249"/>
        <v>-51809.101912187325</v>
      </c>
      <c r="L1761" s="4">
        <f>IF(A1761&gt;'Yield Curve'!A2375,L1760,(1+VLOOKUP(A1761,'Yield Curve'!A1754:B2376,2,FALSE))^(1/12)-1)</f>
        <v>7.9741404289037643E-3</v>
      </c>
      <c r="M1761" s="5">
        <f t="shared" si="250"/>
        <v>-4.6518386264026178E-2</v>
      </c>
    </row>
    <row r="1762" spans="1:13" x14ac:dyDescent="0.25">
      <c r="A1762" s="4">
        <v>1754</v>
      </c>
      <c r="B1762" s="4">
        <f t="shared" si="243"/>
        <v>191</v>
      </c>
      <c r="C1762" s="4">
        <f t="shared" si="244"/>
        <v>1769</v>
      </c>
      <c r="D1762" s="4">
        <f>IF(B1762&gt;'Mortality Table'!$A$118,D1761,VLOOKUP(B1762,'Mortality Table'!$A$2:$B$118,2,FALSE))</f>
        <v>0.59733000000000003</v>
      </c>
      <c r="E1762" s="4">
        <f>IF(INT((C1762-1)/12)+1&gt;'Lapse Table'!$A$11,E1761,VLOOKUP(INT((C1762-1)/12)+1,'Lapse Table'!$A$2:$B$11,2,FALSE))/12</f>
        <v>0</v>
      </c>
      <c r="F1762" s="5">
        <f t="shared" si="251"/>
        <v>-60.997834865619701</v>
      </c>
      <c r="G1762" s="6">
        <f t="shared" si="245"/>
        <v>4.9777500000000002E-2</v>
      </c>
      <c r="H1762" s="6">
        <f t="shared" si="246"/>
        <v>0</v>
      </c>
      <c r="I1762" s="7">
        <f t="shared" si="247"/>
        <v>-2033.2611621873232</v>
      </c>
      <c r="J1762" s="8">
        <f t="shared" si="248"/>
        <v>49777.5</v>
      </c>
      <c r="K1762" s="7">
        <f t="shared" si="249"/>
        <v>-51810.761162187322</v>
      </c>
      <c r="L1762" s="4">
        <f>IF(A1762&gt;'Yield Curve'!A2376,L1761,(1+VLOOKUP(A1762,'Yield Curve'!A1755:B2377,2,FALSE))^(1/12)-1)</f>
        <v>7.9741404289037643E-3</v>
      </c>
      <c r="M1762" s="5">
        <f t="shared" si="250"/>
        <v>-4.6151854701924296E-2</v>
      </c>
    </row>
    <row r="1763" spans="1:13" x14ac:dyDescent="0.25">
      <c r="A1763" s="4">
        <v>1755</v>
      </c>
      <c r="B1763" s="4">
        <f t="shared" si="243"/>
        <v>191</v>
      </c>
      <c r="C1763" s="4">
        <f t="shared" si="244"/>
        <v>1770</v>
      </c>
      <c r="D1763" s="4">
        <f>IF(B1763&gt;'Mortality Table'!$A$118,D1762,VLOOKUP(B1763,'Mortality Table'!$A$2:$B$118,2,FALSE))</f>
        <v>0.59733000000000003</v>
      </c>
      <c r="E1763" s="4">
        <f>IF(INT((C1763-1)/12)+1&gt;'Lapse Table'!$A$11,E1762,VLOOKUP(INT((C1763-1)/12)+1,'Lapse Table'!$A$2:$B$11,2,FALSE))/12</f>
        <v>0</v>
      </c>
      <c r="F1763" s="5">
        <f t="shared" si="251"/>
        <v>-61.047612365619699</v>
      </c>
      <c r="G1763" s="6">
        <f t="shared" si="245"/>
        <v>4.9777500000000002E-2</v>
      </c>
      <c r="H1763" s="6">
        <f t="shared" si="246"/>
        <v>0</v>
      </c>
      <c r="I1763" s="7">
        <f t="shared" si="247"/>
        <v>-2034.9204121873233</v>
      </c>
      <c r="J1763" s="8">
        <f t="shared" si="248"/>
        <v>49777.5</v>
      </c>
      <c r="K1763" s="7">
        <f t="shared" si="249"/>
        <v>-51812.420412187326</v>
      </c>
      <c r="L1763" s="4">
        <f>IF(A1763&gt;'Yield Curve'!A2377,L1762,(1+VLOOKUP(A1763,'Yield Curve'!A1756:B2378,2,FALSE))^(1/12)-1)</f>
        <v>7.9741404289037643E-3</v>
      </c>
      <c r="M1763" s="5">
        <f t="shared" si="250"/>
        <v>-4.5788211099019989E-2</v>
      </c>
    </row>
    <row r="1764" spans="1:13" x14ac:dyDescent="0.25">
      <c r="A1764" s="4">
        <v>1756</v>
      </c>
      <c r="B1764" s="4">
        <f t="shared" si="243"/>
        <v>191</v>
      </c>
      <c r="C1764" s="4">
        <f t="shared" si="244"/>
        <v>1771</v>
      </c>
      <c r="D1764" s="4">
        <f>IF(B1764&gt;'Mortality Table'!$A$118,D1763,VLOOKUP(B1764,'Mortality Table'!$A$2:$B$118,2,FALSE))</f>
        <v>0.59733000000000003</v>
      </c>
      <c r="E1764" s="4">
        <f>IF(INT((C1764-1)/12)+1&gt;'Lapse Table'!$A$11,E1763,VLOOKUP(INT((C1764-1)/12)+1,'Lapse Table'!$A$2:$B$11,2,FALSE))/12</f>
        <v>0</v>
      </c>
      <c r="F1764" s="5">
        <f t="shared" si="251"/>
        <v>-61.097389865619697</v>
      </c>
      <c r="G1764" s="6">
        <f t="shared" si="245"/>
        <v>4.9777500000000002E-2</v>
      </c>
      <c r="H1764" s="6">
        <f t="shared" si="246"/>
        <v>0</v>
      </c>
      <c r="I1764" s="7">
        <f t="shared" si="247"/>
        <v>-2036.5796621873233</v>
      </c>
      <c r="J1764" s="8">
        <f t="shared" si="248"/>
        <v>49777.5</v>
      </c>
      <c r="K1764" s="7">
        <f t="shared" si="249"/>
        <v>-51814.079662187323</v>
      </c>
      <c r="L1764" s="4">
        <f>IF(A1764&gt;'Yield Curve'!A2378,L1763,(1+VLOOKUP(A1764,'Yield Curve'!A1757:B2379,2,FALSE))^(1/12)-1)</f>
        <v>7.9741404289037643E-3</v>
      </c>
      <c r="M1764" s="5">
        <f t="shared" si="250"/>
        <v>-4.5427432701006437E-2</v>
      </c>
    </row>
    <row r="1765" spans="1:13" x14ac:dyDescent="0.25">
      <c r="A1765" s="4">
        <v>1757</v>
      </c>
      <c r="B1765" s="4">
        <f t="shared" si="243"/>
        <v>191</v>
      </c>
      <c r="C1765" s="4">
        <f t="shared" si="244"/>
        <v>1772</v>
      </c>
      <c r="D1765" s="4">
        <f>IF(B1765&gt;'Mortality Table'!$A$118,D1764,VLOOKUP(B1765,'Mortality Table'!$A$2:$B$118,2,FALSE))</f>
        <v>0.59733000000000003</v>
      </c>
      <c r="E1765" s="4">
        <f>IF(INT((C1765-1)/12)+1&gt;'Lapse Table'!$A$11,E1764,VLOOKUP(INT((C1765-1)/12)+1,'Lapse Table'!$A$2:$B$11,2,FALSE))/12</f>
        <v>0</v>
      </c>
      <c r="F1765" s="5">
        <f t="shared" si="251"/>
        <v>-61.147167365619694</v>
      </c>
      <c r="G1765" s="6">
        <f t="shared" si="245"/>
        <v>4.9777500000000002E-2</v>
      </c>
      <c r="H1765" s="6">
        <f t="shared" si="246"/>
        <v>0</v>
      </c>
      <c r="I1765" s="7">
        <f t="shared" si="247"/>
        <v>-2038.2389121873232</v>
      </c>
      <c r="J1765" s="8">
        <f t="shared" si="248"/>
        <v>49777.5</v>
      </c>
      <c r="K1765" s="7">
        <f t="shared" si="249"/>
        <v>-51815.73891218732</v>
      </c>
      <c r="L1765" s="4">
        <f>IF(A1765&gt;'Yield Curve'!A2379,L1764,(1+VLOOKUP(A1765,'Yield Curve'!A1758:B2380,2,FALSE))^(1/12)-1)</f>
        <v>7.9741404289037643E-3</v>
      </c>
      <c r="M1765" s="5">
        <f t="shared" si="250"/>
        <v>-4.5069496932855738E-2</v>
      </c>
    </row>
    <row r="1766" spans="1:13" x14ac:dyDescent="0.25">
      <c r="A1766" s="4">
        <v>1758</v>
      </c>
      <c r="B1766" s="4">
        <f t="shared" si="243"/>
        <v>191</v>
      </c>
      <c r="C1766" s="4">
        <f t="shared" si="244"/>
        <v>1773</v>
      </c>
      <c r="D1766" s="4">
        <f>IF(B1766&gt;'Mortality Table'!$A$118,D1765,VLOOKUP(B1766,'Mortality Table'!$A$2:$B$118,2,FALSE))</f>
        <v>0.59733000000000003</v>
      </c>
      <c r="E1766" s="4">
        <f>IF(INT((C1766-1)/12)+1&gt;'Lapse Table'!$A$11,E1765,VLOOKUP(INT((C1766-1)/12)+1,'Lapse Table'!$A$2:$B$11,2,FALSE))/12</f>
        <v>0</v>
      </c>
      <c r="F1766" s="5">
        <f t="shared" si="251"/>
        <v>-61.196944865619692</v>
      </c>
      <c r="G1766" s="6">
        <f t="shared" si="245"/>
        <v>4.9777500000000002E-2</v>
      </c>
      <c r="H1766" s="6">
        <f t="shared" si="246"/>
        <v>0</v>
      </c>
      <c r="I1766" s="7">
        <f t="shared" si="247"/>
        <v>-2039.8981621873229</v>
      </c>
      <c r="J1766" s="8">
        <f t="shared" si="248"/>
        <v>49777.5</v>
      </c>
      <c r="K1766" s="7">
        <f t="shared" si="249"/>
        <v>-51817.398162187324</v>
      </c>
      <c r="L1766" s="4">
        <f>IF(A1766&gt;'Yield Curve'!A2380,L1765,(1+VLOOKUP(A1766,'Yield Curve'!A1759:B2381,2,FALSE))^(1/12)-1)</f>
        <v>7.9741404289037643E-3</v>
      </c>
      <c r="M1766" s="5">
        <f t="shared" si="250"/>
        <v>-4.471438139740623E-2</v>
      </c>
    </row>
    <row r="1767" spans="1:13" x14ac:dyDescent="0.25">
      <c r="A1767" s="4">
        <v>1759</v>
      </c>
      <c r="B1767" s="4">
        <f t="shared" si="243"/>
        <v>191</v>
      </c>
      <c r="C1767" s="4">
        <f t="shared" si="244"/>
        <v>1774</v>
      </c>
      <c r="D1767" s="4">
        <f>IF(B1767&gt;'Mortality Table'!$A$118,D1766,VLOOKUP(B1767,'Mortality Table'!$A$2:$B$118,2,FALSE))</f>
        <v>0.59733000000000003</v>
      </c>
      <c r="E1767" s="4">
        <f>IF(INT((C1767-1)/12)+1&gt;'Lapse Table'!$A$11,E1766,VLOOKUP(INT((C1767-1)/12)+1,'Lapse Table'!$A$2:$B$11,2,FALSE))/12</f>
        <v>0</v>
      </c>
      <c r="F1767" s="5">
        <f t="shared" si="251"/>
        <v>-61.246722365619689</v>
      </c>
      <c r="G1767" s="6">
        <f t="shared" si="245"/>
        <v>4.9777500000000002E-2</v>
      </c>
      <c r="H1767" s="6">
        <f t="shared" si="246"/>
        <v>0</v>
      </c>
      <c r="I1767" s="7">
        <f t="shared" si="247"/>
        <v>-2041.5574121873231</v>
      </c>
      <c r="J1767" s="8">
        <f t="shared" si="248"/>
        <v>49777.5</v>
      </c>
      <c r="K1767" s="7">
        <f t="shared" si="249"/>
        <v>-51819.057412187321</v>
      </c>
      <c r="L1767" s="4">
        <f>IF(A1767&gt;'Yield Curve'!A2381,L1766,(1+VLOOKUP(A1767,'Yield Curve'!A1760:B2382,2,FALSE))^(1/12)-1)</f>
        <v>7.9741404289037643E-3</v>
      </c>
      <c r="M1767" s="5">
        <f t="shared" si="250"/>
        <v>-4.4362063873961251E-2</v>
      </c>
    </row>
    <row r="1768" spans="1:13" x14ac:dyDescent="0.25">
      <c r="A1768" s="4">
        <v>1760</v>
      </c>
      <c r="B1768" s="4">
        <f t="shared" si="243"/>
        <v>191</v>
      </c>
      <c r="C1768" s="4">
        <f t="shared" si="244"/>
        <v>1775</v>
      </c>
      <c r="D1768" s="4">
        <f>IF(B1768&gt;'Mortality Table'!$A$118,D1767,VLOOKUP(B1768,'Mortality Table'!$A$2:$B$118,2,FALSE))</f>
        <v>0.59733000000000003</v>
      </c>
      <c r="E1768" s="4">
        <f>IF(INT((C1768-1)/12)+1&gt;'Lapse Table'!$A$11,E1767,VLOOKUP(INT((C1768-1)/12)+1,'Lapse Table'!$A$2:$B$11,2,FALSE))/12</f>
        <v>0</v>
      </c>
      <c r="F1768" s="5">
        <f t="shared" si="251"/>
        <v>-61.296499865619687</v>
      </c>
      <c r="G1768" s="6">
        <f t="shared" si="245"/>
        <v>4.9777500000000002E-2</v>
      </c>
      <c r="H1768" s="6">
        <f t="shared" si="246"/>
        <v>0</v>
      </c>
      <c r="I1768" s="7">
        <f t="shared" si="247"/>
        <v>-2043.216662187323</v>
      </c>
      <c r="J1768" s="8">
        <f t="shared" si="248"/>
        <v>49777.5</v>
      </c>
      <c r="K1768" s="7">
        <f t="shared" si="249"/>
        <v>-51820.716662187326</v>
      </c>
      <c r="L1768" s="4">
        <f>IF(A1768&gt;'Yield Curve'!A2382,L1767,(1+VLOOKUP(A1768,'Yield Curve'!A1761:B2383,2,FALSE))^(1/12)-1)</f>
        <v>7.9741404289037643E-3</v>
      </c>
      <c r="M1768" s="5">
        <f t="shared" si="250"/>
        <v>-4.4012522316898735E-2</v>
      </c>
    </row>
    <row r="1769" spans="1:13" x14ac:dyDescent="0.25">
      <c r="A1769" s="4">
        <v>1761</v>
      </c>
      <c r="B1769" s="4">
        <f t="shared" si="243"/>
        <v>191</v>
      </c>
      <c r="C1769" s="4">
        <f t="shared" si="244"/>
        <v>1776</v>
      </c>
      <c r="D1769" s="4">
        <f>IF(B1769&gt;'Mortality Table'!$A$118,D1768,VLOOKUP(B1769,'Mortality Table'!$A$2:$B$118,2,FALSE))</f>
        <v>0.59733000000000003</v>
      </c>
      <c r="E1769" s="4">
        <f>IF(INT((C1769-1)/12)+1&gt;'Lapse Table'!$A$11,E1768,VLOOKUP(INT((C1769-1)/12)+1,'Lapse Table'!$A$2:$B$11,2,FALSE))/12</f>
        <v>0</v>
      </c>
      <c r="F1769" s="5">
        <f t="shared" si="251"/>
        <v>-61.346277365619684</v>
      </c>
      <c r="G1769" s="6">
        <f t="shared" si="245"/>
        <v>4.9777500000000002E-2</v>
      </c>
      <c r="H1769" s="6">
        <f t="shared" si="246"/>
        <v>0</v>
      </c>
      <c r="I1769" s="7">
        <f t="shared" si="247"/>
        <v>-2044.8759121873227</v>
      </c>
      <c r="J1769" s="8">
        <f t="shared" si="248"/>
        <v>49777.5</v>
      </c>
      <c r="K1769" s="7">
        <f t="shared" si="249"/>
        <v>-51822.375912187323</v>
      </c>
      <c r="L1769" s="4">
        <f>IF(A1769&gt;'Yield Curve'!A2383,L1768,(1+VLOOKUP(A1769,'Yield Curve'!A1762:B2384,2,FALSE))^(1/12)-1)</f>
        <v>7.9741404289037643E-3</v>
      </c>
      <c r="M1769" s="5">
        <f t="shared" si="250"/>
        <v>-4.3665734854291934E-2</v>
      </c>
    </row>
    <row r="1770" spans="1:13" x14ac:dyDescent="0.25">
      <c r="A1770" s="4">
        <v>1762</v>
      </c>
      <c r="B1770" s="4">
        <f t="shared" si="243"/>
        <v>191</v>
      </c>
      <c r="C1770" s="4">
        <f t="shared" si="244"/>
        <v>1777</v>
      </c>
      <c r="D1770" s="4">
        <f>IF(B1770&gt;'Mortality Table'!$A$118,D1769,VLOOKUP(B1770,'Mortality Table'!$A$2:$B$118,2,FALSE))</f>
        <v>0.59733000000000003</v>
      </c>
      <c r="E1770" s="4">
        <f>IF(INT((C1770-1)/12)+1&gt;'Lapse Table'!$A$11,E1769,VLOOKUP(INT((C1770-1)/12)+1,'Lapse Table'!$A$2:$B$11,2,FALSE))/12</f>
        <v>0</v>
      </c>
      <c r="F1770" s="5">
        <f t="shared" si="251"/>
        <v>-61.396054865619682</v>
      </c>
      <c r="G1770" s="6">
        <f t="shared" si="245"/>
        <v>4.9777500000000002E-2</v>
      </c>
      <c r="H1770" s="6">
        <f t="shared" si="246"/>
        <v>0</v>
      </c>
      <c r="I1770" s="7">
        <f t="shared" si="247"/>
        <v>-2046.5351621873226</v>
      </c>
      <c r="J1770" s="8">
        <f t="shared" si="248"/>
        <v>49777.5</v>
      </c>
      <c r="K1770" s="7">
        <f t="shared" si="249"/>
        <v>-51824.03516218732</v>
      </c>
      <c r="L1770" s="4">
        <f>IF(A1770&gt;'Yield Curve'!A2384,L1769,(1+VLOOKUP(A1770,'Yield Curve'!A1763:B2385,2,FALSE))^(1/12)-1)</f>
        <v>7.9741404289037643E-3</v>
      </c>
      <c r="M1770" s="5">
        <f t="shared" si="250"/>
        <v>-4.33216797865408E-2</v>
      </c>
    </row>
    <row r="1771" spans="1:13" x14ac:dyDescent="0.25">
      <c r="A1771" s="4">
        <v>1763</v>
      </c>
      <c r="B1771" s="4">
        <f t="shared" si="243"/>
        <v>191</v>
      </c>
      <c r="C1771" s="4">
        <f t="shared" si="244"/>
        <v>1778</v>
      </c>
      <c r="D1771" s="4">
        <f>IF(B1771&gt;'Mortality Table'!$A$118,D1770,VLOOKUP(B1771,'Mortality Table'!$A$2:$B$118,2,FALSE))</f>
        <v>0.59733000000000003</v>
      </c>
      <c r="E1771" s="4">
        <f>IF(INT((C1771-1)/12)+1&gt;'Lapse Table'!$A$11,E1770,VLOOKUP(INT((C1771-1)/12)+1,'Lapse Table'!$A$2:$B$11,2,FALSE))/12</f>
        <v>0</v>
      </c>
      <c r="F1771" s="5">
        <f t="shared" si="251"/>
        <v>-61.44583236561968</v>
      </c>
      <c r="G1771" s="6">
        <f t="shared" si="245"/>
        <v>4.9777500000000002E-2</v>
      </c>
      <c r="H1771" s="6">
        <f t="shared" si="246"/>
        <v>0</v>
      </c>
      <c r="I1771" s="7">
        <f t="shared" si="247"/>
        <v>-2048.1944121873225</v>
      </c>
      <c r="J1771" s="8">
        <f t="shared" si="248"/>
        <v>49777.5</v>
      </c>
      <c r="K1771" s="7">
        <f t="shared" si="249"/>
        <v>-51825.694412187324</v>
      </c>
      <c r="L1771" s="4">
        <f>IF(A1771&gt;'Yield Curve'!A2385,L1770,(1+VLOOKUP(A1771,'Yield Curve'!A1764:B2386,2,FALSE))^(1/12)-1)</f>
        <v>7.9741404289037643E-3</v>
      </c>
      <c r="M1771" s="5">
        <f t="shared" si="250"/>
        <v>-4.2980335585014393E-2</v>
      </c>
    </row>
    <row r="1772" spans="1:13" x14ac:dyDescent="0.25">
      <c r="A1772" s="4">
        <v>1764</v>
      </c>
      <c r="B1772" s="4">
        <f t="shared" si="243"/>
        <v>192</v>
      </c>
      <c r="C1772" s="4">
        <f t="shared" si="244"/>
        <v>1779</v>
      </c>
      <c r="D1772" s="4">
        <f>IF(B1772&gt;'Mortality Table'!$A$118,D1771,VLOOKUP(B1772,'Mortality Table'!$A$2:$B$118,2,FALSE))</f>
        <v>0.59733000000000003</v>
      </c>
      <c r="E1772" s="4">
        <f>IF(INT((C1772-1)/12)+1&gt;'Lapse Table'!$A$11,E1771,VLOOKUP(INT((C1772-1)/12)+1,'Lapse Table'!$A$2:$B$11,2,FALSE))/12</f>
        <v>0</v>
      </c>
      <c r="F1772" s="5">
        <f t="shared" si="251"/>
        <v>-61.495609865619677</v>
      </c>
      <c r="G1772" s="6">
        <f t="shared" si="245"/>
        <v>4.9777500000000002E-2</v>
      </c>
      <c r="H1772" s="6">
        <f t="shared" si="246"/>
        <v>0</v>
      </c>
      <c r="I1772" s="7">
        <f t="shared" si="247"/>
        <v>-2049.8536621873227</v>
      </c>
      <c r="J1772" s="8">
        <f t="shared" si="248"/>
        <v>49777.5</v>
      </c>
      <c r="K1772" s="7">
        <f t="shared" si="249"/>
        <v>-51827.353662187321</v>
      </c>
      <c r="L1772" s="4">
        <f>IF(A1772&gt;'Yield Curve'!A2386,L1771,(1+VLOOKUP(A1772,'Yield Curve'!A1765:B2387,2,FALSE))^(1/12)-1)</f>
        <v>7.9741404289037643E-3</v>
      </c>
      <c r="M1772" s="5">
        <f t="shared" si="250"/>
        <v>-4.2641680890703651E-2</v>
      </c>
    </row>
    <row r="1773" spans="1:13" x14ac:dyDescent="0.25">
      <c r="A1773" s="4">
        <v>1765</v>
      </c>
      <c r="B1773" s="4">
        <f t="shared" si="243"/>
        <v>192</v>
      </c>
      <c r="C1773" s="4">
        <f t="shared" si="244"/>
        <v>1780</v>
      </c>
      <c r="D1773" s="4">
        <f>IF(B1773&gt;'Mortality Table'!$A$118,D1772,VLOOKUP(B1773,'Mortality Table'!$A$2:$B$118,2,FALSE))</f>
        <v>0.59733000000000003</v>
      </c>
      <c r="E1773" s="4">
        <f>IF(INT((C1773-1)/12)+1&gt;'Lapse Table'!$A$11,E1772,VLOOKUP(INT((C1773-1)/12)+1,'Lapse Table'!$A$2:$B$11,2,FALSE))/12</f>
        <v>0</v>
      </c>
      <c r="F1773" s="5">
        <f t="shared" si="251"/>
        <v>-61.545387365619675</v>
      </c>
      <c r="G1773" s="6">
        <f t="shared" si="245"/>
        <v>4.9777500000000002E-2</v>
      </c>
      <c r="H1773" s="6">
        <f t="shared" si="246"/>
        <v>0</v>
      </c>
      <c r="I1773" s="7">
        <f t="shared" si="247"/>
        <v>-2051.5129121873224</v>
      </c>
      <c r="J1773" s="8">
        <f t="shared" si="248"/>
        <v>49777.5</v>
      </c>
      <c r="K1773" s="7">
        <f t="shared" si="249"/>
        <v>-51829.012912187325</v>
      </c>
      <c r="L1773" s="4">
        <f>IF(A1773&gt;'Yield Curve'!A2387,L1772,(1+VLOOKUP(A1773,'Yield Curve'!A1766:B2388,2,FALSE))^(1/12)-1)</f>
        <v>7.9741404289037643E-3</v>
      </c>
      <c r="M1773" s="5">
        <f t="shared" si="250"/>
        <v>-4.2305694512885239E-2</v>
      </c>
    </row>
    <row r="1774" spans="1:13" x14ac:dyDescent="0.25">
      <c r="A1774" s="4">
        <v>1766</v>
      </c>
      <c r="B1774" s="4">
        <f t="shared" si="243"/>
        <v>192</v>
      </c>
      <c r="C1774" s="4">
        <f t="shared" si="244"/>
        <v>1781</v>
      </c>
      <c r="D1774" s="4">
        <f>IF(B1774&gt;'Mortality Table'!$A$118,D1773,VLOOKUP(B1774,'Mortality Table'!$A$2:$B$118,2,FALSE))</f>
        <v>0.59733000000000003</v>
      </c>
      <c r="E1774" s="4">
        <f>IF(INT((C1774-1)/12)+1&gt;'Lapse Table'!$A$11,E1773,VLOOKUP(INT((C1774-1)/12)+1,'Lapse Table'!$A$2:$B$11,2,FALSE))/12</f>
        <v>0</v>
      </c>
      <c r="F1774" s="5">
        <f t="shared" si="251"/>
        <v>-61.595164865619672</v>
      </c>
      <c r="G1774" s="6">
        <f t="shared" si="245"/>
        <v>4.9777500000000002E-2</v>
      </c>
      <c r="H1774" s="6">
        <f t="shared" si="246"/>
        <v>0</v>
      </c>
      <c r="I1774" s="7">
        <f t="shared" si="247"/>
        <v>-2053.1721621873226</v>
      </c>
      <c r="J1774" s="8">
        <f t="shared" si="248"/>
        <v>49777.5</v>
      </c>
      <c r="K1774" s="7">
        <f t="shared" si="249"/>
        <v>-51830.672162187322</v>
      </c>
      <c r="L1774" s="4">
        <f>IF(A1774&gt;'Yield Curve'!A2388,L1773,(1+VLOOKUP(A1774,'Yield Curve'!A1767:B2389,2,FALSE))^(1/12)-1)</f>
        <v>7.9741404289037643E-3</v>
      </c>
      <c r="M1774" s="5">
        <f t="shared" si="250"/>
        <v>-4.1972355427795441E-2</v>
      </c>
    </row>
    <row r="1775" spans="1:13" x14ac:dyDescent="0.25">
      <c r="A1775" s="4">
        <v>1767</v>
      </c>
      <c r="B1775" s="4">
        <f t="shared" si="243"/>
        <v>192</v>
      </c>
      <c r="C1775" s="4">
        <f t="shared" si="244"/>
        <v>1782</v>
      </c>
      <c r="D1775" s="4">
        <f>IF(B1775&gt;'Mortality Table'!$A$118,D1774,VLOOKUP(B1775,'Mortality Table'!$A$2:$B$118,2,FALSE))</f>
        <v>0.59733000000000003</v>
      </c>
      <c r="E1775" s="4">
        <f>IF(INT((C1775-1)/12)+1&gt;'Lapse Table'!$A$11,E1774,VLOOKUP(INT((C1775-1)/12)+1,'Lapse Table'!$A$2:$B$11,2,FALSE))/12</f>
        <v>0</v>
      </c>
      <c r="F1775" s="5">
        <f t="shared" si="251"/>
        <v>-61.64494236561967</v>
      </c>
      <c r="G1775" s="6">
        <f t="shared" si="245"/>
        <v>4.9777500000000002E-2</v>
      </c>
      <c r="H1775" s="6">
        <f t="shared" si="246"/>
        <v>0</v>
      </c>
      <c r="I1775" s="7">
        <f t="shared" si="247"/>
        <v>-2054.8314121873223</v>
      </c>
      <c r="J1775" s="8">
        <f t="shared" si="248"/>
        <v>49777.5</v>
      </c>
      <c r="K1775" s="7">
        <f t="shared" si="249"/>
        <v>-51832.331412187319</v>
      </c>
      <c r="L1775" s="4">
        <f>IF(A1775&gt;'Yield Curve'!A2389,L1774,(1+VLOOKUP(A1775,'Yield Curve'!A1768:B2390,2,FALSE))^(1/12)-1)</f>
        <v>7.9741404289037643E-3</v>
      </c>
      <c r="M1775" s="5">
        <f t="shared" si="250"/>
        <v>-4.1641642777314858E-2</v>
      </c>
    </row>
    <row r="1776" spans="1:13" x14ac:dyDescent="0.25">
      <c r="A1776" s="4">
        <v>1768</v>
      </c>
      <c r="B1776" s="4">
        <f t="shared" si="243"/>
        <v>192</v>
      </c>
      <c r="C1776" s="4">
        <f t="shared" si="244"/>
        <v>1783</v>
      </c>
      <c r="D1776" s="4">
        <f>IF(B1776&gt;'Mortality Table'!$A$118,D1775,VLOOKUP(B1776,'Mortality Table'!$A$2:$B$118,2,FALSE))</f>
        <v>0.59733000000000003</v>
      </c>
      <c r="E1776" s="4">
        <f>IF(INT((C1776-1)/12)+1&gt;'Lapse Table'!$A$11,E1775,VLOOKUP(INT((C1776-1)/12)+1,'Lapse Table'!$A$2:$B$11,2,FALSE))/12</f>
        <v>0</v>
      </c>
      <c r="F1776" s="5">
        <f t="shared" si="251"/>
        <v>-61.694719865619668</v>
      </c>
      <c r="G1776" s="6">
        <f t="shared" si="245"/>
        <v>4.9777500000000002E-2</v>
      </c>
      <c r="H1776" s="6">
        <f t="shared" si="246"/>
        <v>0</v>
      </c>
      <c r="I1776" s="7">
        <f t="shared" si="247"/>
        <v>-2056.490662187322</v>
      </c>
      <c r="J1776" s="8">
        <f t="shared" si="248"/>
        <v>49777.5</v>
      </c>
      <c r="K1776" s="7">
        <f t="shared" si="249"/>
        <v>-51833.990662187323</v>
      </c>
      <c r="L1776" s="4">
        <f>IF(A1776&gt;'Yield Curve'!A2390,L1775,(1+VLOOKUP(A1776,'Yield Curve'!A1769:B2391,2,FALSE))^(1/12)-1)</f>
        <v>7.9741404289037643E-3</v>
      </c>
      <c r="M1776" s="5">
        <f t="shared" si="250"/>
        <v>-4.1313535867663252E-2</v>
      </c>
    </row>
    <row r="1777" spans="1:13" x14ac:dyDescent="0.25">
      <c r="A1777" s="4">
        <v>1769</v>
      </c>
      <c r="B1777" s="4">
        <f t="shared" si="243"/>
        <v>192</v>
      </c>
      <c r="C1777" s="4">
        <f t="shared" si="244"/>
        <v>1784</v>
      </c>
      <c r="D1777" s="4">
        <f>IF(B1777&gt;'Mortality Table'!$A$118,D1776,VLOOKUP(B1777,'Mortality Table'!$A$2:$B$118,2,FALSE))</f>
        <v>0.59733000000000003</v>
      </c>
      <c r="E1777" s="4">
        <f>IF(INT((C1777-1)/12)+1&gt;'Lapse Table'!$A$11,E1776,VLOOKUP(INT((C1777-1)/12)+1,'Lapse Table'!$A$2:$B$11,2,FALSE))/12</f>
        <v>0</v>
      </c>
      <c r="F1777" s="5">
        <f t="shared" si="251"/>
        <v>-61.744497365619665</v>
      </c>
      <c r="G1777" s="6">
        <f t="shared" si="245"/>
        <v>4.9777500000000002E-2</v>
      </c>
      <c r="H1777" s="6">
        <f t="shared" si="246"/>
        <v>0</v>
      </c>
      <c r="I1777" s="7">
        <f t="shared" si="247"/>
        <v>-2058.1499121873221</v>
      </c>
      <c r="J1777" s="8">
        <f t="shared" si="248"/>
        <v>49777.5</v>
      </c>
      <c r="K1777" s="7">
        <f t="shared" si="249"/>
        <v>-51835.64991218732</v>
      </c>
      <c r="L1777" s="4">
        <f>IF(A1777&gt;'Yield Curve'!A2391,L1776,(1+VLOOKUP(A1777,'Yield Curve'!A1770:B2392,2,FALSE))^(1/12)-1)</f>
        <v>7.9741404289037643E-3</v>
      </c>
      <c r="M1777" s="5">
        <f t="shared" si="250"/>
        <v>-4.0988014168104825E-2</v>
      </c>
    </row>
    <row r="1778" spans="1:13" x14ac:dyDescent="0.25">
      <c r="A1778" s="4">
        <v>1770</v>
      </c>
      <c r="B1778" s="4">
        <f t="shared" si="243"/>
        <v>192</v>
      </c>
      <c r="C1778" s="4">
        <f t="shared" si="244"/>
        <v>1785</v>
      </c>
      <c r="D1778" s="4">
        <f>IF(B1778&gt;'Mortality Table'!$A$118,D1777,VLOOKUP(B1778,'Mortality Table'!$A$2:$B$118,2,FALSE))</f>
        <v>0.59733000000000003</v>
      </c>
      <c r="E1778" s="4">
        <f>IF(INT((C1778-1)/12)+1&gt;'Lapse Table'!$A$11,E1777,VLOOKUP(INT((C1778-1)/12)+1,'Lapse Table'!$A$2:$B$11,2,FALSE))/12</f>
        <v>0</v>
      </c>
      <c r="F1778" s="5">
        <f t="shared" si="251"/>
        <v>-61.794274865619663</v>
      </c>
      <c r="G1778" s="6">
        <f t="shared" si="245"/>
        <v>4.9777500000000002E-2</v>
      </c>
      <c r="H1778" s="6">
        <f t="shared" si="246"/>
        <v>0</v>
      </c>
      <c r="I1778" s="7">
        <f t="shared" si="247"/>
        <v>-2059.8091621873223</v>
      </c>
      <c r="J1778" s="8">
        <f t="shared" si="248"/>
        <v>49777.5</v>
      </c>
      <c r="K1778" s="7">
        <f t="shared" si="249"/>
        <v>-51837.309162187325</v>
      </c>
      <c r="L1778" s="4">
        <f>IF(A1778&gt;'Yield Curve'!A2392,L1777,(1+VLOOKUP(A1778,'Yield Curve'!A1771:B2393,2,FALSE))^(1/12)-1)</f>
        <v>7.9741404289037643E-3</v>
      </c>
      <c r="M1778" s="5">
        <f t="shared" si="250"/>
        <v>-4.0665057309663563E-2</v>
      </c>
    </row>
    <row r="1779" spans="1:13" x14ac:dyDescent="0.25">
      <c r="A1779" s="4">
        <v>1771</v>
      </c>
      <c r="B1779" s="4">
        <f t="shared" si="243"/>
        <v>192</v>
      </c>
      <c r="C1779" s="4">
        <f t="shared" si="244"/>
        <v>1786</v>
      </c>
      <c r="D1779" s="4">
        <f>IF(B1779&gt;'Mortality Table'!$A$118,D1778,VLOOKUP(B1779,'Mortality Table'!$A$2:$B$118,2,FALSE))</f>
        <v>0.59733000000000003</v>
      </c>
      <c r="E1779" s="4">
        <f>IF(INT((C1779-1)/12)+1&gt;'Lapse Table'!$A$11,E1778,VLOOKUP(INT((C1779-1)/12)+1,'Lapse Table'!$A$2:$B$11,2,FALSE))/12</f>
        <v>0</v>
      </c>
      <c r="F1779" s="5">
        <f t="shared" si="251"/>
        <v>-61.84405236561966</v>
      </c>
      <c r="G1779" s="6">
        <f t="shared" si="245"/>
        <v>4.9777500000000002E-2</v>
      </c>
      <c r="H1779" s="6">
        <f t="shared" si="246"/>
        <v>0</v>
      </c>
      <c r="I1779" s="7">
        <f t="shared" si="247"/>
        <v>-2061.468412187322</v>
      </c>
      <c r="J1779" s="8">
        <f t="shared" si="248"/>
        <v>49777.5</v>
      </c>
      <c r="K1779" s="7">
        <f t="shared" si="249"/>
        <v>-51838.968412187322</v>
      </c>
      <c r="L1779" s="4">
        <f>IF(A1779&gt;'Yield Curve'!A2393,L1778,(1+VLOOKUP(A1779,'Yield Curve'!A1772:B2394,2,FALSE))^(1/12)-1)</f>
        <v>7.9741404289037643E-3</v>
      </c>
      <c r="M1779" s="5">
        <f t="shared" si="250"/>
        <v>-4.0344645083848843E-2</v>
      </c>
    </row>
    <row r="1780" spans="1:13" x14ac:dyDescent="0.25">
      <c r="A1780" s="4">
        <v>1772</v>
      </c>
      <c r="B1780" s="4">
        <f t="shared" si="243"/>
        <v>192</v>
      </c>
      <c r="C1780" s="4">
        <f t="shared" si="244"/>
        <v>1787</v>
      </c>
      <c r="D1780" s="4">
        <f>IF(B1780&gt;'Mortality Table'!$A$118,D1779,VLOOKUP(B1780,'Mortality Table'!$A$2:$B$118,2,FALSE))</f>
        <v>0.59733000000000003</v>
      </c>
      <c r="E1780" s="4">
        <f>IF(INT((C1780-1)/12)+1&gt;'Lapse Table'!$A$11,E1779,VLOOKUP(INT((C1780-1)/12)+1,'Lapse Table'!$A$2:$B$11,2,FALSE))/12</f>
        <v>0</v>
      </c>
      <c r="F1780" s="5">
        <f t="shared" si="251"/>
        <v>-61.893829865619658</v>
      </c>
      <c r="G1780" s="6">
        <f t="shared" si="245"/>
        <v>4.9777500000000002E-2</v>
      </c>
      <c r="H1780" s="6">
        <f t="shared" si="246"/>
        <v>0</v>
      </c>
      <c r="I1780" s="7">
        <f t="shared" si="247"/>
        <v>-2063.1276621873217</v>
      </c>
      <c r="J1780" s="8">
        <f t="shared" si="248"/>
        <v>49777.5</v>
      </c>
      <c r="K1780" s="7">
        <f t="shared" si="249"/>
        <v>-51840.627662187318</v>
      </c>
      <c r="L1780" s="4">
        <f>IF(A1780&gt;'Yield Curve'!A2394,L1779,(1+VLOOKUP(A1780,'Yield Curve'!A1773:B2395,2,FALSE))^(1/12)-1)</f>
        <v>7.9741404289037643E-3</v>
      </c>
      <c r="M1780" s="5">
        <f t="shared" si="250"/>
        <v>-4.0026757441390878E-2</v>
      </c>
    </row>
    <row r="1781" spans="1:13" x14ac:dyDescent="0.25">
      <c r="A1781" s="4">
        <v>1773</v>
      </c>
      <c r="B1781" s="4">
        <f t="shared" si="243"/>
        <v>192</v>
      </c>
      <c r="C1781" s="4">
        <f t="shared" si="244"/>
        <v>1788</v>
      </c>
      <c r="D1781" s="4">
        <f>IF(B1781&gt;'Mortality Table'!$A$118,D1780,VLOOKUP(B1781,'Mortality Table'!$A$2:$B$118,2,FALSE))</f>
        <v>0.59733000000000003</v>
      </c>
      <c r="E1781" s="4">
        <f>IF(INT((C1781-1)/12)+1&gt;'Lapse Table'!$A$11,E1780,VLOOKUP(INT((C1781-1)/12)+1,'Lapse Table'!$A$2:$B$11,2,FALSE))/12</f>
        <v>0</v>
      </c>
      <c r="F1781" s="5">
        <f t="shared" si="251"/>
        <v>-61.943607365619656</v>
      </c>
      <c r="G1781" s="6">
        <f t="shared" si="245"/>
        <v>4.9777500000000002E-2</v>
      </c>
      <c r="H1781" s="6">
        <f t="shared" si="246"/>
        <v>0</v>
      </c>
      <c r="I1781" s="7">
        <f t="shared" si="247"/>
        <v>-2064.7869121873218</v>
      </c>
      <c r="J1781" s="8">
        <f t="shared" si="248"/>
        <v>49777.5</v>
      </c>
      <c r="K1781" s="7">
        <f t="shared" si="249"/>
        <v>-51842.286912187323</v>
      </c>
      <c r="L1781" s="4">
        <f>IF(A1781&gt;'Yield Curve'!A2395,L1780,(1+VLOOKUP(A1781,'Yield Curve'!A1774:B2396,2,FALSE))^(1/12)-1)</f>
        <v>7.9741404289037643E-3</v>
      </c>
      <c r="M1781" s="5">
        <f t="shared" si="250"/>
        <v>-3.9711374490986433E-2</v>
      </c>
    </row>
    <row r="1782" spans="1:13" x14ac:dyDescent="0.25">
      <c r="A1782" s="4">
        <v>1774</v>
      </c>
      <c r="B1782" s="4">
        <f t="shared" si="243"/>
        <v>192</v>
      </c>
      <c r="C1782" s="4">
        <f t="shared" si="244"/>
        <v>1789</v>
      </c>
      <c r="D1782" s="4">
        <f>IF(B1782&gt;'Mortality Table'!$A$118,D1781,VLOOKUP(B1782,'Mortality Table'!$A$2:$B$118,2,FALSE))</f>
        <v>0.59733000000000003</v>
      </c>
      <c r="E1782" s="4">
        <f>IF(INT((C1782-1)/12)+1&gt;'Lapse Table'!$A$11,E1781,VLOOKUP(INT((C1782-1)/12)+1,'Lapse Table'!$A$2:$B$11,2,FALSE))/12</f>
        <v>0</v>
      </c>
      <c r="F1782" s="5">
        <f t="shared" si="251"/>
        <v>-61.993384865619653</v>
      </c>
      <c r="G1782" s="6">
        <f t="shared" si="245"/>
        <v>4.9777500000000002E-2</v>
      </c>
      <c r="H1782" s="6">
        <f t="shared" si="246"/>
        <v>0</v>
      </c>
      <c r="I1782" s="7">
        <f t="shared" si="247"/>
        <v>-2066.446162187322</v>
      </c>
      <c r="J1782" s="8">
        <f t="shared" si="248"/>
        <v>49777.5</v>
      </c>
      <c r="K1782" s="7">
        <f t="shared" si="249"/>
        <v>-51843.94616218732</v>
      </c>
      <c r="L1782" s="4">
        <f>IF(A1782&gt;'Yield Curve'!A2396,L1781,(1+VLOOKUP(A1782,'Yield Curve'!A1775:B2397,2,FALSE))^(1/12)-1)</f>
        <v>7.9741404289037643E-3</v>
      </c>
      <c r="M1782" s="5">
        <f t="shared" si="250"/>
        <v>-3.9398476498054051E-2</v>
      </c>
    </row>
    <row r="1783" spans="1:13" x14ac:dyDescent="0.25">
      <c r="A1783" s="4">
        <v>1775</v>
      </c>
      <c r="B1783" s="4">
        <f t="shared" si="243"/>
        <v>192</v>
      </c>
      <c r="C1783" s="4">
        <f t="shared" si="244"/>
        <v>1790</v>
      </c>
      <c r="D1783" s="4">
        <f>IF(B1783&gt;'Mortality Table'!$A$118,D1782,VLOOKUP(B1783,'Mortality Table'!$A$2:$B$118,2,FALSE))</f>
        <v>0.59733000000000003</v>
      </c>
      <c r="E1783" s="4">
        <f>IF(INT((C1783-1)/12)+1&gt;'Lapse Table'!$A$11,E1782,VLOOKUP(INT((C1783-1)/12)+1,'Lapse Table'!$A$2:$B$11,2,FALSE))/12</f>
        <v>0</v>
      </c>
      <c r="F1783" s="5">
        <f t="shared" si="251"/>
        <v>-62.043162365619651</v>
      </c>
      <c r="G1783" s="6">
        <f t="shared" si="245"/>
        <v>4.9777500000000002E-2</v>
      </c>
      <c r="H1783" s="6">
        <f t="shared" si="246"/>
        <v>0</v>
      </c>
      <c r="I1783" s="7">
        <f t="shared" si="247"/>
        <v>-2068.1054121873217</v>
      </c>
      <c r="J1783" s="8">
        <f t="shared" si="248"/>
        <v>49777.5</v>
      </c>
      <c r="K1783" s="7">
        <f t="shared" si="249"/>
        <v>-51845.605412187324</v>
      </c>
      <c r="L1783" s="4">
        <f>IF(A1783&gt;'Yield Curve'!A2397,L1782,(1+VLOOKUP(A1783,'Yield Curve'!A1776:B2398,2,FALSE))^(1/12)-1)</f>
        <v>7.9741404289037643E-3</v>
      </c>
      <c r="M1783" s="5">
        <f t="shared" si="250"/>
        <v>-3.9088043883499415E-2</v>
      </c>
    </row>
    <row r="1784" spans="1:13" x14ac:dyDescent="0.25">
      <c r="A1784" s="4">
        <v>1776</v>
      </c>
      <c r="B1784" s="4">
        <f t="shared" si="243"/>
        <v>193</v>
      </c>
      <c r="C1784" s="4">
        <f t="shared" si="244"/>
        <v>1791</v>
      </c>
      <c r="D1784" s="4">
        <f>IF(B1784&gt;'Mortality Table'!$A$118,D1783,VLOOKUP(B1784,'Mortality Table'!$A$2:$B$118,2,FALSE))</f>
        <v>0.59733000000000003</v>
      </c>
      <c r="E1784" s="4">
        <f>IF(INT((C1784-1)/12)+1&gt;'Lapse Table'!$A$11,E1783,VLOOKUP(INT((C1784-1)/12)+1,'Lapse Table'!$A$2:$B$11,2,FALSE))/12</f>
        <v>0</v>
      </c>
      <c r="F1784" s="5">
        <f t="shared" si="251"/>
        <v>-62.092939865619648</v>
      </c>
      <c r="G1784" s="6">
        <f t="shared" si="245"/>
        <v>4.9777500000000002E-2</v>
      </c>
      <c r="H1784" s="6">
        <f t="shared" si="246"/>
        <v>0</v>
      </c>
      <c r="I1784" s="7">
        <f t="shared" si="247"/>
        <v>-2069.7646621873214</v>
      </c>
      <c r="J1784" s="8">
        <f t="shared" si="248"/>
        <v>49777.5</v>
      </c>
      <c r="K1784" s="7">
        <f t="shared" si="249"/>
        <v>-51847.264662187321</v>
      </c>
      <c r="L1784" s="4">
        <f>IF(A1784&gt;'Yield Curve'!A2398,L1783,(1+VLOOKUP(A1784,'Yield Curve'!A1777:B2399,2,FALSE))^(1/12)-1)</f>
        <v>7.9741404289037643E-3</v>
      </c>
      <c r="M1784" s="5">
        <f t="shared" si="250"/>
        <v>-3.87800572224902E-2</v>
      </c>
    </row>
    <row r="1785" spans="1:13" x14ac:dyDescent="0.25">
      <c r="A1785" s="4">
        <v>1777</v>
      </c>
      <c r="B1785" s="4">
        <f t="shared" si="243"/>
        <v>193</v>
      </c>
      <c r="C1785" s="4">
        <f t="shared" si="244"/>
        <v>1792</v>
      </c>
      <c r="D1785" s="4">
        <f>IF(B1785&gt;'Mortality Table'!$A$118,D1784,VLOOKUP(B1785,'Mortality Table'!$A$2:$B$118,2,FALSE))</f>
        <v>0.59733000000000003</v>
      </c>
      <c r="E1785" s="4">
        <f>IF(INT((C1785-1)/12)+1&gt;'Lapse Table'!$A$11,E1784,VLOOKUP(INT((C1785-1)/12)+1,'Lapse Table'!$A$2:$B$11,2,FALSE))/12</f>
        <v>0</v>
      </c>
      <c r="F1785" s="5">
        <f t="shared" si="251"/>
        <v>-62.142717365619646</v>
      </c>
      <c r="G1785" s="6">
        <f t="shared" si="245"/>
        <v>4.9777500000000002E-2</v>
      </c>
      <c r="H1785" s="6">
        <f t="shared" si="246"/>
        <v>0</v>
      </c>
      <c r="I1785" s="7">
        <f t="shared" si="247"/>
        <v>-2071.4239121873215</v>
      </c>
      <c r="J1785" s="8">
        <f t="shared" si="248"/>
        <v>49777.5</v>
      </c>
      <c r="K1785" s="7">
        <f t="shared" si="249"/>
        <v>-51848.923912187325</v>
      </c>
      <c r="L1785" s="4">
        <f>IF(A1785&gt;'Yield Curve'!A2399,L1784,(1+VLOOKUP(A1785,'Yield Curve'!A1778:B2400,2,FALSE))^(1/12)-1)</f>
        <v>7.9741404289037643E-3</v>
      </c>
      <c r="M1785" s="5">
        <f t="shared" si="250"/>
        <v>-3.8474497243240792E-2</v>
      </c>
    </row>
    <row r="1786" spans="1:13" x14ac:dyDescent="0.25">
      <c r="A1786" s="4">
        <v>1778</v>
      </c>
      <c r="B1786" s="4">
        <f t="shared" si="243"/>
        <v>193</v>
      </c>
      <c r="C1786" s="4">
        <f t="shared" si="244"/>
        <v>1793</v>
      </c>
      <c r="D1786" s="4">
        <f>IF(B1786&gt;'Mortality Table'!$A$118,D1785,VLOOKUP(B1786,'Mortality Table'!$A$2:$B$118,2,FALSE))</f>
        <v>0.59733000000000003</v>
      </c>
      <c r="E1786" s="4">
        <f>IF(INT((C1786-1)/12)+1&gt;'Lapse Table'!$A$11,E1785,VLOOKUP(INT((C1786-1)/12)+1,'Lapse Table'!$A$2:$B$11,2,FALSE))/12</f>
        <v>0</v>
      </c>
      <c r="F1786" s="5">
        <f t="shared" si="251"/>
        <v>-62.192494865619643</v>
      </c>
      <c r="G1786" s="6">
        <f t="shared" si="245"/>
        <v>4.9777500000000002E-2</v>
      </c>
      <c r="H1786" s="6">
        <f t="shared" si="246"/>
        <v>0</v>
      </c>
      <c r="I1786" s="7">
        <f t="shared" si="247"/>
        <v>-2073.0831621873217</v>
      </c>
      <c r="J1786" s="8">
        <f t="shared" si="248"/>
        <v>49777.5</v>
      </c>
      <c r="K1786" s="7">
        <f t="shared" si="249"/>
        <v>-51850.583162187322</v>
      </c>
      <c r="L1786" s="4">
        <f>IF(A1786&gt;'Yield Curve'!A2400,L1785,(1+VLOOKUP(A1786,'Yield Curve'!A1779:B2401,2,FALSE))^(1/12)-1)</f>
        <v>7.9741404289037643E-3</v>
      </c>
      <c r="M1786" s="5">
        <f t="shared" si="250"/>
        <v>-3.8171344825806343E-2</v>
      </c>
    </row>
    <row r="1787" spans="1:13" x14ac:dyDescent="0.25">
      <c r="A1787" s="4">
        <v>1779</v>
      </c>
      <c r="B1787" s="4">
        <f t="shared" si="243"/>
        <v>193</v>
      </c>
      <c r="C1787" s="4">
        <f t="shared" si="244"/>
        <v>1794</v>
      </c>
      <c r="D1787" s="4">
        <f>IF(B1787&gt;'Mortality Table'!$A$118,D1786,VLOOKUP(B1787,'Mortality Table'!$A$2:$B$118,2,FALSE))</f>
        <v>0.59733000000000003</v>
      </c>
      <c r="E1787" s="4">
        <f>IF(INT((C1787-1)/12)+1&gt;'Lapse Table'!$A$11,E1786,VLOOKUP(INT((C1787-1)/12)+1,'Lapse Table'!$A$2:$B$11,2,FALSE))/12</f>
        <v>0</v>
      </c>
      <c r="F1787" s="5">
        <f t="shared" si="251"/>
        <v>-62.242272365619641</v>
      </c>
      <c r="G1787" s="6">
        <f t="shared" si="245"/>
        <v>4.9777500000000002E-2</v>
      </c>
      <c r="H1787" s="6">
        <f t="shared" si="246"/>
        <v>0</v>
      </c>
      <c r="I1787" s="7">
        <f t="shared" si="247"/>
        <v>-2074.7424121873214</v>
      </c>
      <c r="J1787" s="8">
        <f t="shared" si="248"/>
        <v>49777.5</v>
      </c>
      <c r="K1787" s="7">
        <f t="shared" si="249"/>
        <v>-51852.242412187319</v>
      </c>
      <c r="L1787" s="4">
        <f>IF(A1787&gt;'Yield Curve'!A2401,L1786,(1+VLOOKUP(A1787,'Yield Curve'!A1780:B2402,2,FALSE))^(1/12)-1)</f>
        <v>7.9741404289037643E-3</v>
      </c>
      <c r="M1787" s="5">
        <f t="shared" si="250"/>
        <v>-3.787058100088652E-2</v>
      </c>
    </row>
    <row r="1788" spans="1:13" x14ac:dyDescent="0.25">
      <c r="A1788" s="4">
        <v>1780</v>
      </c>
      <c r="B1788" s="4">
        <f t="shared" si="243"/>
        <v>193</v>
      </c>
      <c r="C1788" s="4">
        <f t="shared" si="244"/>
        <v>1795</v>
      </c>
      <c r="D1788" s="4">
        <f>IF(B1788&gt;'Mortality Table'!$A$118,D1787,VLOOKUP(B1788,'Mortality Table'!$A$2:$B$118,2,FALSE))</f>
        <v>0.59733000000000003</v>
      </c>
      <c r="E1788" s="4">
        <f>IF(INT((C1788-1)/12)+1&gt;'Lapse Table'!$A$11,E1787,VLOOKUP(INT((C1788-1)/12)+1,'Lapse Table'!$A$2:$B$11,2,FALSE))/12</f>
        <v>0</v>
      </c>
      <c r="F1788" s="5">
        <f t="shared" si="251"/>
        <v>-62.292049865619639</v>
      </c>
      <c r="G1788" s="6">
        <f t="shared" si="245"/>
        <v>4.9777500000000002E-2</v>
      </c>
      <c r="H1788" s="6">
        <f t="shared" si="246"/>
        <v>0</v>
      </c>
      <c r="I1788" s="7">
        <f t="shared" si="247"/>
        <v>-2076.4016621873211</v>
      </c>
      <c r="J1788" s="8">
        <f t="shared" si="248"/>
        <v>49777.5</v>
      </c>
      <c r="K1788" s="7">
        <f t="shared" si="249"/>
        <v>-51853.901662187323</v>
      </c>
      <c r="L1788" s="4">
        <f>IF(A1788&gt;'Yield Curve'!A2402,L1787,(1+VLOOKUP(A1788,'Yield Curve'!A1781:B2403,2,FALSE))^(1/12)-1)</f>
        <v>7.9741404289037643E-3</v>
      </c>
      <c r="M1788" s="5">
        <f t="shared" si="250"/>
        <v>-3.7572186948638599E-2</v>
      </c>
    </row>
    <row r="1789" spans="1:13" x14ac:dyDescent="0.25">
      <c r="A1789" s="4">
        <v>1781</v>
      </c>
      <c r="B1789" s="4">
        <f t="shared" si="243"/>
        <v>193</v>
      </c>
      <c r="C1789" s="4">
        <f t="shared" si="244"/>
        <v>1796</v>
      </c>
      <c r="D1789" s="4">
        <f>IF(B1789&gt;'Mortality Table'!$A$118,D1788,VLOOKUP(B1789,'Mortality Table'!$A$2:$B$118,2,FALSE))</f>
        <v>0.59733000000000003</v>
      </c>
      <c r="E1789" s="4">
        <f>IF(INT((C1789-1)/12)+1&gt;'Lapse Table'!$A$11,E1788,VLOOKUP(INT((C1789-1)/12)+1,'Lapse Table'!$A$2:$B$11,2,FALSE))/12</f>
        <v>0</v>
      </c>
      <c r="F1789" s="5">
        <f t="shared" si="251"/>
        <v>-62.341827365619636</v>
      </c>
      <c r="G1789" s="6">
        <f t="shared" si="245"/>
        <v>4.9777500000000002E-2</v>
      </c>
      <c r="H1789" s="6">
        <f t="shared" si="246"/>
        <v>0</v>
      </c>
      <c r="I1789" s="7">
        <f t="shared" si="247"/>
        <v>-2078.0609121873213</v>
      </c>
      <c r="J1789" s="8">
        <f t="shared" si="248"/>
        <v>49777.5</v>
      </c>
      <c r="K1789" s="7">
        <f t="shared" si="249"/>
        <v>-51855.56091218732</v>
      </c>
      <c r="L1789" s="4">
        <f>IF(A1789&gt;'Yield Curve'!A2403,L1788,(1+VLOOKUP(A1789,'Yield Curve'!A1782:B2404,2,FALSE))^(1/12)-1)</f>
        <v>7.9741404289037643E-3</v>
      </c>
      <c r="M1789" s="5">
        <f t="shared" si="250"/>
        <v>-3.7276143997499879E-2</v>
      </c>
    </row>
    <row r="1790" spans="1:13" x14ac:dyDescent="0.25">
      <c r="A1790" s="4">
        <v>1782</v>
      </c>
      <c r="B1790" s="4">
        <f t="shared" si="243"/>
        <v>193</v>
      </c>
      <c r="C1790" s="4">
        <f t="shared" si="244"/>
        <v>1797</v>
      </c>
      <c r="D1790" s="4">
        <f>IF(B1790&gt;'Mortality Table'!$A$118,D1789,VLOOKUP(B1790,'Mortality Table'!$A$2:$B$118,2,FALSE))</f>
        <v>0.59733000000000003</v>
      </c>
      <c r="E1790" s="4">
        <f>IF(INT((C1790-1)/12)+1&gt;'Lapse Table'!$A$11,E1789,VLOOKUP(INT((C1790-1)/12)+1,'Lapse Table'!$A$2:$B$11,2,FALSE))/12</f>
        <v>0</v>
      </c>
      <c r="F1790" s="5">
        <f t="shared" si="251"/>
        <v>-62.391604865619634</v>
      </c>
      <c r="G1790" s="6">
        <f t="shared" si="245"/>
        <v>4.9777500000000002E-2</v>
      </c>
      <c r="H1790" s="6">
        <f t="shared" si="246"/>
        <v>0</v>
      </c>
      <c r="I1790" s="7">
        <f t="shared" si="247"/>
        <v>-2079.7201621873214</v>
      </c>
      <c r="J1790" s="8">
        <f t="shared" si="248"/>
        <v>49777.5</v>
      </c>
      <c r="K1790" s="7">
        <f t="shared" si="249"/>
        <v>-51857.220162187325</v>
      </c>
      <c r="L1790" s="4">
        <f>IF(A1790&gt;'Yield Curve'!A2404,L1789,(1+VLOOKUP(A1790,'Yield Curve'!A1783:B2405,2,FALSE))^(1/12)-1)</f>
        <v>7.9741404289037643E-3</v>
      </c>
      <c r="M1790" s="5">
        <f t="shared" si="250"/>
        <v>-3.6982433623019527E-2</v>
      </c>
    </row>
    <row r="1791" spans="1:13" x14ac:dyDescent="0.25">
      <c r="A1791" s="4">
        <v>1783</v>
      </c>
      <c r="B1791" s="4">
        <f t="shared" si="243"/>
        <v>193</v>
      </c>
      <c r="C1791" s="4">
        <f t="shared" si="244"/>
        <v>1798</v>
      </c>
      <c r="D1791" s="4">
        <f>IF(B1791&gt;'Mortality Table'!$A$118,D1790,VLOOKUP(B1791,'Mortality Table'!$A$2:$B$118,2,FALSE))</f>
        <v>0.59733000000000003</v>
      </c>
      <c r="E1791" s="4">
        <f>IF(INT((C1791-1)/12)+1&gt;'Lapse Table'!$A$11,E1790,VLOOKUP(INT((C1791-1)/12)+1,'Lapse Table'!$A$2:$B$11,2,FALSE))/12</f>
        <v>0</v>
      </c>
      <c r="F1791" s="5">
        <f t="shared" si="251"/>
        <v>-62.441382365619631</v>
      </c>
      <c r="G1791" s="6">
        <f t="shared" si="245"/>
        <v>4.9777500000000002E-2</v>
      </c>
      <c r="H1791" s="6">
        <f t="shared" si="246"/>
        <v>0</v>
      </c>
      <c r="I1791" s="7">
        <f t="shared" si="247"/>
        <v>-2081.3794121873211</v>
      </c>
      <c r="J1791" s="8">
        <f t="shared" si="248"/>
        <v>49777.5</v>
      </c>
      <c r="K1791" s="7">
        <f t="shared" si="249"/>
        <v>-51858.879412187322</v>
      </c>
      <c r="L1791" s="4">
        <f>IF(A1791&gt;'Yield Curve'!A2405,L1790,(1+VLOOKUP(A1791,'Yield Curve'!A1784:B2406,2,FALSE))^(1/12)-1)</f>
        <v>7.9741404289037643E-3</v>
      </c>
      <c r="M1791" s="5">
        <f t="shared" si="250"/>
        <v>-3.669103744669934E-2</v>
      </c>
    </row>
    <row r="1792" spans="1:13" x14ac:dyDescent="0.25">
      <c r="A1792" s="4">
        <v>1784</v>
      </c>
      <c r="B1792" s="4">
        <f t="shared" si="243"/>
        <v>193</v>
      </c>
      <c r="C1792" s="4">
        <f t="shared" si="244"/>
        <v>1799</v>
      </c>
      <c r="D1792" s="4">
        <f>IF(B1792&gt;'Mortality Table'!$A$118,D1791,VLOOKUP(B1792,'Mortality Table'!$A$2:$B$118,2,FALSE))</f>
        <v>0.59733000000000003</v>
      </c>
      <c r="E1792" s="4">
        <f>IF(INT((C1792-1)/12)+1&gt;'Lapse Table'!$A$11,E1791,VLOOKUP(INT((C1792-1)/12)+1,'Lapse Table'!$A$2:$B$11,2,FALSE))/12</f>
        <v>0</v>
      </c>
      <c r="F1792" s="5">
        <f t="shared" si="251"/>
        <v>-62.491159865619629</v>
      </c>
      <c r="G1792" s="6">
        <f t="shared" si="245"/>
        <v>4.9777500000000002E-2</v>
      </c>
      <c r="H1792" s="6">
        <f t="shared" si="246"/>
        <v>0</v>
      </c>
      <c r="I1792" s="7">
        <f t="shared" si="247"/>
        <v>-2083.0386621873208</v>
      </c>
      <c r="J1792" s="8">
        <f t="shared" si="248"/>
        <v>49777.5</v>
      </c>
      <c r="K1792" s="7">
        <f t="shared" si="249"/>
        <v>-51860.538662187319</v>
      </c>
      <c r="L1792" s="4">
        <f>IF(A1792&gt;'Yield Curve'!A2406,L1791,(1+VLOOKUP(A1792,'Yield Curve'!A1785:B2407,2,FALSE))^(1/12)-1)</f>
        <v>7.9741404289037643E-3</v>
      </c>
      <c r="M1792" s="5">
        <f t="shared" si="250"/>
        <v>-3.6401937234843973E-2</v>
      </c>
    </row>
    <row r="1793" spans="1:13" x14ac:dyDescent="0.25">
      <c r="A1793" s="4">
        <v>1785</v>
      </c>
      <c r="B1793" s="4">
        <f t="shared" si="243"/>
        <v>193</v>
      </c>
      <c r="C1793" s="4">
        <f t="shared" si="244"/>
        <v>1800</v>
      </c>
      <c r="D1793" s="4">
        <f>IF(B1793&gt;'Mortality Table'!$A$118,D1792,VLOOKUP(B1793,'Mortality Table'!$A$2:$B$118,2,FALSE))</f>
        <v>0.59733000000000003</v>
      </c>
      <c r="E1793" s="4">
        <f>IF(INT((C1793-1)/12)+1&gt;'Lapse Table'!$A$11,E1792,VLOOKUP(INT((C1793-1)/12)+1,'Lapse Table'!$A$2:$B$11,2,FALSE))/12</f>
        <v>0</v>
      </c>
      <c r="F1793" s="5">
        <f t="shared" si="251"/>
        <v>-62.540937365619627</v>
      </c>
      <c r="G1793" s="6">
        <f t="shared" si="245"/>
        <v>4.9777500000000002E-2</v>
      </c>
      <c r="H1793" s="6">
        <f t="shared" si="246"/>
        <v>0</v>
      </c>
      <c r="I1793" s="7">
        <f t="shared" si="247"/>
        <v>-2084.697912187321</v>
      </c>
      <c r="J1793" s="8">
        <f t="shared" si="248"/>
        <v>49777.5</v>
      </c>
      <c r="K1793" s="7">
        <f t="shared" si="249"/>
        <v>-51862.197912187323</v>
      </c>
      <c r="L1793" s="4">
        <f>IF(A1793&gt;'Yield Curve'!A2407,L1792,(1+VLOOKUP(A1793,'Yield Curve'!A1786:B2408,2,FALSE))^(1/12)-1)</f>
        <v>7.9741404289037643E-3</v>
      </c>
      <c r="M1793" s="5">
        <f t="shared" si="250"/>
        <v>-3.611511489742001E-2</v>
      </c>
    </row>
    <row r="1794" spans="1:13" x14ac:dyDescent="0.25">
      <c r="A1794" s="4">
        <v>1786</v>
      </c>
      <c r="B1794" s="4">
        <f t="shared" si="243"/>
        <v>193</v>
      </c>
      <c r="C1794" s="4">
        <f t="shared" si="244"/>
        <v>1801</v>
      </c>
      <c r="D1794" s="4">
        <f>IF(B1794&gt;'Mortality Table'!$A$118,D1793,VLOOKUP(B1794,'Mortality Table'!$A$2:$B$118,2,FALSE))</f>
        <v>0.59733000000000003</v>
      </c>
      <c r="E1794" s="4">
        <f>IF(INT((C1794-1)/12)+1&gt;'Lapse Table'!$A$11,E1793,VLOOKUP(INT((C1794-1)/12)+1,'Lapse Table'!$A$2:$B$11,2,FALSE))/12</f>
        <v>0</v>
      </c>
      <c r="F1794" s="5">
        <f t="shared" si="251"/>
        <v>-62.590714865619624</v>
      </c>
      <c r="G1794" s="6">
        <f t="shared" si="245"/>
        <v>4.9777500000000002E-2</v>
      </c>
      <c r="H1794" s="6">
        <f t="shared" si="246"/>
        <v>0</v>
      </c>
      <c r="I1794" s="7">
        <f t="shared" si="247"/>
        <v>-2086.3571621873207</v>
      </c>
      <c r="J1794" s="8">
        <f t="shared" si="248"/>
        <v>49777.5</v>
      </c>
      <c r="K1794" s="7">
        <f t="shared" si="249"/>
        <v>-51863.85716218732</v>
      </c>
      <c r="L1794" s="4">
        <f>IF(A1794&gt;'Yield Curve'!A2408,L1793,(1+VLOOKUP(A1794,'Yield Curve'!A1787:B2409,2,FALSE))^(1/12)-1)</f>
        <v>7.9741404289037643E-3</v>
      </c>
      <c r="M1794" s="5">
        <f t="shared" si="250"/>
        <v>-3.5830552486924037E-2</v>
      </c>
    </row>
    <row r="1795" spans="1:13" x14ac:dyDescent="0.25">
      <c r="A1795" s="4">
        <v>1787</v>
      </c>
      <c r="B1795" s="4">
        <f t="shared" si="243"/>
        <v>193</v>
      </c>
      <c r="C1795" s="4">
        <f t="shared" si="244"/>
        <v>1802</v>
      </c>
      <c r="D1795" s="4">
        <f>IF(B1795&gt;'Mortality Table'!$A$118,D1794,VLOOKUP(B1795,'Mortality Table'!$A$2:$B$118,2,FALSE))</f>
        <v>0.59733000000000003</v>
      </c>
      <c r="E1795" s="4">
        <f>IF(INT((C1795-1)/12)+1&gt;'Lapse Table'!$A$11,E1794,VLOOKUP(INT((C1795-1)/12)+1,'Lapse Table'!$A$2:$B$11,2,FALSE))/12</f>
        <v>0</v>
      </c>
      <c r="F1795" s="5">
        <f t="shared" si="251"/>
        <v>-62.640492365619622</v>
      </c>
      <c r="G1795" s="6">
        <f t="shared" si="245"/>
        <v>4.9777500000000002E-2</v>
      </c>
      <c r="H1795" s="6">
        <f t="shared" si="246"/>
        <v>0</v>
      </c>
      <c r="I1795" s="7">
        <f t="shared" si="247"/>
        <v>-2088.0164121873208</v>
      </c>
      <c r="J1795" s="8">
        <f t="shared" si="248"/>
        <v>49777.5</v>
      </c>
      <c r="K1795" s="7">
        <f t="shared" si="249"/>
        <v>-51865.516412187324</v>
      </c>
      <c r="L1795" s="4">
        <f>IF(A1795&gt;'Yield Curve'!A2409,L1794,(1+VLOOKUP(A1795,'Yield Curve'!A1788:B2410,2,FALSE))^(1/12)-1)</f>
        <v>7.9741404289037643E-3</v>
      </c>
      <c r="M1795" s="5">
        <f t="shared" si="250"/>
        <v>-3.5548232197259749E-2</v>
      </c>
    </row>
    <row r="1796" spans="1:13" x14ac:dyDescent="0.25">
      <c r="A1796" s="4">
        <v>1788</v>
      </c>
      <c r="B1796" s="4">
        <f t="shared" si="243"/>
        <v>194</v>
      </c>
      <c r="C1796" s="4">
        <f t="shared" si="244"/>
        <v>1803</v>
      </c>
      <c r="D1796" s="4">
        <f>IF(B1796&gt;'Mortality Table'!$A$118,D1795,VLOOKUP(B1796,'Mortality Table'!$A$2:$B$118,2,FALSE))</f>
        <v>0.59733000000000003</v>
      </c>
      <c r="E1796" s="4">
        <f>IF(INT((C1796-1)/12)+1&gt;'Lapse Table'!$A$11,E1795,VLOOKUP(INT((C1796-1)/12)+1,'Lapse Table'!$A$2:$B$11,2,FALSE))/12</f>
        <v>0</v>
      </c>
      <c r="F1796" s="5">
        <f t="shared" si="251"/>
        <v>-62.690269865619619</v>
      </c>
      <c r="G1796" s="6">
        <f t="shared" si="245"/>
        <v>4.9777500000000002E-2</v>
      </c>
      <c r="H1796" s="6">
        <f t="shared" si="246"/>
        <v>0</v>
      </c>
      <c r="I1796" s="7">
        <f t="shared" si="247"/>
        <v>-2089.6756621873205</v>
      </c>
      <c r="J1796" s="8">
        <f t="shared" si="248"/>
        <v>49777.5</v>
      </c>
      <c r="K1796" s="7">
        <f t="shared" si="249"/>
        <v>-51867.175662187321</v>
      </c>
      <c r="L1796" s="4">
        <f>IF(A1796&gt;'Yield Curve'!A2410,L1795,(1+VLOOKUP(A1796,'Yield Curve'!A1789:B2411,2,FALSE))^(1/12)-1)</f>
        <v>7.9741404289037643E-3</v>
      </c>
      <c r="M1796" s="5">
        <f t="shared" si="250"/>
        <v>-3.5268136362623791E-2</v>
      </c>
    </row>
    <row r="1797" spans="1:13" x14ac:dyDescent="0.25">
      <c r="A1797" s="4">
        <v>1789</v>
      </c>
      <c r="B1797" s="4">
        <f t="shared" si="243"/>
        <v>194</v>
      </c>
      <c r="C1797" s="4">
        <f t="shared" si="244"/>
        <v>1804</v>
      </c>
      <c r="D1797" s="4">
        <f>IF(B1797&gt;'Mortality Table'!$A$118,D1796,VLOOKUP(B1797,'Mortality Table'!$A$2:$B$118,2,FALSE))</f>
        <v>0.59733000000000003</v>
      </c>
      <c r="E1797" s="4">
        <f>IF(INT((C1797-1)/12)+1&gt;'Lapse Table'!$A$11,E1796,VLOOKUP(INT((C1797-1)/12)+1,'Lapse Table'!$A$2:$B$11,2,FALSE))/12</f>
        <v>0</v>
      </c>
      <c r="F1797" s="5">
        <f t="shared" si="251"/>
        <v>-62.740047365619617</v>
      </c>
      <c r="G1797" s="6">
        <f t="shared" si="245"/>
        <v>4.9777500000000002E-2</v>
      </c>
      <c r="H1797" s="6">
        <f t="shared" si="246"/>
        <v>0</v>
      </c>
      <c r="I1797" s="7">
        <f t="shared" si="247"/>
        <v>-2091.3349121873207</v>
      </c>
      <c r="J1797" s="8">
        <f t="shared" si="248"/>
        <v>49777.5</v>
      </c>
      <c r="K1797" s="7">
        <f t="shared" si="249"/>
        <v>-51868.834912187318</v>
      </c>
      <c r="L1797" s="4">
        <f>IF(A1797&gt;'Yield Curve'!A2411,L1796,(1+VLOOKUP(A1797,'Yield Curve'!A1790:B2412,2,FALSE))^(1/12)-1)</f>
        <v>7.9741404289037643E-3</v>
      </c>
      <c r="M1797" s="5">
        <f t="shared" si="250"/>
        <v>-3.4990247456400413E-2</v>
      </c>
    </row>
    <row r="1798" spans="1:13" x14ac:dyDescent="0.25">
      <c r="A1798" s="4">
        <v>1790</v>
      </c>
      <c r="B1798" s="4">
        <f t="shared" si="243"/>
        <v>194</v>
      </c>
      <c r="C1798" s="4">
        <f t="shared" si="244"/>
        <v>1805</v>
      </c>
      <c r="D1798" s="4">
        <f>IF(B1798&gt;'Mortality Table'!$A$118,D1797,VLOOKUP(B1798,'Mortality Table'!$A$2:$B$118,2,FALSE))</f>
        <v>0.59733000000000003</v>
      </c>
      <c r="E1798" s="4">
        <f>IF(INT((C1798-1)/12)+1&gt;'Lapse Table'!$A$11,E1797,VLOOKUP(INT((C1798-1)/12)+1,'Lapse Table'!$A$2:$B$11,2,FALSE))/12</f>
        <v>0</v>
      </c>
      <c r="F1798" s="5">
        <f t="shared" si="251"/>
        <v>-62.789824865619615</v>
      </c>
      <c r="G1798" s="6">
        <f t="shared" si="245"/>
        <v>4.9777500000000002E-2</v>
      </c>
      <c r="H1798" s="6">
        <f t="shared" si="246"/>
        <v>0</v>
      </c>
      <c r="I1798" s="7">
        <f t="shared" si="247"/>
        <v>-2092.9941621873204</v>
      </c>
      <c r="J1798" s="8">
        <f t="shared" si="248"/>
        <v>49777.5</v>
      </c>
      <c r="K1798" s="7">
        <f t="shared" si="249"/>
        <v>-51870.494162187322</v>
      </c>
      <c r="L1798" s="4">
        <f>IF(A1798&gt;'Yield Curve'!A2412,L1797,(1+VLOOKUP(A1798,'Yield Curve'!A1791:B2413,2,FALSE))^(1/12)-1)</f>
        <v>7.9741404289037643E-3</v>
      </c>
      <c r="M1798" s="5">
        <f t="shared" si="250"/>
        <v>-3.4714548090064891E-2</v>
      </c>
    </row>
    <row r="1799" spans="1:13" x14ac:dyDescent="0.25">
      <c r="A1799" s="4">
        <v>1791</v>
      </c>
      <c r="B1799" s="4">
        <f t="shared" si="243"/>
        <v>194</v>
      </c>
      <c r="C1799" s="4">
        <f t="shared" si="244"/>
        <v>1806</v>
      </c>
      <c r="D1799" s="4">
        <f>IF(B1799&gt;'Mortality Table'!$A$118,D1798,VLOOKUP(B1799,'Mortality Table'!$A$2:$B$118,2,FALSE))</f>
        <v>0.59733000000000003</v>
      </c>
      <c r="E1799" s="4">
        <f>IF(INT((C1799-1)/12)+1&gt;'Lapse Table'!$A$11,E1798,VLOOKUP(INT((C1799-1)/12)+1,'Lapse Table'!$A$2:$B$11,2,FALSE))/12</f>
        <v>0</v>
      </c>
      <c r="F1799" s="5">
        <f t="shared" si="251"/>
        <v>-62.839602365619612</v>
      </c>
      <c r="G1799" s="6">
        <f t="shared" si="245"/>
        <v>4.9777500000000002E-2</v>
      </c>
      <c r="H1799" s="6">
        <f t="shared" si="246"/>
        <v>0</v>
      </c>
      <c r="I1799" s="7">
        <f t="shared" si="247"/>
        <v>-2094.6534121873206</v>
      </c>
      <c r="J1799" s="8">
        <f t="shared" si="248"/>
        <v>49777.5</v>
      </c>
      <c r="K1799" s="7">
        <f t="shared" si="249"/>
        <v>-51872.153412187319</v>
      </c>
      <c r="L1799" s="4">
        <f>IF(A1799&gt;'Yield Curve'!A2413,L1798,(1+VLOOKUP(A1799,'Yield Curve'!A1792:B2414,2,FALSE))^(1/12)-1)</f>
        <v>7.9741404289037643E-3</v>
      </c>
      <c r="M1799" s="5">
        <f t="shared" si="250"/>
        <v>-3.4441021012095452E-2</v>
      </c>
    </row>
    <row r="1800" spans="1:13" x14ac:dyDescent="0.25">
      <c r="A1800" s="4">
        <v>1792</v>
      </c>
      <c r="B1800" s="4">
        <f t="shared" si="243"/>
        <v>194</v>
      </c>
      <c r="C1800" s="4">
        <f t="shared" si="244"/>
        <v>1807</v>
      </c>
      <c r="D1800" s="4">
        <f>IF(B1800&gt;'Mortality Table'!$A$118,D1799,VLOOKUP(B1800,'Mortality Table'!$A$2:$B$118,2,FALSE))</f>
        <v>0.59733000000000003</v>
      </c>
      <c r="E1800" s="4">
        <f>IF(INT((C1800-1)/12)+1&gt;'Lapse Table'!$A$11,E1799,VLOOKUP(INT((C1800-1)/12)+1,'Lapse Table'!$A$2:$B$11,2,FALSE))/12</f>
        <v>0</v>
      </c>
      <c r="F1800" s="5">
        <f t="shared" si="251"/>
        <v>-62.88937986561961</v>
      </c>
      <c r="G1800" s="6">
        <f t="shared" si="245"/>
        <v>4.9777500000000002E-2</v>
      </c>
      <c r="H1800" s="6">
        <f t="shared" si="246"/>
        <v>0</v>
      </c>
      <c r="I1800" s="7">
        <f t="shared" si="247"/>
        <v>-2096.3126621873203</v>
      </c>
      <c r="J1800" s="8">
        <f t="shared" si="248"/>
        <v>49777.5</v>
      </c>
      <c r="K1800" s="7">
        <f t="shared" si="249"/>
        <v>-51873.812662187323</v>
      </c>
      <c r="L1800" s="4">
        <f>IF(A1800&gt;'Yield Curve'!A2414,L1799,(1+VLOOKUP(A1800,'Yield Curve'!A1793:B2415,2,FALSE))^(1/12)-1)</f>
        <v>7.9741404289037643E-3</v>
      </c>
      <c r="M1800" s="5">
        <f t="shared" si="250"/>
        <v>-3.4169649106893941E-2</v>
      </c>
    </row>
    <row r="1801" spans="1:13" x14ac:dyDescent="0.25">
      <c r="A1801" s="4">
        <v>1793</v>
      </c>
      <c r="B1801" s="4">
        <f t="shared" si="243"/>
        <v>194</v>
      </c>
      <c r="C1801" s="4">
        <f t="shared" si="244"/>
        <v>1808</v>
      </c>
      <c r="D1801" s="4">
        <f>IF(B1801&gt;'Mortality Table'!$A$118,D1800,VLOOKUP(B1801,'Mortality Table'!$A$2:$B$118,2,FALSE))</f>
        <v>0.59733000000000003</v>
      </c>
      <c r="E1801" s="4">
        <f>IF(INT((C1801-1)/12)+1&gt;'Lapse Table'!$A$11,E1800,VLOOKUP(INT((C1801-1)/12)+1,'Lapse Table'!$A$2:$B$11,2,FALSE))/12</f>
        <v>0</v>
      </c>
      <c r="F1801" s="5">
        <f t="shared" si="251"/>
        <v>-62.939157365619607</v>
      </c>
      <c r="G1801" s="6">
        <f t="shared" si="245"/>
        <v>4.9777500000000002E-2</v>
      </c>
      <c r="H1801" s="6">
        <f t="shared" si="246"/>
        <v>0</v>
      </c>
      <c r="I1801" s="7">
        <f t="shared" si="247"/>
        <v>-2097.97191218732</v>
      </c>
      <c r="J1801" s="8">
        <f t="shared" si="248"/>
        <v>49777.5</v>
      </c>
      <c r="K1801" s="7">
        <f t="shared" si="249"/>
        <v>-51875.47191218732</v>
      </c>
      <c r="L1801" s="4">
        <f>IF(A1801&gt;'Yield Curve'!A2415,L1800,(1+VLOOKUP(A1801,'Yield Curve'!A1794:B2416,2,FALSE))^(1/12)-1)</f>
        <v>7.9741404289037643E-3</v>
      </c>
      <c r="M1801" s="5">
        <f t="shared" si="250"/>
        <v>-3.3900415393714821E-2</v>
      </c>
    </row>
    <row r="1802" spans="1:13" x14ac:dyDescent="0.25">
      <c r="A1802" s="4">
        <v>1794</v>
      </c>
      <c r="B1802" s="4">
        <f t="shared" ref="B1802:B1865" si="252">INT($B$3+A1802/12)</f>
        <v>194</v>
      </c>
      <c r="C1802" s="4">
        <f t="shared" ref="C1802:C1865" si="253">$B$4+A1802</f>
        <v>1809</v>
      </c>
      <c r="D1802" s="4">
        <f>IF(B1802&gt;'Mortality Table'!$A$118,D1801,VLOOKUP(B1802,'Mortality Table'!$A$2:$B$118,2,FALSE))</f>
        <v>0.59733000000000003</v>
      </c>
      <c r="E1802" s="4">
        <f>IF(INT((C1802-1)/12)+1&gt;'Lapse Table'!$A$11,E1801,VLOOKUP(INT((C1802-1)/12)+1,'Lapse Table'!$A$2:$B$11,2,FALSE))/12</f>
        <v>0</v>
      </c>
      <c r="F1802" s="5">
        <f t="shared" si="251"/>
        <v>-62.988934865619605</v>
      </c>
      <c r="G1802" s="6">
        <f t="shared" ref="G1802:G1865" si="254">D1802/12*(1-0.5*E1802)</f>
        <v>4.9777500000000002E-2</v>
      </c>
      <c r="H1802" s="6">
        <f t="shared" ref="H1802:H1865" si="255">E1802*(1-0.5*D1802)</f>
        <v>0</v>
      </c>
      <c r="I1802" s="7">
        <f t="shared" ref="I1802:I1865" si="256">F1802*$B$5/12</f>
        <v>-2099.6311621873201</v>
      </c>
      <c r="J1802" s="8">
        <f t="shared" ref="J1802:J1865" si="257">$B$6*G1802</f>
        <v>49777.5</v>
      </c>
      <c r="K1802" s="7">
        <f t="shared" ref="K1802:K1865" si="258">I1802-J1802</f>
        <v>-51877.131162187317</v>
      </c>
      <c r="L1802" s="4">
        <f>IF(A1802&gt;'Yield Curve'!A2416,L1801,(1+VLOOKUP(A1802,'Yield Curve'!A1795:B2417,2,FALSE))^(1/12)-1)</f>
        <v>7.9741404289037643E-3</v>
      </c>
      <c r="M1802" s="5">
        <f t="shared" ref="M1802:M1865" si="259">K1802*(1+L1802)^-A1802</f>
        <v>-3.3633303025602794E-2</v>
      </c>
    </row>
    <row r="1803" spans="1:13" x14ac:dyDescent="0.25">
      <c r="A1803" s="4">
        <v>1795</v>
      </c>
      <c r="B1803" s="4">
        <f t="shared" si="252"/>
        <v>194</v>
      </c>
      <c r="C1803" s="4">
        <f t="shared" si="253"/>
        <v>1810</v>
      </c>
      <c r="D1803" s="4">
        <f>IF(B1803&gt;'Mortality Table'!$A$118,D1802,VLOOKUP(B1803,'Mortality Table'!$A$2:$B$118,2,FALSE))</f>
        <v>0.59733000000000003</v>
      </c>
      <c r="E1803" s="4">
        <f>IF(INT((C1803-1)/12)+1&gt;'Lapse Table'!$A$11,E1802,VLOOKUP(INT((C1803-1)/12)+1,'Lapse Table'!$A$2:$B$11,2,FALSE))/12</f>
        <v>0</v>
      </c>
      <c r="F1803" s="5">
        <f t="shared" ref="F1803:F1866" si="260">F1802-G1803-H1803</f>
        <v>-63.038712365619602</v>
      </c>
      <c r="G1803" s="6">
        <f t="shared" si="254"/>
        <v>4.9777500000000002E-2</v>
      </c>
      <c r="H1803" s="6">
        <f t="shared" si="255"/>
        <v>0</v>
      </c>
      <c r="I1803" s="7">
        <f t="shared" si="256"/>
        <v>-2101.2904121873203</v>
      </c>
      <c r="J1803" s="8">
        <f t="shared" si="257"/>
        <v>49777.5</v>
      </c>
      <c r="K1803" s="7">
        <f t="shared" si="258"/>
        <v>-51878.790412187322</v>
      </c>
      <c r="L1803" s="4">
        <f>IF(A1803&gt;'Yield Curve'!A2417,L1802,(1+VLOOKUP(A1803,'Yield Curve'!A1796:B2418,2,FALSE))^(1/12)-1)</f>
        <v>7.9741404289037643E-3</v>
      </c>
      <c r="M1803" s="5">
        <f t="shared" si="259"/>
        <v>-3.3368295288338609E-2</v>
      </c>
    </row>
    <row r="1804" spans="1:13" x14ac:dyDescent="0.25">
      <c r="A1804" s="4">
        <v>1796</v>
      </c>
      <c r="B1804" s="4">
        <f t="shared" si="252"/>
        <v>194</v>
      </c>
      <c r="C1804" s="4">
        <f t="shared" si="253"/>
        <v>1811</v>
      </c>
      <c r="D1804" s="4">
        <f>IF(B1804&gt;'Mortality Table'!$A$118,D1803,VLOOKUP(B1804,'Mortality Table'!$A$2:$B$118,2,FALSE))</f>
        <v>0.59733000000000003</v>
      </c>
      <c r="E1804" s="4">
        <f>IF(INT((C1804-1)/12)+1&gt;'Lapse Table'!$A$11,E1803,VLOOKUP(INT((C1804-1)/12)+1,'Lapse Table'!$A$2:$B$11,2,FALSE))/12</f>
        <v>0</v>
      </c>
      <c r="F1804" s="5">
        <f t="shared" si="260"/>
        <v>-63.0884898656196</v>
      </c>
      <c r="G1804" s="6">
        <f t="shared" si="254"/>
        <v>4.9777500000000002E-2</v>
      </c>
      <c r="H1804" s="6">
        <f t="shared" si="255"/>
        <v>0</v>
      </c>
      <c r="I1804" s="7">
        <f t="shared" si="256"/>
        <v>-2102.94966218732</v>
      </c>
      <c r="J1804" s="8">
        <f t="shared" si="257"/>
        <v>49777.5</v>
      </c>
      <c r="K1804" s="7">
        <f t="shared" si="258"/>
        <v>-51880.449662187319</v>
      </c>
      <c r="L1804" s="4">
        <f>IF(A1804&gt;'Yield Curve'!A2418,L1803,(1+VLOOKUP(A1804,'Yield Curve'!A1797:B2419,2,FALSE))^(1/12)-1)</f>
        <v>7.9741404289037643E-3</v>
      </c>
      <c r="M1804" s="5">
        <f t="shared" si="259"/>
        <v>-3.3105375599393277E-2</v>
      </c>
    </row>
    <row r="1805" spans="1:13" x14ac:dyDescent="0.25">
      <c r="A1805" s="4">
        <v>1797</v>
      </c>
      <c r="B1805" s="4">
        <f t="shared" si="252"/>
        <v>194</v>
      </c>
      <c r="C1805" s="4">
        <f t="shared" si="253"/>
        <v>1812</v>
      </c>
      <c r="D1805" s="4">
        <f>IF(B1805&gt;'Mortality Table'!$A$118,D1804,VLOOKUP(B1805,'Mortality Table'!$A$2:$B$118,2,FALSE))</f>
        <v>0.59733000000000003</v>
      </c>
      <c r="E1805" s="4">
        <f>IF(INT((C1805-1)/12)+1&gt;'Lapse Table'!$A$11,E1804,VLOOKUP(INT((C1805-1)/12)+1,'Lapse Table'!$A$2:$B$11,2,FALSE))/12</f>
        <v>0</v>
      </c>
      <c r="F1805" s="5">
        <f t="shared" si="260"/>
        <v>-63.138267365619598</v>
      </c>
      <c r="G1805" s="6">
        <f t="shared" si="254"/>
        <v>4.9777500000000002E-2</v>
      </c>
      <c r="H1805" s="6">
        <f t="shared" si="255"/>
        <v>0</v>
      </c>
      <c r="I1805" s="7">
        <f t="shared" si="256"/>
        <v>-2104.6089121873197</v>
      </c>
      <c r="J1805" s="8">
        <f t="shared" si="257"/>
        <v>49777.5</v>
      </c>
      <c r="K1805" s="7">
        <f t="shared" si="258"/>
        <v>-51882.108912187323</v>
      </c>
      <c r="L1805" s="4">
        <f>IF(A1805&gt;'Yield Curve'!A2419,L1804,(1+VLOOKUP(A1805,'Yield Curve'!A1798:B2420,2,FALSE))^(1/12)-1)</f>
        <v>7.9741404289037643E-3</v>
      </c>
      <c r="M1805" s="5">
        <f t="shared" si="259"/>
        <v>-3.284452750689057E-2</v>
      </c>
    </row>
    <row r="1806" spans="1:13" x14ac:dyDescent="0.25">
      <c r="A1806" s="4">
        <v>1798</v>
      </c>
      <c r="B1806" s="4">
        <f t="shared" si="252"/>
        <v>194</v>
      </c>
      <c r="C1806" s="4">
        <f t="shared" si="253"/>
        <v>1813</v>
      </c>
      <c r="D1806" s="4">
        <f>IF(B1806&gt;'Mortality Table'!$A$118,D1805,VLOOKUP(B1806,'Mortality Table'!$A$2:$B$118,2,FALSE))</f>
        <v>0.59733000000000003</v>
      </c>
      <c r="E1806" s="4">
        <f>IF(INT((C1806-1)/12)+1&gt;'Lapse Table'!$A$11,E1805,VLOOKUP(INT((C1806-1)/12)+1,'Lapse Table'!$A$2:$B$11,2,FALSE))/12</f>
        <v>0</v>
      </c>
      <c r="F1806" s="5">
        <f t="shared" si="260"/>
        <v>-63.188044865619595</v>
      </c>
      <c r="G1806" s="6">
        <f t="shared" si="254"/>
        <v>4.9777500000000002E-2</v>
      </c>
      <c r="H1806" s="6">
        <f t="shared" si="255"/>
        <v>0</v>
      </c>
      <c r="I1806" s="7">
        <f t="shared" si="256"/>
        <v>-2106.2681621873198</v>
      </c>
      <c r="J1806" s="8">
        <f t="shared" si="257"/>
        <v>49777.5</v>
      </c>
      <c r="K1806" s="7">
        <f t="shared" si="258"/>
        <v>-51883.76816218732</v>
      </c>
      <c r="L1806" s="4">
        <f>IF(A1806&gt;'Yield Curve'!A2420,L1805,(1+VLOOKUP(A1806,'Yield Curve'!A1799:B2421,2,FALSE))^(1/12)-1)</f>
        <v>7.9741404289037643E-3</v>
      </c>
      <c r="M1806" s="5">
        <f t="shared" si="259"/>
        <v>-3.2585734688577554E-2</v>
      </c>
    </row>
    <row r="1807" spans="1:13" x14ac:dyDescent="0.25">
      <c r="A1807" s="4">
        <v>1799</v>
      </c>
      <c r="B1807" s="4">
        <f t="shared" si="252"/>
        <v>194</v>
      </c>
      <c r="C1807" s="4">
        <f t="shared" si="253"/>
        <v>1814</v>
      </c>
      <c r="D1807" s="4">
        <f>IF(B1807&gt;'Mortality Table'!$A$118,D1806,VLOOKUP(B1807,'Mortality Table'!$A$2:$B$118,2,FALSE))</f>
        <v>0.59733000000000003</v>
      </c>
      <c r="E1807" s="4">
        <f>IF(INT((C1807-1)/12)+1&gt;'Lapse Table'!$A$11,E1806,VLOOKUP(INT((C1807-1)/12)+1,'Lapse Table'!$A$2:$B$11,2,FALSE))/12</f>
        <v>0</v>
      </c>
      <c r="F1807" s="5">
        <f t="shared" si="260"/>
        <v>-63.237822365619593</v>
      </c>
      <c r="G1807" s="6">
        <f t="shared" si="254"/>
        <v>4.9777500000000002E-2</v>
      </c>
      <c r="H1807" s="6">
        <f t="shared" si="255"/>
        <v>0</v>
      </c>
      <c r="I1807" s="7">
        <f t="shared" si="256"/>
        <v>-2107.92741218732</v>
      </c>
      <c r="J1807" s="8">
        <f t="shared" si="257"/>
        <v>49777.5</v>
      </c>
      <c r="K1807" s="7">
        <f t="shared" si="258"/>
        <v>-51885.427412187317</v>
      </c>
      <c r="L1807" s="4">
        <f>IF(A1807&gt;'Yield Curve'!A2421,L1806,(1+VLOOKUP(A1807,'Yield Curve'!A1800:B2422,2,FALSE))^(1/12)-1)</f>
        <v>7.9741404289037643E-3</v>
      </c>
      <c r="M1807" s="5">
        <f t="shared" si="259"/>
        <v>-3.2328980950803346E-2</v>
      </c>
    </row>
    <row r="1808" spans="1:13" x14ac:dyDescent="0.25">
      <c r="A1808" s="4">
        <v>1800</v>
      </c>
      <c r="B1808" s="4">
        <f t="shared" si="252"/>
        <v>195</v>
      </c>
      <c r="C1808" s="4">
        <f t="shared" si="253"/>
        <v>1815</v>
      </c>
      <c r="D1808" s="4">
        <f>IF(B1808&gt;'Mortality Table'!$A$118,D1807,VLOOKUP(B1808,'Mortality Table'!$A$2:$B$118,2,FALSE))</f>
        <v>0.59733000000000003</v>
      </c>
      <c r="E1808" s="4">
        <f>IF(INT((C1808-1)/12)+1&gt;'Lapse Table'!$A$11,E1807,VLOOKUP(INT((C1808-1)/12)+1,'Lapse Table'!$A$2:$B$11,2,FALSE))/12</f>
        <v>0</v>
      </c>
      <c r="F1808" s="5">
        <f t="shared" si="260"/>
        <v>-63.28759986561959</v>
      </c>
      <c r="G1808" s="6">
        <f t="shared" si="254"/>
        <v>4.9777500000000002E-2</v>
      </c>
      <c r="H1808" s="6">
        <f t="shared" si="255"/>
        <v>0</v>
      </c>
      <c r="I1808" s="7">
        <f t="shared" si="256"/>
        <v>-2109.5866621873197</v>
      </c>
      <c r="J1808" s="8">
        <f t="shared" si="257"/>
        <v>49777.5</v>
      </c>
      <c r="K1808" s="7">
        <f t="shared" si="258"/>
        <v>-51887.086662187321</v>
      </c>
      <c r="L1808" s="4">
        <f>IF(A1808&gt;'Yield Curve'!A2422,L1807,(1+VLOOKUP(A1808,'Yield Curve'!A1801:B2423,2,FALSE))^(1/12)-1)</f>
        <v>7.9741404289037643E-3</v>
      </c>
      <c r="M1808" s="5">
        <f t="shared" si="259"/>
        <v>-3.2074250227505902E-2</v>
      </c>
    </row>
    <row r="1809" spans="1:13" x14ac:dyDescent="0.25">
      <c r="A1809" s="4">
        <v>1801</v>
      </c>
      <c r="B1809" s="4">
        <f t="shared" si="252"/>
        <v>195</v>
      </c>
      <c r="C1809" s="4">
        <f t="shared" si="253"/>
        <v>1816</v>
      </c>
      <c r="D1809" s="4">
        <f>IF(B1809&gt;'Mortality Table'!$A$118,D1808,VLOOKUP(B1809,'Mortality Table'!$A$2:$B$118,2,FALSE))</f>
        <v>0.59733000000000003</v>
      </c>
      <c r="E1809" s="4">
        <f>IF(INT((C1809-1)/12)+1&gt;'Lapse Table'!$A$11,E1808,VLOOKUP(INT((C1809-1)/12)+1,'Lapse Table'!$A$2:$B$11,2,FALSE))/12</f>
        <v>0</v>
      </c>
      <c r="F1809" s="5">
        <f t="shared" si="260"/>
        <v>-63.337377365619588</v>
      </c>
      <c r="G1809" s="6">
        <f t="shared" si="254"/>
        <v>4.9777500000000002E-2</v>
      </c>
      <c r="H1809" s="6">
        <f t="shared" si="255"/>
        <v>0</v>
      </c>
      <c r="I1809" s="7">
        <f t="shared" si="256"/>
        <v>-2111.2459121873194</v>
      </c>
      <c r="J1809" s="8">
        <f t="shared" si="257"/>
        <v>49777.5</v>
      </c>
      <c r="K1809" s="7">
        <f t="shared" si="258"/>
        <v>-51888.745912187318</v>
      </c>
      <c r="L1809" s="4">
        <f>IF(A1809&gt;'Yield Curve'!A2423,L1808,(1+VLOOKUP(A1809,'Yield Curve'!A1802:B2424,2,FALSE))^(1/12)-1)</f>
        <v>7.9741404289037643E-3</v>
      </c>
      <c r="M1809" s="5">
        <f t="shared" si="259"/>
        <v>-3.182152657920672E-2</v>
      </c>
    </row>
    <row r="1810" spans="1:13" x14ac:dyDescent="0.25">
      <c r="A1810" s="4">
        <v>1802</v>
      </c>
      <c r="B1810" s="4">
        <f t="shared" si="252"/>
        <v>195</v>
      </c>
      <c r="C1810" s="4">
        <f t="shared" si="253"/>
        <v>1817</v>
      </c>
      <c r="D1810" s="4">
        <f>IF(B1810&gt;'Mortality Table'!$A$118,D1809,VLOOKUP(B1810,'Mortality Table'!$A$2:$B$118,2,FALSE))</f>
        <v>0.59733000000000003</v>
      </c>
      <c r="E1810" s="4">
        <f>IF(INT((C1810-1)/12)+1&gt;'Lapse Table'!$A$11,E1809,VLOOKUP(INT((C1810-1)/12)+1,'Lapse Table'!$A$2:$B$11,2,FALSE))/12</f>
        <v>0</v>
      </c>
      <c r="F1810" s="5">
        <f t="shared" si="260"/>
        <v>-63.387154865619586</v>
      </c>
      <c r="G1810" s="6">
        <f t="shared" si="254"/>
        <v>4.9777500000000002E-2</v>
      </c>
      <c r="H1810" s="6">
        <f t="shared" si="255"/>
        <v>0</v>
      </c>
      <c r="I1810" s="7">
        <f t="shared" si="256"/>
        <v>-2112.9051621873195</v>
      </c>
      <c r="J1810" s="8">
        <f t="shared" si="257"/>
        <v>49777.5</v>
      </c>
      <c r="K1810" s="7">
        <f t="shared" si="258"/>
        <v>-51890.405162187322</v>
      </c>
      <c r="L1810" s="4">
        <f>IF(A1810&gt;'Yield Curve'!A2424,L1809,(1+VLOOKUP(A1810,'Yield Curve'!A1803:B2425,2,FALSE))^(1/12)-1)</f>
        <v>7.9741404289037643E-3</v>
      </c>
      <c r="M1810" s="5">
        <f t="shared" si="259"/>
        <v>-3.1570794192013564E-2</v>
      </c>
    </row>
    <row r="1811" spans="1:13" x14ac:dyDescent="0.25">
      <c r="A1811" s="4">
        <v>1803</v>
      </c>
      <c r="B1811" s="4">
        <f t="shared" si="252"/>
        <v>195</v>
      </c>
      <c r="C1811" s="4">
        <f t="shared" si="253"/>
        <v>1818</v>
      </c>
      <c r="D1811" s="4">
        <f>IF(B1811&gt;'Mortality Table'!$A$118,D1810,VLOOKUP(B1811,'Mortality Table'!$A$2:$B$118,2,FALSE))</f>
        <v>0.59733000000000003</v>
      </c>
      <c r="E1811" s="4">
        <f>IF(INT((C1811-1)/12)+1&gt;'Lapse Table'!$A$11,E1810,VLOOKUP(INT((C1811-1)/12)+1,'Lapse Table'!$A$2:$B$11,2,FALSE))/12</f>
        <v>0</v>
      </c>
      <c r="F1811" s="5">
        <f t="shared" si="260"/>
        <v>-63.436932365619583</v>
      </c>
      <c r="G1811" s="6">
        <f t="shared" si="254"/>
        <v>4.9777500000000002E-2</v>
      </c>
      <c r="H1811" s="6">
        <f t="shared" si="255"/>
        <v>0</v>
      </c>
      <c r="I1811" s="7">
        <f t="shared" si="256"/>
        <v>-2114.5644121873197</v>
      </c>
      <c r="J1811" s="8">
        <f t="shared" si="257"/>
        <v>49777.5</v>
      </c>
      <c r="K1811" s="7">
        <f t="shared" si="258"/>
        <v>-51892.064412187319</v>
      </c>
      <c r="L1811" s="4">
        <f>IF(A1811&gt;'Yield Curve'!A2425,L1810,(1+VLOOKUP(A1811,'Yield Curve'!A1804:B2426,2,FALSE))^(1/12)-1)</f>
        <v>7.9741404289037643E-3</v>
      </c>
      <c r="M1811" s="5">
        <f t="shared" si="259"/>
        <v>-3.1322037376630973E-2</v>
      </c>
    </row>
    <row r="1812" spans="1:13" x14ac:dyDescent="0.25">
      <c r="A1812" s="4">
        <v>1804</v>
      </c>
      <c r="B1812" s="4">
        <f t="shared" si="252"/>
        <v>195</v>
      </c>
      <c r="C1812" s="4">
        <f t="shared" si="253"/>
        <v>1819</v>
      </c>
      <c r="D1812" s="4">
        <f>IF(B1812&gt;'Mortality Table'!$A$118,D1811,VLOOKUP(B1812,'Mortality Table'!$A$2:$B$118,2,FALSE))</f>
        <v>0.59733000000000003</v>
      </c>
      <c r="E1812" s="4">
        <f>IF(INT((C1812-1)/12)+1&gt;'Lapse Table'!$A$11,E1811,VLOOKUP(INT((C1812-1)/12)+1,'Lapse Table'!$A$2:$B$11,2,FALSE))/12</f>
        <v>0</v>
      </c>
      <c r="F1812" s="5">
        <f t="shared" si="260"/>
        <v>-63.486709865619581</v>
      </c>
      <c r="G1812" s="6">
        <f t="shared" si="254"/>
        <v>4.9777500000000002E-2</v>
      </c>
      <c r="H1812" s="6">
        <f t="shared" si="255"/>
        <v>0</v>
      </c>
      <c r="I1812" s="7">
        <f t="shared" si="256"/>
        <v>-2116.2236621873194</v>
      </c>
      <c r="J1812" s="8">
        <f t="shared" si="257"/>
        <v>49777.5</v>
      </c>
      <c r="K1812" s="7">
        <f t="shared" si="258"/>
        <v>-51893.723662187316</v>
      </c>
      <c r="L1812" s="4">
        <f>IF(A1812&gt;'Yield Curve'!A2426,L1811,(1+VLOOKUP(A1812,'Yield Curve'!A1805:B2427,2,FALSE))^(1/12)-1)</f>
        <v>7.9741404289037643E-3</v>
      </c>
      <c r="M1812" s="5">
        <f t="shared" si="259"/>
        <v>-3.1075240567378561E-2</v>
      </c>
    </row>
    <row r="1813" spans="1:13" x14ac:dyDescent="0.25">
      <c r="A1813" s="4">
        <v>1805</v>
      </c>
      <c r="B1813" s="4">
        <f t="shared" si="252"/>
        <v>195</v>
      </c>
      <c r="C1813" s="4">
        <f t="shared" si="253"/>
        <v>1820</v>
      </c>
      <c r="D1813" s="4">
        <f>IF(B1813&gt;'Mortality Table'!$A$118,D1812,VLOOKUP(B1813,'Mortality Table'!$A$2:$B$118,2,FALSE))</f>
        <v>0.59733000000000003</v>
      </c>
      <c r="E1813" s="4">
        <f>IF(INT((C1813-1)/12)+1&gt;'Lapse Table'!$A$11,E1812,VLOOKUP(INT((C1813-1)/12)+1,'Lapse Table'!$A$2:$B$11,2,FALSE))/12</f>
        <v>0</v>
      </c>
      <c r="F1813" s="5">
        <f t="shared" si="260"/>
        <v>-63.536487365619578</v>
      </c>
      <c r="G1813" s="6">
        <f t="shared" si="254"/>
        <v>4.9777500000000002E-2</v>
      </c>
      <c r="H1813" s="6">
        <f t="shared" si="255"/>
        <v>0</v>
      </c>
      <c r="I1813" s="7">
        <f t="shared" si="256"/>
        <v>-2117.8829121873191</v>
      </c>
      <c r="J1813" s="8">
        <f t="shared" si="257"/>
        <v>49777.5</v>
      </c>
      <c r="K1813" s="7">
        <f t="shared" si="258"/>
        <v>-51895.38291218732</v>
      </c>
      <c r="L1813" s="4">
        <f>IF(A1813&gt;'Yield Curve'!A2427,L1812,(1+VLOOKUP(A1813,'Yield Curve'!A1806:B2428,2,FALSE))^(1/12)-1)</f>
        <v>7.9741404289037643E-3</v>
      </c>
      <c r="M1813" s="5">
        <f t="shared" si="259"/>
        <v>-3.0830388321217126E-2</v>
      </c>
    </row>
    <row r="1814" spans="1:13" x14ac:dyDescent="0.25">
      <c r="A1814" s="4">
        <v>1806</v>
      </c>
      <c r="B1814" s="4">
        <f t="shared" si="252"/>
        <v>195</v>
      </c>
      <c r="C1814" s="4">
        <f t="shared" si="253"/>
        <v>1821</v>
      </c>
      <c r="D1814" s="4">
        <f>IF(B1814&gt;'Mortality Table'!$A$118,D1813,VLOOKUP(B1814,'Mortality Table'!$A$2:$B$118,2,FALSE))</f>
        <v>0.59733000000000003</v>
      </c>
      <c r="E1814" s="4">
        <f>IF(INT((C1814-1)/12)+1&gt;'Lapse Table'!$A$11,E1813,VLOOKUP(INT((C1814-1)/12)+1,'Lapse Table'!$A$2:$B$11,2,FALSE))/12</f>
        <v>0</v>
      </c>
      <c r="F1814" s="5">
        <f t="shared" si="260"/>
        <v>-63.586264865619576</v>
      </c>
      <c r="G1814" s="6">
        <f t="shared" si="254"/>
        <v>4.9777500000000002E-2</v>
      </c>
      <c r="H1814" s="6">
        <f t="shared" si="255"/>
        <v>0</v>
      </c>
      <c r="I1814" s="7">
        <f t="shared" si="256"/>
        <v>-2119.5421621873193</v>
      </c>
      <c r="J1814" s="8">
        <f t="shared" si="257"/>
        <v>49777.5</v>
      </c>
      <c r="K1814" s="7">
        <f t="shared" si="258"/>
        <v>-51897.042162187317</v>
      </c>
      <c r="L1814" s="4">
        <f>IF(A1814&gt;'Yield Curve'!A2428,L1813,(1+VLOOKUP(A1814,'Yield Curve'!A1807:B2429,2,FALSE))^(1/12)-1)</f>
        <v>7.9741404289037643E-3</v>
      </c>
      <c r="M1814" s="5">
        <f t="shared" si="259"/>
        <v>-3.0587465316782334E-2</v>
      </c>
    </row>
    <row r="1815" spans="1:13" x14ac:dyDescent="0.25">
      <c r="A1815" s="4">
        <v>1807</v>
      </c>
      <c r="B1815" s="4">
        <f t="shared" si="252"/>
        <v>195</v>
      </c>
      <c r="C1815" s="4">
        <f t="shared" si="253"/>
        <v>1822</v>
      </c>
      <c r="D1815" s="4">
        <f>IF(B1815&gt;'Mortality Table'!$A$118,D1814,VLOOKUP(B1815,'Mortality Table'!$A$2:$B$118,2,FALSE))</f>
        <v>0.59733000000000003</v>
      </c>
      <c r="E1815" s="4">
        <f>IF(INT((C1815-1)/12)+1&gt;'Lapse Table'!$A$11,E1814,VLOOKUP(INT((C1815-1)/12)+1,'Lapse Table'!$A$2:$B$11,2,FALSE))/12</f>
        <v>0</v>
      </c>
      <c r="F1815" s="5">
        <f t="shared" si="260"/>
        <v>-63.636042365619574</v>
      </c>
      <c r="G1815" s="6">
        <f t="shared" si="254"/>
        <v>4.9777500000000002E-2</v>
      </c>
      <c r="H1815" s="6">
        <f t="shared" si="255"/>
        <v>0</v>
      </c>
      <c r="I1815" s="7">
        <f t="shared" si="256"/>
        <v>-2121.2014121873194</v>
      </c>
      <c r="J1815" s="8">
        <f t="shared" si="257"/>
        <v>49777.5</v>
      </c>
      <c r="K1815" s="7">
        <f t="shared" si="258"/>
        <v>-51898.701412187322</v>
      </c>
      <c r="L1815" s="4">
        <f>IF(A1815&gt;'Yield Curve'!A2429,L1814,(1+VLOOKUP(A1815,'Yield Curve'!A1808:B2430,2,FALSE))^(1/12)-1)</f>
        <v>7.9741404289037643E-3</v>
      </c>
      <c r="M1815" s="5">
        <f t="shared" si="259"/>
        <v>-3.0346456353426112E-2</v>
      </c>
    </row>
    <row r="1816" spans="1:13" x14ac:dyDescent="0.25">
      <c r="A1816" s="4">
        <v>1808</v>
      </c>
      <c r="B1816" s="4">
        <f t="shared" si="252"/>
        <v>195</v>
      </c>
      <c r="C1816" s="4">
        <f t="shared" si="253"/>
        <v>1823</v>
      </c>
      <c r="D1816" s="4">
        <f>IF(B1816&gt;'Mortality Table'!$A$118,D1815,VLOOKUP(B1816,'Mortality Table'!$A$2:$B$118,2,FALSE))</f>
        <v>0.59733000000000003</v>
      </c>
      <c r="E1816" s="4">
        <f>IF(INT((C1816-1)/12)+1&gt;'Lapse Table'!$A$11,E1815,VLOOKUP(INT((C1816-1)/12)+1,'Lapse Table'!$A$2:$B$11,2,FALSE))/12</f>
        <v>0</v>
      </c>
      <c r="F1816" s="5">
        <f t="shared" si="260"/>
        <v>-63.685819865619571</v>
      </c>
      <c r="G1816" s="6">
        <f t="shared" si="254"/>
        <v>4.9777500000000002E-2</v>
      </c>
      <c r="H1816" s="6">
        <f t="shared" si="255"/>
        <v>0</v>
      </c>
      <c r="I1816" s="7">
        <f t="shared" si="256"/>
        <v>-2122.8606621873191</v>
      </c>
      <c r="J1816" s="8">
        <f t="shared" si="257"/>
        <v>49777.5</v>
      </c>
      <c r="K1816" s="7">
        <f t="shared" si="258"/>
        <v>-51900.360662187319</v>
      </c>
      <c r="L1816" s="4">
        <f>IF(A1816&gt;'Yield Curve'!A2430,L1815,(1+VLOOKUP(A1816,'Yield Curve'!A1809:B2431,2,FALSE))^(1/12)-1)</f>
        <v>7.9741404289037643E-3</v>
      </c>
      <c r="M1816" s="5">
        <f t="shared" si="259"/>
        <v>-3.010734635026548E-2</v>
      </c>
    </row>
    <row r="1817" spans="1:13" x14ac:dyDescent="0.25">
      <c r="A1817" s="4">
        <v>1809</v>
      </c>
      <c r="B1817" s="4">
        <f t="shared" si="252"/>
        <v>195</v>
      </c>
      <c r="C1817" s="4">
        <f t="shared" si="253"/>
        <v>1824</v>
      </c>
      <c r="D1817" s="4">
        <f>IF(B1817&gt;'Mortality Table'!$A$118,D1816,VLOOKUP(B1817,'Mortality Table'!$A$2:$B$118,2,FALSE))</f>
        <v>0.59733000000000003</v>
      </c>
      <c r="E1817" s="4">
        <f>IF(INT((C1817-1)/12)+1&gt;'Lapse Table'!$A$11,E1816,VLOOKUP(INT((C1817-1)/12)+1,'Lapse Table'!$A$2:$B$11,2,FALSE))/12</f>
        <v>0</v>
      </c>
      <c r="F1817" s="5">
        <f t="shared" si="260"/>
        <v>-63.735597365619569</v>
      </c>
      <c r="G1817" s="6">
        <f t="shared" si="254"/>
        <v>4.9777500000000002E-2</v>
      </c>
      <c r="H1817" s="6">
        <f t="shared" si="255"/>
        <v>0</v>
      </c>
      <c r="I1817" s="7">
        <f t="shared" si="256"/>
        <v>-2124.5199121873188</v>
      </c>
      <c r="J1817" s="8">
        <f t="shared" si="257"/>
        <v>49777.5</v>
      </c>
      <c r="K1817" s="7">
        <f t="shared" si="258"/>
        <v>-51902.019912187316</v>
      </c>
      <c r="L1817" s="4">
        <f>IF(A1817&gt;'Yield Curve'!A2431,L1816,(1+VLOOKUP(A1817,'Yield Curve'!A1810:B2432,2,FALSE))^(1/12)-1)</f>
        <v>7.9741404289037643E-3</v>
      </c>
      <c r="M1817" s="5">
        <f t="shared" si="259"/>
        <v>-2.9870120345239042E-2</v>
      </c>
    </row>
    <row r="1818" spans="1:13" x14ac:dyDescent="0.25">
      <c r="A1818" s="4">
        <v>1810</v>
      </c>
      <c r="B1818" s="4">
        <f t="shared" si="252"/>
        <v>195</v>
      </c>
      <c r="C1818" s="4">
        <f t="shared" si="253"/>
        <v>1825</v>
      </c>
      <c r="D1818" s="4">
        <f>IF(B1818&gt;'Mortality Table'!$A$118,D1817,VLOOKUP(B1818,'Mortality Table'!$A$2:$B$118,2,FALSE))</f>
        <v>0.59733000000000003</v>
      </c>
      <c r="E1818" s="4">
        <f>IF(INT((C1818-1)/12)+1&gt;'Lapse Table'!$A$11,E1817,VLOOKUP(INT((C1818-1)/12)+1,'Lapse Table'!$A$2:$B$11,2,FALSE))/12</f>
        <v>0</v>
      </c>
      <c r="F1818" s="5">
        <f t="shared" si="260"/>
        <v>-63.785374865619566</v>
      </c>
      <c r="G1818" s="6">
        <f t="shared" si="254"/>
        <v>4.9777500000000002E-2</v>
      </c>
      <c r="H1818" s="6">
        <f t="shared" si="255"/>
        <v>0</v>
      </c>
      <c r="I1818" s="7">
        <f t="shared" si="256"/>
        <v>-2126.179162187319</v>
      </c>
      <c r="J1818" s="8">
        <f t="shared" si="257"/>
        <v>49777.5</v>
      </c>
      <c r="K1818" s="7">
        <f t="shared" si="258"/>
        <v>-51903.67916218732</v>
      </c>
      <c r="L1818" s="4">
        <f>IF(A1818&gt;'Yield Curve'!A2432,L1817,(1+VLOOKUP(A1818,'Yield Curve'!A1811:B2433,2,FALSE))^(1/12)-1)</f>
        <v>7.9741404289037643E-3</v>
      </c>
      <c r="M1818" s="5">
        <f t="shared" si="259"/>
        <v>-2.963476349417072E-2</v>
      </c>
    </row>
    <row r="1819" spans="1:13" x14ac:dyDescent="0.25">
      <c r="A1819" s="4">
        <v>1811</v>
      </c>
      <c r="B1819" s="4">
        <f t="shared" si="252"/>
        <v>195</v>
      </c>
      <c r="C1819" s="4">
        <f t="shared" si="253"/>
        <v>1826</v>
      </c>
      <c r="D1819" s="4">
        <f>IF(B1819&gt;'Mortality Table'!$A$118,D1818,VLOOKUP(B1819,'Mortality Table'!$A$2:$B$118,2,FALSE))</f>
        <v>0.59733000000000003</v>
      </c>
      <c r="E1819" s="4">
        <f>IF(INT((C1819-1)/12)+1&gt;'Lapse Table'!$A$11,E1818,VLOOKUP(INT((C1819-1)/12)+1,'Lapse Table'!$A$2:$B$11,2,FALSE))/12</f>
        <v>0</v>
      </c>
      <c r="F1819" s="5">
        <f t="shared" si="260"/>
        <v>-63.835152365619564</v>
      </c>
      <c r="G1819" s="6">
        <f t="shared" si="254"/>
        <v>4.9777500000000002E-2</v>
      </c>
      <c r="H1819" s="6">
        <f t="shared" si="255"/>
        <v>0</v>
      </c>
      <c r="I1819" s="7">
        <f t="shared" si="256"/>
        <v>-2127.8384121873187</v>
      </c>
      <c r="J1819" s="8">
        <f t="shared" si="257"/>
        <v>49777.5</v>
      </c>
      <c r="K1819" s="7">
        <f t="shared" si="258"/>
        <v>-51905.338412187317</v>
      </c>
      <c r="L1819" s="4">
        <f>IF(A1819&gt;'Yield Curve'!A2433,L1818,(1+VLOOKUP(A1819,'Yield Curve'!A1812:B2434,2,FALSE))^(1/12)-1)</f>
        <v>7.9741404289037643E-3</v>
      </c>
      <c r="M1819" s="5">
        <f t="shared" si="259"/>
        <v>-2.9401261069841002E-2</v>
      </c>
    </row>
    <row r="1820" spans="1:13" x14ac:dyDescent="0.25">
      <c r="A1820" s="4">
        <v>1812</v>
      </c>
      <c r="B1820" s="4">
        <f t="shared" si="252"/>
        <v>196</v>
      </c>
      <c r="C1820" s="4">
        <f t="shared" si="253"/>
        <v>1827</v>
      </c>
      <c r="D1820" s="4">
        <f>IF(B1820&gt;'Mortality Table'!$A$118,D1819,VLOOKUP(B1820,'Mortality Table'!$A$2:$B$118,2,FALSE))</f>
        <v>0.59733000000000003</v>
      </c>
      <c r="E1820" s="4">
        <f>IF(INT((C1820-1)/12)+1&gt;'Lapse Table'!$A$11,E1819,VLOOKUP(INT((C1820-1)/12)+1,'Lapse Table'!$A$2:$B$11,2,FALSE))/12</f>
        <v>0</v>
      </c>
      <c r="F1820" s="5">
        <f t="shared" si="260"/>
        <v>-63.884929865619561</v>
      </c>
      <c r="G1820" s="6">
        <f t="shared" si="254"/>
        <v>4.9777500000000002E-2</v>
      </c>
      <c r="H1820" s="6">
        <f t="shared" si="255"/>
        <v>0</v>
      </c>
      <c r="I1820" s="7">
        <f t="shared" si="256"/>
        <v>-2129.4976621873188</v>
      </c>
      <c r="J1820" s="8">
        <f t="shared" si="257"/>
        <v>49777.5</v>
      </c>
      <c r="K1820" s="7">
        <f t="shared" si="258"/>
        <v>-51906.997662187321</v>
      </c>
      <c r="L1820" s="4">
        <f>IF(A1820&gt;'Yield Curve'!A2434,L1819,(1+VLOOKUP(A1820,'Yield Curve'!A1813:B2435,2,FALSE))^(1/12)-1)</f>
        <v>7.9741404289037643E-3</v>
      </c>
      <c r="M1820" s="5">
        <f t="shared" si="259"/>
        <v>-2.9169598461065441E-2</v>
      </c>
    </row>
    <row r="1821" spans="1:13" x14ac:dyDescent="0.25">
      <c r="A1821" s="4">
        <v>1813</v>
      </c>
      <c r="B1821" s="4">
        <f t="shared" si="252"/>
        <v>196</v>
      </c>
      <c r="C1821" s="4">
        <f t="shared" si="253"/>
        <v>1828</v>
      </c>
      <c r="D1821" s="4">
        <f>IF(B1821&gt;'Mortality Table'!$A$118,D1820,VLOOKUP(B1821,'Mortality Table'!$A$2:$B$118,2,FALSE))</f>
        <v>0.59733000000000003</v>
      </c>
      <c r="E1821" s="4">
        <f>IF(INT((C1821-1)/12)+1&gt;'Lapse Table'!$A$11,E1820,VLOOKUP(INT((C1821-1)/12)+1,'Lapse Table'!$A$2:$B$11,2,FALSE))/12</f>
        <v>0</v>
      </c>
      <c r="F1821" s="5">
        <f t="shared" si="260"/>
        <v>-63.934707365619559</v>
      </c>
      <c r="G1821" s="6">
        <f t="shared" si="254"/>
        <v>4.9777500000000002E-2</v>
      </c>
      <c r="H1821" s="6">
        <f t="shared" si="255"/>
        <v>0</v>
      </c>
      <c r="I1821" s="7">
        <f t="shared" si="256"/>
        <v>-2131.1569121873185</v>
      </c>
      <c r="J1821" s="8">
        <f t="shared" si="257"/>
        <v>49777.5</v>
      </c>
      <c r="K1821" s="7">
        <f t="shared" si="258"/>
        <v>-51908.656912187318</v>
      </c>
      <c r="L1821" s="4">
        <f>IF(A1821&gt;'Yield Curve'!A2435,L1820,(1+VLOOKUP(A1821,'Yield Curve'!A1814:B2436,2,FALSE))^(1/12)-1)</f>
        <v>7.9741404289037643E-3</v>
      </c>
      <c r="M1821" s="5">
        <f t="shared" si="259"/>
        <v>-2.8939761171780452E-2</v>
      </c>
    </row>
    <row r="1822" spans="1:13" x14ac:dyDescent="0.25">
      <c r="A1822" s="4">
        <v>1814</v>
      </c>
      <c r="B1822" s="4">
        <f t="shared" si="252"/>
        <v>196</v>
      </c>
      <c r="C1822" s="4">
        <f t="shared" si="253"/>
        <v>1829</v>
      </c>
      <c r="D1822" s="4">
        <f>IF(B1822&gt;'Mortality Table'!$A$118,D1821,VLOOKUP(B1822,'Mortality Table'!$A$2:$B$118,2,FALSE))</f>
        <v>0.59733000000000003</v>
      </c>
      <c r="E1822" s="4">
        <f>IF(INT((C1822-1)/12)+1&gt;'Lapse Table'!$A$11,E1821,VLOOKUP(INT((C1822-1)/12)+1,'Lapse Table'!$A$2:$B$11,2,FALSE))/12</f>
        <v>0</v>
      </c>
      <c r="F1822" s="5">
        <f t="shared" si="260"/>
        <v>-63.984484865619557</v>
      </c>
      <c r="G1822" s="6">
        <f t="shared" si="254"/>
        <v>4.9777500000000002E-2</v>
      </c>
      <c r="H1822" s="6">
        <f t="shared" si="255"/>
        <v>0</v>
      </c>
      <c r="I1822" s="7">
        <f t="shared" si="256"/>
        <v>-2132.8161621873187</v>
      </c>
      <c r="J1822" s="8">
        <f t="shared" si="257"/>
        <v>49777.5</v>
      </c>
      <c r="K1822" s="7">
        <f t="shared" si="258"/>
        <v>-51910.316162187315</v>
      </c>
      <c r="L1822" s="4">
        <f>IF(A1822&gt;'Yield Curve'!A2436,L1821,(1+VLOOKUP(A1822,'Yield Curve'!A1815:B2437,2,FALSE))^(1/12)-1)</f>
        <v>7.9741404289037643E-3</v>
      </c>
      <c r="M1822" s="5">
        <f t="shared" si="259"/>
        <v>-2.8711734820136319E-2</v>
      </c>
    </row>
    <row r="1823" spans="1:13" x14ac:dyDescent="0.25">
      <c r="A1823" s="4">
        <v>1815</v>
      </c>
      <c r="B1823" s="4">
        <f t="shared" si="252"/>
        <v>196</v>
      </c>
      <c r="C1823" s="4">
        <f t="shared" si="253"/>
        <v>1830</v>
      </c>
      <c r="D1823" s="4">
        <f>IF(B1823&gt;'Mortality Table'!$A$118,D1822,VLOOKUP(B1823,'Mortality Table'!$A$2:$B$118,2,FALSE))</f>
        <v>0.59733000000000003</v>
      </c>
      <c r="E1823" s="4">
        <f>IF(INT((C1823-1)/12)+1&gt;'Lapse Table'!$A$11,E1822,VLOOKUP(INT((C1823-1)/12)+1,'Lapse Table'!$A$2:$B$11,2,FALSE))/12</f>
        <v>0</v>
      </c>
      <c r="F1823" s="5">
        <f t="shared" si="260"/>
        <v>-64.034262365619554</v>
      </c>
      <c r="G1823" s="6">
        <f t="shared" si="254"/>
        <v>4.9777500000000002E-2</v>
      </c>
      <c r="H1823" s="6">
        <f t="shared" si="255"/>
        <v>0</v>
      </c>
      <c r="I1823" s="7">
        <f t="shared" si="256"/>
        <v>-2134.4754121873184</v>
      </c>
      <c r="J1823" s="8">
        <f t="shared" si="257"/>
        <v>49777.5</v>
      </c>
      <c r="K1823" s="7">
        <f t="shared" si="258"/>
        <v>-51911.975412187319</v>
      </c>
      <c r="L1823" s="4">
        <f>IF(A1823&gt;'Yield Curve'!A2437,L1822,(1+VLOOKUP(A1823,'Yield Curve'!A1816:B2438,2,FALSE))^(1/12)-1)</f>
        <v>7.9741404289037643E-3</v>
      </c>
      <c r="M1823" s="5">
        <f t="shared" si="259"/>
        <v>-2.8485505137597254E-2</v>
      </c>
    </row>
    <row r="1824" spans="1:13" x14ac:dyDescent="0.25">
      <c r="A1824" s="4">
        <v>1816</v>
      </c>
      <c r="B1824" s="4">
        <f t="shared" si="252"/>
        <v>196</v>
      </c>
      <c r="C1824" s="4">
        <f t="shared" si="253"/>
        <v>1831</v>
      </c>
      <c r="D1824" s="4">
        <f>IF(B1824&gt;'Mortality Table'!$A$118,D1823,VLOOKUP(B1824,'Mortality Table'!$A$2:$B$118,2,FALSE))</f>
        <v>0.59733000000000003</v>
      </c>
      <c r="E1824" s="4">
        <f>IF(INT((C1824-1)/12)+1&gt;'Lapse Table'!$A$11,E1823,VLOOKUP(INT((C1824-1)/12)+1,'Lapse Table'!$A$2:$B$11,2,FALSE))/12</f>
        <v>0</v>
      </c>
      <c r="F1824" s="5">
        <f t="shared" si="260"/>
        <v>-64.084039865619559</v>
      </c>
      <c r="G1824" s="6">
        <f t="shared" si="254"/>
        <v>4.9777500000000002E-2</v>
      </c>
      <c r="H1824" s="6">
        <f t="shared" si="255"/>
        <v>0</v>
      </c>
      <c r="I1824" s="7">
        <f t="shared" si="256"/>
        <v>-2136.1346621873186</v>
      </c>
      <c r="J1824" s="8">
        <f t="shared" si="257"/>
        <v>49777.5</v>
      </c>
      <c r="K1824" s="7">
        <f t="shared" si="258"/>
        <v>-51913.634662187316</v>
      </c>
      <c r="L1824" s="4">
        <f>IF(A1824&gt;'Yield Curve'!A2438,L1823,(1+VLOOKUP(A1824,'Yield Curve'!A1817:B2439,2,FALSE))^(1/12)-1)</f>
        <v>7.9741404289037643E-3</v>
      </c>
      <c r="M1824" s="5">
        <f t="shared" si="259"/>
        <v>-2.8261057968048679E-2</v>
      </c>
    </row>
    <row r="1825" spans="1:13" x14ac:dyDescent="0.25">
      <c r="A1825" s="4">
        <v>1817</v>
      </c>
      <c r="B1825" s="4">
        <f t="shared" si="252"/>
        <v>196</v>
      </c>
      <c r="C1825" s="4">
        <f t="shared" si="253"/>
        <v>1832</v>
      </c>
      <c r="D1825" s="4">
        <f>IF(B1825&gt;'Mortality Table'!$A$118,D1824,VLOOKUP(B1825,'Mortality Table'!$A$2:$B$118,2,FALSE))</f>
        <v>0.59733000000000003</v>
      </c>
      <c r="E1825" s="4">
        <f>IF(INT((C1825-1)/12)+1&gt;'Lapse Table'!$A$11,E1824,VLOOKUP(INT((C1825-1)/12)+1,'Lapse Table'!$A$2:$B$11,2,FALSE))/12</f>
        <v>0</v>
      </c>
      <c r="F1825" s="5">
        <f t="shared" si="260"/>
        <v>-64.133817365619564</v>
      </c>
      <c r="G1825" s="6">
        <f t="shared" si="254"/>
        <v>4.9777500000000002E-2</v>
      </c>
      <c r="H1825" s="6">
        <f t="shared" si="255"/>
        <v>0</v>
      </c>
      <c r="I1825" s="7">
        <f t="shared" si="256"/>
        <v>-2137.7939121873187</v>
      </c>
      <c r="J1825" s="8">
        <f t="shared" si="257"/>
        <v>49777.5</v>
      </c>
      <c r="K1825" s="7">
        <f t="shared" si="258"/>
        <v>-51915.293912187321</v>
      </c>
      <c r="L1825" s="4">
        <f>IF(A1825&gt;'Yield Curve'!A2439,L1824,(1+VLOOKUP(A1825,'Yield Curve'!A1818:B2440,2,FALSE))^(1/12)-1)</f>
        <v>7.9741404289037643E-3</v>
      </c>
      <c r="M1825" s="5">
        <f t="shared" si="259"/>
        <v>-2.803837926691145E-2</v>
      </c>
    </row>
    <row r="1826" spans="1:13" x14ac:dyDescent="0.25">
      <c r="A1826" s="4">
        <v>1818</v>
      </c>
      <c r="B1826" s="4">
        <f t="shared" si="252"/>
        <v>196</v>
      </c>
      <c r="C1826" s="4">
        <f t="shared" si="253"/>
        <v>1833</v>
      </c>
      <c r="D1826" s="4">
        <f>IF(B1826&gt;'Mortality Table'!$A$118,D1825,VLOOKUP(B1826,'Mortality Table'!$A$2:$B$118,2,FALSE))</f>
        <v>0.59733000000000003</v>
      </c>
      <c r="E1826" s="4">
        <f>IF(INT((C1826-1)/12)+1&gt;'Lapse Table'!$A$11,E1825,VLOOKUP(INT((C1826-1)/12)+1,'Lapse Table'!$A$2:$B$11,2,FALSE))/12</f>
        <v>0</v>
      </c>
      <c r="F1826" s="5">
        <f t="shared" si="260"/>
        <v>-64.183594865619568</v>
      </c>
      <c r="G1826" s="6">
        <f t="shared" si="254"/>
        <v>4.9777500000000002E-2</v>
      </c>
      <c r="H1826" s="6">
        <f t="shared" si="255"/>
        <v>0</v>
      </c>
      <c r="I1826" s="7">
        <f t="shared" si="256"/>
        <v>-2139.4531621873189</v>
      </c>
      <c r="J1826" s="8">
        <f t="shared" si="257"/>
        <v>49777.5</v>
      </c>
      <c r="K1826" s="7">
        <f t="shared" si="258"/>
        <v>-51916.953162187318</v>
      </c>
      <c r="L1826" s="4">
        <f>IF(A1826&gt;'Yield Curve'!A2440,L1825,(1+VLOOKUP(A1826,'Yield Curve'!A1819:B2441,2,FALSE))^(1/12)-1)</f>
        <v>7.9741404289037643E-3</v>
      </c>
      <c r="M1826" s="5">
        <f t="shared" si="259"/>
        <v>-2.7817455100263091E-2</v>
      </c>
    </row>
    <row r="1827" spans="1:13" x14ac:dyDescent="0.25">
      <c r="A1827" s="4">
        <v>1819</v>
      </c>
      <c r="B1827" s="4">
        <f t="shared" si="252"/>
        <v>196</v>
      </c>
      <c r="C1827" s="4">
        <f t="shared" si="253"/>
        <v>1834</v>
      </c>
      <c r="D1827" s="4">
        <f>IF(B1827&gt;'Mortality Table'!$A$118,D1826,VLOOKUP(B1827,'Mortality Table'!$A$2:$B$118,2,FALSE))</f>
        <v>0.59733000000000003</v>
      </c>
      <c r="E1827" s="4">
        <f>IF(INT((C1827-1)/12)+1&gt;'Lapse Table'!$A$11,E1826,VLOOKUP(INT((C1827-1)/12)+1,'Lapse Table'!$A$2:$B$11,2,FALSE))/12</f>
        <v>0</v>
      </c>
      <c r="F1827" s="5">
        <f t="shared" si="260"/>
        <v>-64.233372365619573</v>
      </c>
      <c r="G1827" s="6">
        <f t="shared" si="254"/>
        <v>4.9777500000000002E-2</v>
      </c>
      <c r="H1827" s="6">
        <f t="shared" si="255"/>
        <v>0</v>
      </c>
      <c r="I1827" s="7">
        <f t="shared" si="256"/>
        <v>-2141.112412187319</v>
      </c>
      <c r="J1827" s="8">
        <f t="shared" si="257"/>
        <v>49777.5</v>
      </c>
      <c r="K1827" s="7">
        <f t="shared" si="258"/>
        <v>-51918.612412187322</v>
      </c>
      <c r="L1827" s="4">
        <f>IF(A1827&gt;'Yield Curve'!A2441,L1826,(1+VLOOKUP(A1827,'Yield Curve'!A1820:B2442,2,FALSE))^(1/12)-1)</f>
        <v>7.9741404289037643E-3</v>
      </c>
      <c r="M1827" s="5">
        <f t="shared" si="259"/>
        <v>-2.7598271643965975E-2</v>
      </c>
    </row>
    <row r="1828" spans="1:13" x14ac:dyDescent="0.25">
      <c r="A1828" s="4">
        <v>1820</v>
      </c>
      <c r="B1828" s="4">
        <f t="shared" si="252"/>
        <v>196</v>
      </c>
      <c r="C1828" s="4">
        <f t="shared" si="253"/>
        <v>1835</v>
      </c>
      <c r="D1828" s="4">
        <f>IF(B1828&gt;'Mortality Table'!$A$118,D1827,VLOOKUP(B1828,'Mortality Table'!$A$2:$B$118,2,FALSE))</f>
        <v>0.59733000000000003</v>
      </c>
      <c r="E1828" s="4">
        <f>IF(INT((C1828-1)/12)+1&gt;'Lapse Table'!$A$11,E1827,VLOOKUP(INT((C1828-1)/12)+1,'Lapse Table'!$A$2:$B$11,2,FALSE))/12</f>
        <v>0</v>
      </c>
      <c r="F1828" s="5">
        <f t="shared" si="260"/>
        <v>-64.283149865619578</v>
      </c>
      <c r="G1828" s="6">
        <f t="shared" si="254"/>
        <v>4.9777500000000002E-2</v>
      </c>
      <c r="H1828" s="6">
        <f t="shared" si="255"/>
        <v>0</v>
      </c>
      <c r="I1828" s="7">
        <f t="shared" si="256"/>
        <v>-2142.7716621873192</v>
      </c>
      <c r="J1828" s="8">
        <f t="shared" si="257"/>
        <v>49777.5</v>
      </c>
      <c r="K1828" s="7">
        <f t="shared" si="258"/>
        <v>-51920.271662187319</v>
      </c>
      <c r="L1828" s="4">
        <f>IF(A1828&gt;'Yield Curve'!A2442,L1827,(1+VLOOKUP(A1828,'Yield Curve'!A1821:B2443,2,FALSE))^(1/12)-1)</f>
        <v>7.9741404289037643E-3</v>
      </c>
      <c r="M1828" s="5">
        <f t="shared" si="259"/>
        <v>-2.73808151828023E-2</v>
      </c>
    </row>
    <row r="1829" spans="1:13" x14ac:dyDescent="0.25">
      <c r="A1829" s="4">
        <v>1821</v>
      </c>
      <c r="B1829" s="4">
        <f t="shared" si="252"/>
        <v>196</v>
      </c>
      <c r="C1829" s="4">
        <f t="shared" si="253"/>
        <v>1836</v>
      </c>
      <c r="D1829" s="4">
        <f>IF(B1829&gt;'Mortality Table'!$A$118,D1828,VLOOKUP(B1829,'Mortality Table'!$A$2:$B$118,2,FALSE))</f>
        <v>0.59733000000000003</v>
      </c>
      <c r="E1829" s="4">
        <f>IF(INT((C1829-1)/12)+1&gt;'Lapse Table'!$A$11,E1828,VLOOKUP(INT((C1829-1)/12)+1,'Lapse Table'!$A$2:$B$11,2,FALSE))/12</f>
        <v>0</v>
      </c>
      <c r="F1829" s="5">
        <f t="shared" si="260"/>
        <v>-64.332927365619582</v>
      </c>
      <c r="G1829" s="6">
        <f t="shared" si="254"/>
        <v>4.9777500000000002E-2</v>
      </c>
      <c r="H1829" s="6">
        <f t="shared" si="255"/>
        <v>0</v>
      </c>
      <c r="I1829" s="7">
        <f t="shared" si="256"/>
        <v>-2144.4309121873193</v>
      </c>
      <c r="J1829" s="8">
        <f t="shared" si="257"/>
        <v>49777.5</v>
      </c>
      <c r="K1829" s="7">
        <f t="shared" si="258"/>
        <v>-51921.930912187323</v>
      </c>
      <c r="L1829" s="4">
        <f>IF(A1829&gt;'Yield Curve'!A2443,L1828,(1+VLOOKUP(A1829,'Yield Curve'!A1822:B2444,2,FALSE))^(1/12)-1)</f>
        <v>7.9741404289037643E-3</v>
      </c>
      <c r="M1829" s="5">
        <f t="shared" si="259"/>
        <v>-2.7165072109615981E-2</v>
      </c>
    </row>
    <row r="1830" spans="1:13" x14ac:dyDescent="0.25">
      <c r="A1830" s="4">
        <v>1822</v>
      </c>
      <c r="B1830" s="4">
        <f t="shared" si="252"/>
        <v>196</v>
      </c>
      <c r="C1830" s="4">
        <f t="shared" si="253"/>
        <v>1837</v>
      </c>
      <c r="D1830" s="4">
        <f>IF(B1830&gt;'Mortality Table'!$A$118,D1829,VLOOKUP(B1830,'Mortality Table'!$A$2:$B$118,2,FALSE))</f>
        <v>0.59733000000000003</v>
      </c>
      <c r="E1830" s="4">
        <f>IF(INT((C1830-1)/12)+1&gt;'Lapse Table'!$A$11,E1829,VLOOKUP(INT((C1830-1)/12)+1,'Lapse Table'!$A$2:$B$11,2,FALSE))/12</f>
        <v>0</v>
      </c>
      <c r="F1830" s="5">
        <f t="shared" si="260"/>
        <v>-64.382704865619587</v>
      </c>
      <c r="G1830" s="6">
        <f t="shared" si="254"/>
        <v>4.9777500000000002E-2</v>
      </c>
      <c r="H1830" s="6">
        <f t="shared" si="255"/>
        <v>0</v>
      </c>
      <c r="I1830" s="7">
        <f t="shared" si="256"/>
        <v>-2146.0901621873195</v>
      </c>
      <c r="J1830" s="8">
        <f t="shared" si="257"/>
        <v>49777.5</v>
      </c>
      <c r="K1830" s="7">
        <f t="shared" si="258"/>
        <v>-51923.59016218732</v>
      </c>
      <c r="L1830" s="4">
        <f>IF(A1830&gt;'Yield Curve'!A2444,L1829,(1+VLOOKUP(A1830,'Yield Curve'!A1823:B2445,2,FALSE))^(1/12)-1)</f>
        <v>7.9741404289037643E-3</v>
      </c>
      <c r="M1830" s="5">
        <f t="shared" si="259"/>
        <v>-2.6951028924461187E-2</v>
      </c>
    </row>
    <row r="1831" spans="1:13" x14ac:dyDescent="0.25">
      <c r="A1831" s="4">
        <v>1823</v>
      </c>
      <c r="B1831" s="4">
        <f t="shared" si="252"/>
        <v>196</v>
      </c>
      <c r="C1831" s="4">
        <f t="shared" si="253"/>
        <v>1838</v>
      </c>
      <c r="D1831" s="4">
        <f>IF(B1831&gt;'Mortality Table'!$A$118,D1830,VLOOKUP(B1831,'Mortality Table'!$A$2:$B$118,2,FALSE))</f>
        <v>0.59733000000000003</v>
      </c>
      <c r="E1831" s="4">
        <f>IF(INT((C1831-1)/12)+1&gt;'Lapse Table'!$A$11,E1830,VLOOKUP(INT((C1831-1)/12)+1,'Lapse Table'!$A$2:$B$11,2,FALSE))/12</f>
        <v>0</v>
      </c>
      <c r="F1831" s="5">
        <f t="shared" si="260"/>
        <v>-64.432482365619592</v>
      </c>
      <c r="G1831" s="6">
        <f t="shared" si="254"/>
        <v>4.9777500000000002E-2</v>
      </c>
      <c r="H1831" s="6">
        <f t="shared" si="255"/>
        <v>0</v>
      </c>
      <c r="I1831" s="7">
        <f t="shared" si="256"/>
        <v>-2147.7494121873196</v>
      </c>
      <c r="J1831" s="8">
        <f t="shared" si="257"/>
        <v>49777.5</v>
      </c>
      <c r="K1831" s="7">
        <f t="shared" si="258"/>
        <v>-51925.249412187317</v>
      </c>
      <c r="L1831" s="4">
        <f>IF(A1831&gt;'Yield Curve'!A2445,L1830,(1+VLOOKUP(A1831,'Yield Curve'!A1824:B2446,2,FALSE))^(1/12)-1)</f>
        <v>7.9741404289037643E-3</v>
      </c>
      <c r="M1831" s="5">
        <f t="shared" si="259"/>
        <v>-2.673867223375774E-2</v>
      </c>
    </row>
    <row r="1832" spans="1:13" x14ac:dyDescent="0.25">
      <c r="A1832" s="4">
        <v>1824</v>
      </c>
      <c r="B1832" s="4">
        <f t="shared" si="252"/>
        <v>197</v>
      </c>
      <c r="C1832" s="4">
        <f t="shared" si="253"/>
        <v>1839</v>
      </c>
      <c r="D1832" s="4">
        <f>IF(B1832&gt;'Mortality Table'!$A$118,D1831,VLOOKUP(B1832,'Mortality Table'!$A$2:$B$118,2,FALSE))</f>
        <v>0.59733000000000003</v>
      </c>
      <c r="E1832" s="4">
        <f>IF(INT((C1832-1)/12)+1&gt;'Lapse Table'!$A$11,E1831,VLOOKUP(INT((C1832-1)/12)+1,'Lapse Table'!$A$2:$B$11,2,FALSE))/12</f>
        <v>0</v>
      </c>
      <c r="F1832" s="5">
        <f t="shared" si="260"/>
        <v>-64.482259865619596</v>
      </c>
      <c r="G1832" s="6">
        <f t="shared" si="254"/>
        <v>4.9777500000000002E-2</v>
      </c>
      <c r="H1832" s="6">
        <f t="shared" si="255"/>
        <v>0</v>
      </c>
      <c r="I1832" s="7">
        <f t="shared" si="256"/>
        <v>-2149.4086621873198</v>
      </c>
      <c r="J1832" s="8">
        <f t="shared" si="257"/>
        <v>49777.5</v>
      </c>
      <c r="K1832" s="7">
        <f t="shared" si="258"/>
        <v>-51926.908662187321</v>
      </c>
      <c r="L1832" s="4">
        <f>IF(A1832&gt;'Yield Curve'!A2446,L1831,(1+VLOOKUP(A1832,'Yield Curve'!A1825:B2447,2,FALSE))^(1/12)-1)</f>
        <v>7.9741404289037643E-3</v>
      </c>
      <c r="M1832" s="5">
        <f t="shared" si="259"/>
        <v>-2.652798874945295E-2</v>
      </c>
    </row>
    <row r="1833" spans="1:13" x14ac:dyDescent="0.25">
      <c r="A1833" s="4">
        <v>1825</v>
      </c>
      <c r="B1833" s="4">
        <f t="shared" si="252"/>
        <v>197</v>
      </c>
      <c r="C1833" s="4">
        <f t="shared" si="253"/>
        <v>1840</v>
      </c>
      <c r="D1833" s="4">
        <f>IF(B1833&gt;'Mortality Table'!$A$118,D1832,VLOOKUP(B1833,'Mortality Table'!$A$2:$B$118,2,FALSE))</f>
        <v>0.59733000000000003</v>
      </c>
      <c r="E1833" s="4">
        <f>IF(INT((C1833-1)/12)+1&gt;'Lapse Table'!$A$11,E1832,VLOOKUP(INT((C1833-1)/12)+1,'Lapse Table'!$A$2:$B$11,2,FALSE))/12</f>
        <v>0</v>
      </c>
      <c r="F1833" s="5">
        <f t="shared" si="260"/>
        <v>-64.532037365619601</v>
      </c>
      <c r="G1833" s="6">
        <f t="shared" si="254"/>
        <v>4.9777500000000002E-2</v>
      </c>
      <c r="H1833" s="6">
        <f t="shared" si="255"/>
        <v>0</v>
      </c>
      <c r="I1833" s="7">
        <f t="shared" si="256"/>
        <v>-2151.06791218732</v>
      </c>
      <c r="J1833" s="8">
        <f t="shared" si="257"/>
        <v>49777.5</v>
      </c>
      <c r="K1833" s="7">
        <f t="shared" si="258"/>
        <v>-51928.567912187318</v>
      </c>
      <c r="L1833" s="4">
        <f>IF(A1833&gt;'Yield Curve'!A2447,L1832,(1+VLOOKUP(A1833,'Yield Curve'!A1826:B2448,2,FALSE))^(1/12)-1)</f>
        <v>7.9741404289037643E-3</v>
      </c>
      <c r="M1833" s="5">
        <f t="shared" si="259"/>
        <v>-2.6318965288190322E-2</v>
      </c>
    </row>
    <row r="1834" spans="1:13" x14ac:dyDescent="0.25">
      <c r="A1834" s="4">
        <v>1826</v>
      </c>
      <c r="B1834" s="4">
        <f t="shared" si="252"/>
        <v>197</v>
      </c>
      <c r="C1834" s="4">
        <f t="shared" si="253"/>
        <v>1841</v>
      </c>
      <c r="D1834" s="4">
        <f>IF(B1834&gt;'Mortality Table'!$A$118,D1833,VLOOKUP(B1834,'Mortality Table'!$A$2:$B$118,2,FALSE))</f>
        <v>0.59733000000000003</v>
      </c>
      <c r="E1834" s="4">
        <f>IF(INT((C1834-1)/12)+1&gt;'Lapse Table'!$A$11,E1833,VLOOKUP(INT((C1834-1)/12)+1,'Lapse Table'!$A$2:$B$11,2,FALSE))/12</f>
        <v>0</v>
      </c>
      <c r="F1834" s="5">
        <f t="shared" si="260"/>
        <v>-64.581814865619606</v>
      </c>
      <c r="G1834" s="6">
        <f t="shared" si="254"/>
        <v>4.9777500000000002E-2</v>
      </c>
      <c r="H1834" s="6">
        <f t="shared" si="255"/>
        <v>0</v>
      </c>
      <c r="I1834" s="7">
        <f t="shared" si="256"/>
        <v>-2152.7271621873201</v>
      </c>
      <c r="J1834" s="8">
        <f t="shared" si="257"/>
        <v>49777.5</v>
      </c>
      <c r="K1834" s="7">
        <f t="shared" si="258"/>
        <v>-51930.227162187322</v>
      </c>
      <c r="L1834" s="4">
        <f>IF(A1834&gt;'Yield Curve'!A2448,L1833,(1+VLOOKUP(A1834,'Yield Curve'!A1827:B2449,2,FALSE))^(1/12)-1)</f>
        <v>7.9741404289037643E-3</v>
      </c>
      <c r="M1834" s="5">
        <f t="shared" si="259"/>
        <v>-2.6111588770484584E-2</v>
      </c>
    </row>
    <row r="1835" spans="1:13" x14ac:dyDescent="0.25">
      <c r="A1835" s="4">
        <v>1827</v>
      </c>
      <c r="B1835" s="4">
        <f t="shared" si="252"/>
        <v>197</v>
      </c>
      <c r="C1835" s="4">
        <f t="shared" si="253"/>
        <v>1842</v>
      </c>
      <c r="D1835" s="4">
        <f>IF(B1835&gt;'Mortality Table'!$A$118,D1834,VLOOKUP(B1835,'Mortality Table'!$A$2:$B$118,2,FALSE))</f>
        <v>0.59733000000000003</v>
      </c>
      <c r="E1835" s="4">
        <f>IF(INT((C1835-1)/12)+1&gt;'Lapse Table'!$A$11,E1834,VLOOKUP(INT((C1835-1)/12)+1,'Lapse Table'!$A$2:$B$11,2,FALSE))/12</f>
        <v>0</v>
      </c>
      <c r="F1835" s="5">
        <f t="shared" si="260"/>
        <v>-64.631592365619611</v>
      </c>
      <c r="G1835" s="6">
        <f t="shared" si="254"/>
        <v>4.9777500000000002E-2</v>
      </c>
      <c r="H1835" s="6">
        <f t="shared" si="255"/>
        <v>0</v>
      </c>
      <c r="I1835" s="7">
        <f t="shared" si="256"/>
        <v>-2154.3864121873203</v>
      </c>
      <c r="J1835" s="8">
        <f t="shared" si="257"/>
        <v>49777.5</v>
      </c>
      <c r="K1835" s="7">
        <f t="shared" si="258"/>
        <v>-51931.886412187319</v>
      </c>
      <c r="L1835" s="4">
        <f>IF(A1835&gt;'Yield Curve'!A2449,L1834,(1+VLOOKUP(A1835,'Yield Curve'!A1828:B2450,2,FALSE))^(1/12)-1)</f>
        <v>7.9741404289037643E-3</v>
      </c>
      <c r="M1835" s="5">
        <f t="shared" si="259"/>
        <v>-2.5905846219903297E-2</v>
      </c>
    </row>
    <row r="1836" spans="1:13" x14ac:dyDescent="0.25">
      <c r="A1836" s="4">
        <v>1828</v>
      </c>
      <c r="B1836" s="4">
        <f t="shared" si="252"/>
        <v>197</v>
      </c>
      <c r="C1836" s="4">
        <f t="shared" si="253"/>
        <v>1843</v>
      </c>
      <c r="D1836" s="4">
        <f>IF(B1836&gt;'Mortality Table'!$A$118,D1835,VLOOKUP(B1836,'Mortality Table'!$A$2:$B$118,2,FALSE))</f>
        <v>0.59733000000000003</v>
      </c>
      <c r="E1836" s="4">
        <f>IF(INT((C1836-1)/12)+1&gt;'Lapse Table'!$A$11,E1835,VLOOKUP(INT((C1836-1)/12)+1,'Lapse Table'!$A$2:$B$11,2,FALSE))/12</f>
        <v>0</v>
      </c>
      <c r="F1836" s="5">
        <f t="shared" si="260"/>
        <v>-64.681369865619615</v>
      </c>
      <c r="G1836" s="6">
        <f t="shared" si="254"/>
        <v>4.9777500000000002E-2</v>
      </c>
      <c r="H1836" s="6">
        <f t="shared" si="255"/>
        <v>0</v>
      </c>
      <c r="I1836" s="7">
        <f t="shared" si="256"/>
        <v>-2156.0456621873204</v>
      </c>
      <c r="J1836" s="8">
        <f t="shared" si="257"/>
        <v>49777.5</v>
      </c>
      <c r="K1836" s="7">
        <f t="shared" si="258"/>
        <v>-51933.545662187324</v>
      </c>
      <c r="L1836" s="4">
        <f>IF(A1836&gt;'Yield Curve'!A2450,L1835,(1+VLOOKUP(A1836,'Yield Curve'!A1829:B2451,2,FALSE))^(1/12)-1)</f>
        <v>7.9741404289037643E-3</v>
      </c>
      <c r="M1836" s="5">
        <f t="shared" si="259"/>
        <v>-2.5701724762254984E-2</v>
      </c>
    </row>
    <row r="1837" spans="1:13" x14ac:dyDescent="0.25">
      <c r="A1837" s="4">
        <v>1829</v>
      </c>
      <c r="B1837" s="4">
        <f t="shared" si="252"/>
        <v>197</v>
      </c>
      <c r="C1837" s="4">
        <f t="shared" si="253"/>
        <v>1844</v>
      </c>
      <c r="D1837" s="4">
        <f>IF(B1837&gt;'Mortality Table'!$A$118,D1836,VLOOKUP(B1837,'Mortality Table'!$A$2:$B$118,2,FALSE))</f>
        <v>0.59733000000000003</v>
      </c>
      <c r="E1837" s="4">
        <f>IF(INT((C1837-1)/12)+1&gt;'Lapse Table'!$A$11,E1836,VLOOKUP(INT((C1837-1)/12)+1,'Lapse Table'!$A$2:$B$11,2,FALSE))/12</f>
        <v>0</v>
      </c>
      <c r="F1837" s="5">
        <f t="shared" si="260"/>
        <v>-64.73114736561962</v>
      </c>
      <c r="G1837" s="6">
        <f t="shared" si="254"/>
        <v>4.9777500000000002E-2</v>
      </c>
      <c r="H1837" s="6">
        <f t="shared" si="255"/>
        <v>0</v>
      </c>
      <c r="I1837" s="7">
        <f t="shared" si="256"/>
        <v>-2157.7049121873206</v>
      </c>
      <c r="J1837" s="8">
        <f t="shared" si="257"/>
        <v>49777.5</v>
      </c>
      <c r="K1837" s="7">
        <f t="shared" si="258"/>
        <v>-51935.204912187321</v>
      </c>
      <c r="L1837" s="4">
        <f>IF(A1837&gt;'Yield Curve'!A2451,L1836,(1+VLOOKUP(A1837,'Yield Curve'!A1830:B2452,2,FALSE))^(1/12)-1)</f>
        <v>7.9741404289037643E-3</v>
      </c>
      <c r="M1837" s="5">
        <f t="shared" si="259"/>
        <v>-2.5499211624783517E-2</v>
      </c>
    </row>
    <row r="1838" spans="1:13" x14ac:dyDescent="0.25">
      <c r="A1838" s="4">
        <v>1830</v>
      </c>
      <c r="B1838" s="4">
        <f t="shared" si="252"/>
        <v>197</v>
      </c>
      <c r="C1838" s="4">
        <f t="shared" si="253"/>
        <v>1845</v>
      </c>
      <c r="D1838" s="4">
        <f>IF(B1838&gt;'Mortality Table'!$A$118,D1837,VLOOKUP(B1838,'Mortality Table'!$A$2:$B$118,2,FALSE))</f>
        <v>0.59733000000000003</v>
      </c>
      <c r="E1838" s="4">
        <f>IF(INT((C1838-1)/12)+1&gt;'Lapse Table'!$A$11,E1837,VLOOKUP(INT((C1838-1)/12)+1,'Lapse Table'!$A$2:$B$11,2,FALSE))/12</f>
        <v>0</v>
      </c>
      <c r="F1838" s="5">
        <f t="shared" si="260"/>
        <v>-64.780924865619625</v>
      </c>
      <c r="G1838" s="6">
        <f t="shared" si="254"/>
        <v>4.9777500000000002E-2</v>
      </c>
      <c r="H1838" s="6">
        <f t="shared" si="255"/>
        <v>0</v>
      </c>
      <c r="I1838" s="7">
        <f t="shared" si="256"/>
        <v>-2159.3641621873207</v>
      </c>
      <c r="J1838" s="8">
        <f t="shared" si="257"/>
        <v>49777.5</v>
      </c>
      <c r="K1838" s="7">
        <f t="shared" si="258"/>
        <v>-51936.864162187318</v>
      </c>
      <c r="L1838" s="4">
        <f>IF(A1838&gt;'Yield Curve'!A2452,L1837,(1+VLOOKUP(A1838,'Yield Curve'!A1831:B2453,2,FALSE))^(1/12)-1)</f>
        <v>7.9741404289037643E-3</v>
      </c>
      <c r="M1838" s="5">
        <f t="shared" si="259"/>
        <v>-2.5298294135368986E-2</v>
      </c>
    </row>
    <row r="1839" spans="1:13" x14ac:dyDescent="0.25">
      <c r="A1839" s="4">
        <v>1831</v>
      </c>
      <c r="B1839" s="4">
        <f t="shared" si="252"/>
        <v>197</v>
      </c>
      <c r="C1839" s="4">
        <f t="shared" si="253"/>
        <v>1846</v>
      </c>
      <c r="D1839" s="4">
        <f>IF(B1839&gt;'Mortality Table'!$A$118,D1838,VLOOKUP(B1839,'Mortality Table'!$A$2:$B$118,2,FALSE))</f>
        <v>0.59733000000000003</v>
      </c>
      <c r="E1839" s="4">
        <f>IF(INT((C1839-1)/12)+1&gt;'Lapse Table'!$A$11,E1838,VLOOKUP(INT((C1839-1)/12)+1,'Lapse Table'!$A$2:$B$11,2,FALSE))/12</f>
        <v>0</v>
      </c>
      <c r="F1839" s="5">
        <f t="shared" si="260"/>
        <v>-64.830702365619629</v>
      </c>
      <c r="G1839" s="6">
        <f t="shared" si="254"/>
        <v>4.9777500000000002E-2</v>
      </c>
      <c r="H1839" s="6">
        <f t="shared" si="255"/>
        <v>0</v>
      </c>
      <c r="I1839" s="7">
        <f t="shared" si="256"/>
        <v>-2161.0234121873209</v>
      </c>
      <c r="J1839" s="8">
        <f t="shared" si="257"/>
        <v>49777.5</v>
      </c>
      <c r="K1839" s="7">
        <f t="shared" si="258"/>
        <v>-51938.523412187322</v>
      </c>
      <c r="L1839" s="4">
        <f>IF(A1839&gt;'Yield Curve'!A2453,L1838,(1+VLOOKUP(A1839,'Yield Curve'!A1832:B2454,2,FALSE))^(1/12)-1)</f>
        <v>7.9741404289037643E-3</v>
      </c>
      <c r="M1839" s="5">
        <f t="shared" si="259"/>
        <v>-2.5098959721734749E-2</v>
      </c>
    </row>
    <row r="1840" spans="1:13" x14ac:dyDescent="0.25">
      <c r="A1840" s="4">
        <v>1832</v>
      </c>
      <c r="B1840" s="4">
        <f t="shared" si="252"/>
        <v>197</v>
      </c>
      <c r="C1840" s="4">
        <f t="shared" si="253"/>
        <v>1847</v>
      </c>
      <c r="D1840" s="4">
        <f>IF(B1840&gt;'Mortality Table'!$A$118,D1839,VLOOKUP(B1840,'Mortality Table'!$A$2:$B$118,2,FALSE))</f>
        <v>0.59733000000000003</v>
      </c>
      <c r="E1840" s="4">
        <f>IF(INT((C1840-1)/12)+1&gt;'Lapse Table'!$A$11,E1839,VLOOKUP(INT((C1840-1)/12)+1,'Lapse Table'!$A$2:$B$11,2,FALSE))/12</f>
        <v>0</v>
      </c>
      <c r="F1840" s="5">
        <f t="shared" si="260"/>
        <v>-64.880479865619634</v>
      </c>
      <c r="G1840" s="6">
        <f t="shared" si="254"/>
        <v>4.9777500000000002E-2</v>
      </c>
      <c r="H1840" s="6">
        <f t="shared" si="255"/>
        <v>0</v>
      </c>
      <c r="I1840" s="7">
        <f t="shared" si="256"/>
        <v>-2162.6826621873211</v>
      </c>
      <c r="J1840" s="8">
        <f t="shared" si="257"/>
        <v>49777.5</v>
      </c>
      <c r="K1840" s="7">
        <f t="shared" si="258"/>
        <v>-51940.182662187319</v>
      </c>
      <c r="L1840" s="4">
        <f>IF(A1840&gt;'Yield Curve'!A2454,L1839,(1+VLOOKUP(A1840,'Yield Curve'!A1833:B2455,2,FALSE))^(1/12)-1)</f>
        <v>7.9741404289037643E-3</v>
      </c>
      <c r="M1840" s="5">
        <f t="shared" si="259"/>
        <v>-2.4901195910660808E-2</v>
      </c>
    </row>
    <row r="1841" spans="1:13" x14ac:dyDescent="0.25">
      <c r="A1841" s="4">
        <v>1833</v>
      </c>
      <c r="B1841" s="4">
        <f t="shared" si="252"/>
        <v>197</v>
      </c>
      <c r="C1841" s="4">
        <f t="shared" si="253"/>
        <v>1848</v>
      </c>
      <c r="D1841" s="4">
        <f>IF(B1841&gt;'Mortality Table'!$A$118,D1840,VLOOKUP(B1841,'Mortality Table'!$A$2:$B$118,2,FALSE))</f>
        <v>0.59733000000000003</v>
      </c>
      <c r="E1841" s="4">
        <f>IF(INT((C1841-1)/12)+1&gt;'Lapse Table'!$A$11,E1840,VLOOKUP(INT((C1841-1)/12)+1,'Lapse Table'!$A$2:$B$11,2,FALSE))/12</f>
        <v>0</v>
      </c>
      <c r="F1841" s="5">
        <f t="shared" si="260"/>
        <v>-64.930257365619639</v>
      </c>
      <c r="G1841" s="6">
        <f t="shared" si="254"/>
        <v>4.9777500000000002E-2</v>
      </c>
      <c r="H1841" s="6">
        <f t="shared" si="255"/>
        <v>0</v>
      </c>
      <c r="I1841" s="7">
        <f t="shared" si="256"/>
        <v>-2164.3419121873212</v>
      </c>
      <c r="J1841" s="8">
        <f t="shared" si="257"/>
        <v>49777.5</v>
      </c>
      <c r="K1841" s="7">
        <f t="shared" si="258"/>
        <v>-51941.841912187323</v>
      </c>
      <c r="L1841" s="4">
        <f>IF(A1841&gt;'Yield Curve'!A2455,L1840,(1+VLOOKUP(A1841,'Yield Curve'!A1834:B2456,2,FALSE))^(1/12)-1)</f>
        <v>7.9741404289037643E-3</v>
      </c>
      <c r="M1841" s="5">
        <f t="shared" si="259"/>
        <v>-2.4704990327203389E-2</v>
      </c>
    </row>
    <row r="1842" spans="1:13" x14ac:dyDescent="0.25">
      <c r="A1842" s="4">
        <v>1834</v>
      </c>
      <c r="B1842" s="4">
        <f t="shared" si="252"/>
        <v>197</v>
      </c>
      <c r="C1842" s="4">
        <f t="shared" si="253"/>
        <v>1849</v>
      </c>
      <c r="D1842" s="4">
        <f>IF(B1842&gt;'Mortality Table'!$A$118,D1841,VLOOKUP(B1842,'Mortality Table'!$A$2:$B$118,2,FALSE))</f>
        <v>0.59733000000000003</v>
      </c>
      <c r="E1842" s="4">
        <f>IF(INT((C1842-1)/12)+1&gt;'Lapse Table'!$A$11,E1841,VLOOKUP(INT((C1842-1)/12)+1,'Lapse Table'!$A$2:$B$11,2,FALSE))/12</f>
        <v>0</v>
      </c>
      <c r="F1842" s="5">
        <f t="shared" si="260"/>
        <v>-64.980034865619643</v>
      </c>
      <c r="G1842" s="6">
        <f t="shared" si="254"/>
        <v>4.9777500000000002E-2</v>
      </c>
      <c r="H1842" s="6">
        <f t="shared" si="255"/>
        <v>0</v>
      </c>
      <c r="I1842" s="7">
        <f t="shared" si="256"/>
        <v>-2166.0011621873214</v>
      </c>
      <c r="J1842" s="8">
        <f t="shared" si="257"/>
        <v>49777.5</v>
      </c>
      <c r="K1842" s="7">
        <f t="shared" si="258"/>
        <v>-51943.50116218732</v>
      </c>
      <c r="L1842" s="4">
        <f>IF(A1842&gt;'Yield Curve'!A2456,L1841,(1+VLOOKUP(A1842,'Yield Curve'!A1835:B2457,2,FALSE))^(1/12)-1)</f>
        <v>7.9741404289037643E-3</v>
      </c>
      <c r="M1842" s="5">
        <f t="shared" si="259"/>
        <v>-2.4510330693920574E-2</v>
      </c>
    </row>
    <row r="1843" spans="1:13" x14ac:dyDescent="0.25">
      <c r="A1843" s="4">
        <v>1835</v>
      </c>
      <c r="B1843" s="4">
        <f t="shared" si="252"/>
        <v>197</v>
      </c>
      <c r="C1843" s="4">
        <f t="shared" si="253"/>
        <v>1850</v>
      </c>
      <c r="D1843" s="4">
        <f>IF(B1843&gt;'Mortality Table'!$A$118,D1842,VLOOKUP(B1843,'Mortality Table'!$A$2:$B$118,2,FALSE))</f>
        <v>0.59733000000000003</v>
      </c>
      <c r="E1843" s="4">
        <f>IF(INT((C1843-1)/12)+1&gt;'Lapse Table'!$A$11,E1842,VLOOKUP(INT((C1843-1)/12)+1,'Lapse Table'!$A$2:$B$11,2,FALSE))/12</f>
        <v>0</v>
      </c>
      <c r="F1843" s="5">
        <f t="shared" si="260"/>
        <v>-65.029812365619648</v>
      </c>
      <c r="G1843" s="6">
        <f t="shared" si="254"/>
        <v>4.9777500000000002E-2</v>
      </c>
      <c r="H1843" s="6">
        <f t="shared" si="255"/>
        <v>0</v>
      </c>
      <c r="I1843" s="7">
        <f t="shared" si="256"/>
        <v>-2167.6604121873215</v>
      </c>
      <c r="J1843" s="8">
        <f t="shared" si="257"/>
        <v>49777.5</v>
      </c>
      <c r="K1843" s="7">
        <f t="shared" si="258"/>
        <v>-51945.160412187324</v>
      </c>
      <c r="L1843" s="4">
        <f>IF(A1843&gt;'Yield Curve'!A2457,L1842,(1+VLOOKUP(A1843,'Yield Curve'!A1836:B2458,2,FALSE))^(1/12)-1)</f>
        <v>7.9741404289037643E-3</v>
      </c>
      <c r="M1843" s="5">
        <f t="shared" si="259"/>
        <v>-2.431720483010414E-2</v>
      </c>
    </row>
    <row r="1844" spans="1:13" x14ac:dyDescent="0.25">
      <c r="A1844" s="4">
        <v>1836</v>
      </c>
      <c r="B1844" s="4">
        <f t="shared" si="252"/>
        <v>198</v>
      </c>
      <c r="C1844" s="4">
        <f t="shared" si="253"/>
        <v>1851</v>
      </c>
      <c r="D1844" s="4">
        <f>IF(B1844&gt;'Mortality Table'!$A$118,D1843,VLOOKUP(B1844,'Mortality Table'!$A$2:$B$118,2,FALSE))</f>
        <v>0.59733000000000003</v>
      </c>
      <c r="E1844" s="4">
        <f>IF(INT((C1844-1)/12)+1&gt;'Lapse Table'!$A$11,E1843,VLOOKUP(INT((C1844-1)/12)+1,'Lapse Table'!$A$2:$B$11,2,FALSE))/12</f>
        <v>0</v>
      </c>
      <c r="F1844" s="5">
        <f t="shared" si="260"/>
        <v>-65.079589865619653</v>
      </c>
      <c r="G1844" s="6">
        <f t="shared" si="254"/>
        <v>4.9777500000000002E-2</v>
      </c>
      <c r="H1844" s="6">
        <f t="shared" si="255"/>
        <v>0</v>
      </c>
      <c r="I1844" s="7">
        <f t="shared" si="256"/>
        <v>-2169.3196621873217</v>
      </c>
      <c r="J1844" s="8">
        <f t="shared" si="257"/>
        <v>49777.5</v>
      </c>
      <c r="K1844" s="7">
        <f t="shared" si="258"/>
        <v>-51946.819662187321</v>
      </c>
      <c r="L1844" s="4">
        <f>IF(A1844&gt;'Yield Curve'!A2458,L1843,(1+VLOOKUP(A1844,'Yield Curve'!A1837:B2459,2,FALSE))^(1/12)-1)</f>
        <v>7.9741404289037643E-3</v>
      </c>
      <c r="M1844" s="5">
        <f t="shared" si="259"/>
        <v>-2.4125600651017397E-2</v>
      </c>
    </row>
    <row r="1845" spans="1:13" x14ac:dyDescent="0.25">
      <c r="A1845" s="4">
        <v>1837</v>
      </c>
      <c r="B1845" s="4">
        <f t="shared" si="252"/>
        <v>198</v>
      </c>
      <c r="C1845" s="4">
        <f t="shared" si="253"/>
        <v>1852</v>
      </c>
      <c r="D1845" s="4">
        <f>IF(B1845&gt;'Mortality Table'!$A$118,D1844,VLOOKUP(B1845,'Mortality Table'!$A$2:$B$118,2,FALSE))</f>
        <v>0.59733000000000003</v>
      </c>
      <c r="E1845" s="4">
        <f>IF(INT((C1845-1)/12)+1&gt;'Lapse Table'!$A$11,E1844,VLOOKUP(INT((C1845-1)/12)+1,'Lapse Table'!$A$2:$B$11,2,FALSE))/12</f>
        <v>0</v>
      </c>
      <c r="F1845" s="5">
        <f t="shared" si="260"/>
        <v>-65.129367365619657</v>
      </c>
      <c r="G1845" s="6">
        <f t="shared" si="254"/>
        <v>4.9777500000000002E-2</v>
      </c>
      <c r="H1845" s="6">
        <f t="shared" si="255"/>
        <v>0</v>
      </c>
      <c r="I1845" s="7">
        <f t="shared" si="256"/>
        <v>-2170.9789121873218</v>
      </c>
      <c r="J1845" s="8">
        <f t="shared" si="257"/>
        <v>49777.5</v>
      </c>
      <c r="K1845" s="7">
        <f t="shared" si="258"/>
        <v>-51948.478912187318</v>
      </c>
      <c r="L1845" s="4">
        <f>IF(A1845&gt;'Yield Curve'!A2459,L1844,(1+VLOOKUP(A1845,'Yield Curve'!A1838:B2460,2,FALSE))^(1/12)-1)</f>
        <v>7.9741404289037643E-3</v>
      </c>
      <c r="M1845" s="5">
        <f t="shared" si="259"/>
        <v>-2.3935506167139051E-2</v>
      </c>
    </row>
    <row r="1846" spans="1:13" x14ac:dyDescent="0.25">
      <c r="A1846" s="4">
        <v>1838</v>
      </c>
      <c r="B1846" s="4">
        <f t="shared" si="252"/>
        <v>198</v>
      </c>
      <c r="C1846" s="4">
        <f t="shared" si="253"/>
        <v>1853</v>
      </c>
      <c r="D1846" s="4">
        <f>IF(B1846&gt;'Mortality Table'!$A$118,D1845,VLOOKUP(B1846,'Mortality Table'!$A$2:$B$118,2,FALSE))</f>
        <v>0.59733000000000003</v>
      </c>
      <c r="E1846" s="4">
        <f>IF(INT((C1846-1)/12)+1&gt;'Lapse Table'!$A$11,E1845,VLOOKUP(INT((C1846-1)/12)+1,'Lapse Table'!$A$2:$B$11,2,FALSE))/12</f>
        <v>0</v>
      </c>
      <c r="F1846" s="5">
        <f t="shared" si="260"/>
        <v>-65.179144865619662</v>
      </c>
      <c r="G1846" s="6">
        <f t="shared" si="254"/>
        <v>4.9777500000000002E-2</v>
      </c>
      <c r="H1846" s="6">
        <f t="shared" si="255"/>
        <v>0</v>
      </c>
      <c r="I1846" s="7">
        <f t="shared" si="256"/>
        <v>-2172.638162187322</v>
      </c>
      <c r="J1846" s="8">
        <f t="shared" si="257"/>
        <v>49777.5</v>
      </c>
      <c r="K1846" s="7">
        <f t="shared" si="258"/>
        <v>-51950.138162187322</v>
      </c>
      <c r="L1846" s="4">
        <f>IF(A1846&gt;'Yield Curve'!A2460,L1845,(1+VLOOKUP(A1846,'Yield Curve'!A1839:B2461,2,FALSE))^(1/12)-1)</f>
        <v>7.9741404289037643E-3</v>
      </c>
      <c r="M1846" s="5">
        <f t="shared" si="259"/>
        <v>-2.3746909483413028E-2</v>
      </c>
    </row>
    <row r="1847" spans="1:13" x14ac:dyDescent="0.25">
      <c r="A1847" s="4">
        <v>1839</v>
      </c>
      <c r="B1847" s="4">
        <f t="shared" si="252"/>
        <v>198</v>
      </c>
      <c r="C1847" s="4">
        <f t="shared" si="253"/>
        <v>1854</v>
      </c>
      <c r="D1847" s="4">
        <f>IF(B1847&gt;'Mortality Table'!$A$118,D1846,VLOOKUP(B1847,'Mortality Table'!$A$2:$B$118,2,FALSE))</f>
        <v>0.59733000000000003</v>
      </c>
      <c r="E1847" s="4">
        <f>IF(INT((C1847-1)/12)+1&gt;'Lapse Table'!$A$11,E1846,VLOOKUP(INT((C1847-1)/12)+1,'Lapse Table'!$A$2:$B$11,2,FALSE))/12</f>
        <v>0</v>
      </c>
      <c r="F1847" s="5">
        <f t="shared" si="260"/>
        <v>-65.228922365619667</v>
      </c>
      <c r="G1847" s="6">
        <f t="shared" si="254"/>
        <v>4.9777500000000002E-2</v>
      </c>
      <c r="H1847" s="6">
        <f t="shared" si="255"/>
        <v>0</v>
      </c>
      <c r="I1847" s="7">
        <f t="shared" si="256"/>
        <v>-2174.2974121873222</v>
      </c>
      <c r="J1847" s="8">
        <f t="shared" si="257"/>
        <v>49777.5</v>
      </c>
      <c r="K1847" s="7">
        <f t="shared" si="258"/>
        <v>-51951.797412187319</v>
      </c>
      <c r="L1847" s="4">
        <f>IF(A1847&gt;'Yield Curve'!A2461,L1846,(1+VLOOKUP(A1847,'Yield Curve'!A1840:B2462,2,FALSE))^(1/12)-1)</f>
        <v>7.9741404289037643E-3</v>
      </c>
      <c r="M1847" s="5">
        <f t="shared" si="259"/>
        <v>-2.3559798798504138E-2</v>
      </c>
    </row>
    <row r="1848" spans="1:13" x14ac:dyDescent="0.25">
      <c r="A1848" s="4">
        <v>1840</v>
      </c>
      <c r="B1848" s="4">
        <f t="shared" si="252"/>
        <v>198</v>
      </c>
      <c r="C1848" s="4">
        <f t="shared" si="253"/>
        <v>1855</v>
      </c>
      <c r="D1848" s="4">
        <f>IF(B1848&gt;'Mortality Table'!$A$118,D1847,VLOOKUP(B1848,'Mortality Table'!$A$2:$B$118,2,FALSE))</f>
        <v>0.59733000000000003</v>
      </c>
      <c r="E1848" s="4">
        <f>IF(INT((C1848-1)/12)+1&gt;'Lapse Table'!$A$11,E1847,VLOOKUP(INT((C1848-1)/12)+1,'Lapse Table'!$A$2:$B$11,2,FALSE))/12</f>
        <v>0</v>
      </c>
      <c r="F1848" s="5">
        <f t="shared" si="260"/>
        <v>-65.278699865619672</v>
      </c>
      <c r="G1848" s="6">
        <f t="shared" si="254"/>
        <v>4.9777500000000002E-2</v>
      </c>
      <c r="H1848" s="6">
        <f t="shared" si="255"/>
        <v>0</v>
      </c>
      <c r="I1848" s="7">
        <f t="shared" si="256"/>
        <v>-2175.9566621873223</v>
      </c>
      <c r="J1848" s="8">
        <f t="shared" si="257"/>
        <v>49777.5</v>
      </c>
      <c r="K1848" s="7">
        <f t="shared" si="258"/>
        <v>-51953.456662187324</v>
      </c>
      <c r="L1848" s="4">
        <f>IF(A1848&gt;'Yield Curve'!A2462,L1847,(1+VLOOKUP(A1848,'Yield Curve'!A1841:B2463,2,FALSE))^(1/12)-1)</f>
        <v>7.9741404289037643E-3</v>
      </c>
      <c r="M1848" s="5">
        <f t="shared" si="259"/>
        <v>-2.3374162404059741E-2</v>
      </c>
    </row>
    <row r="1849" spans="1:13" x14ac:dyDescent="0.25">
      <c r="A1849" s="4">
        <v>1841</v>
      </c>
      <c r="B1849" s="4">
        <f t="shared" si="252"/>
        <v>198</v>
      </c>
      <c r="C1849" s="4">
        <f t="shared" si="253"/>
        <v>1856</v>
      </c>
      <c r="D1849" s="4">
        <f>IF(B1849&gt;'Mortality Table'!$A$118,D1848,VLOOKUP(B1849,'Mortality Table'!$A$2:$B$118,2,FALSE))</f>
        <v>0.59733000000000003</v>
      </c>
      <c r="E1849" s="4">
        <f>IF(INT((C1849-1)/12)+1&gt;'Lapse Table'!$A$11,E1848,VLOOKUP(INT((C1849-1)/12)+1,'Lapse Table'!$A$2:$B$11,2,FALSE))/12</f>
        <v>0</v>
      </c>
      <c r="F1849" s="5">
        <f t="shared" si="260"/>
        <v>-65.328477365619676</v>
      </c>
      <c r="G1849" s="6">
        <f t="shared" si="254"/>
        <v>4.9777500000000002E-2</v>
      </c>
      <c r="H1849" s="6">
        <f t="shared" si="255"/>
        <v>0</v>
      </c>
      <c r="I1849" s="7">
        <f t="shared" si="256"/>
        <v>-2177.6159121873225</v>
      </c>
      <c r="J1849" s="8">
        <f t="shared" si="257"/>
        <v>49777.5</v>
      </c>
      <c r="K1849" s="7">
        <f t="shared" si="258"/>
        <v>-51955.115912187321</v>
      </c>
      <c r="L1849" s="4">
        <f>IF(A1849&gt;'Yield Curve'!A2463,L1848,(1+VLOOKUP(A1849,'Yield Curve'!A1842:B2464,2,FALSE))^(1/12)-1)</f>
        <v>7.9741404289037643E-3</v>
      </c>
      <c r="M1849" s="5">
        <f t="shared" si="259"/>
        <v>-2.3189988683977106E-2</v>
      </c>
    </row>
    <row r="1850" spans="1:13" x14ac:dyDescent="0.25">
      <c r="A1850" s="4">
        <v>1842</v>
      </c>
      <c r="B1850" s="4">
        <f t="shared" si="252"/>
        <v>198</v>
      </c>
      <c r="C1850" s="4">
        <f t="shared" si="253"/>
        <v>1857</v>
      </c>
      <c r="D1850" s="4">
        <f>IF(B1850&gt;'Mortality Table'!$A$118,D1849,VLOOKUP(B1850,'Mortality Table'!$A$2:$B$118,2,FALSE))</f>
        <v>0.59733000000000003</v>
      </c>
      <c r="E1850" s="4">
        <f>IF(INT((C1850-1)/12)+1&gt;'Lapse Table'!$A$11,E1849,VLOOKUP(INT((C1850-1)/12)+1,'Lapse Table'!$A$2:$B$11,2,FALSE))/12</f>
        <v>0</v>
      </c>
      <c r="F1850" s="5">
        <f t="shared" si="260"/>
        <v>-65.378254865619681</v>
      </c>
      <c r="G1850" s="6">
        <f t="shared" si="254"/>
        <v>4.9777500000000002E-2</v>
      </c>
      <c r="H1850" s="6">
        <f t="shared" si="255"/>
        <v>0</v>
      </c>
      <c r="I1850" s="7">
        <f t="shared" si="256"/>
        <v>-2179.2751621873226</v>
      </c>
      <c r="J1850" s="8">
        <f t="shared" si="257"/>
        <v>49777.5</v>
      </c>
      <c r="K1850" s="7">
        <f t="shared" si="258"/>
        <v>-51956.775162187325</v>
      </c>
      <c r="L1850" s="4">
        <f>IF(A1850&gt;'Yield Curve'!A2464,L1849,(1+VLOOKUP(A1850,'Yield Curve'!A1843:B2465,2,FALSE))^(1/12)-1)</f>
        <v>7.9741404289037643E-3</v>
      </c>
      <c r="M1850" s="5">
        <f t="shared" si="259"/>
        <v>-2.3007266113676584E-2</v>
      </c>
    </row>
    <row r="1851" spans="1:13" x14ac:dyDescent="0.25">
      <c r="A1851" s="4">
        <v>1843</v>
      </c>
      <c r="B1851" s="4">
        <f t="shared" si="252"/>
        <v>198</v>
      </c>
      <c r="C1851" s="4">
        <f t="shared" si="253"/>
        <v>1858</v>
      </c>
      <c r="D1851" s="4">
        <f>IF(B1851&gt;'Mortality Table'!$A$118,D1850,VLOOKUP(B1851,'Mortality Table'!$A$2:$B$118,2,FALSE))</f>
        <v>0.59733000000000003</v>
      </c>
      <c r="E1851" s="4">
        <f>IF(INT((C1851-1)/12)+1&gt;'Lapse Table'!$A$11,E1850,VLOOKUP(INT((C1851-1)/12)+1,'Lapse Table'!$A$2:$B$11,2,FALSE))/12</f>
        <v>0</v>
      </c>
      <c r="F1851" s="5">
        <f t="shared" si="260"/>
        <v>-65.428032365619686</v>
      </c>
      <c r="G1851" s="6">
        <f t="shared" si="254"/>
        <v>4.9777500000000002E-2</v>
      </c>
      <c r="H1851" s="6">
        <f t="shared" si="255"/>
        <v>0</v>
      </c>
      <c r="I1851" s="7">
        <f t="shared" si="256"/>
        <v>-2180.9344121873228</v>
      </c>
      <c r="J1851" s="8">
        <f t="shared" si="257"/>
        <v>49777.5</v>
      </c>
      <c r="K1851" s="7">
        <f t="shared" si="258"/>
        <v>-51958.434412187322</v>
      </c>
      <c r="L1851" s="4">
        <f>IF(A1851&gt;'Yield Curve'!A2465,L1850,(1+VLOOKUP(A1851,'Yield Curve'!A1844:B2466,2,FALSE))^(1/12)-1)</f>
        <v>7.9741404289037643E-3</v>
      </c>
      <c r="M1851" s="5">
        <f t="shared" si="259"/>
        <v>-2.2825983259380546E-2</v>
      </c>
    </row>
    <row r="1852" spans="1:13" x14ac:dyDescent="0.25">
      <c r="A1852" s="4">
        <v>1844</v>
      </c>
      <c r="B1852" s="4">
        <f t="shared" si="252"/>
        <v>198</v>
      </c>
      <c r="C1852" s="4">
        <f t="shared" si="253"/>
        <v>1859</v>
      </c>
      <c r="D1852" s="4">
        <f>IF(B1852&gt;'Mortality Table'!$A$118,D1851,VLOOKUP(B1852,'Mortality Table'!$A$2:$B$118,2,FALSE))</f>
        <v>0.59733000000000003</v>
      </c>
      <c r="E1852" s="4">
        <f>IF(INT((C1852-1)/12)+1&gt;'Lapse Table'!$A$11,E1851,VLOOKUP(INT((C1852-1)/12)+1,'Lapse Table'!$A$2:$B$11,2,FALSE))/12</f>
        <v>0</v>
      </c>
      <c r="F1852" s="5">
        <f t="shared" si="260"/>
        <v>-65.47780986561969</v>
      </c>
      <c r="G1852" s="6">
        <f t="shared" si="254"/>
        <v>4.9777500000000002E-2</v>
      </c>
      <c r="H1852" s="6">
        <f t="shared" si="255"/>
        <v>0</v>
      </c>
      <c r="I1852" s="7">
        <f t="shared" si="256"/>
        <v>-2182.5936621873229</v>
      </c>
      <c r="J1852" s="8">
        <f t="shared" si="257"/>
        <v>49777.5</v>
      </c>
      <c r="K1852" s="7">
        <f t="shared" si="258"/>
        <v>-51960.093662187326</v>
      </c>
      <c r="L1852" s="4">
        <f>IF(A1852&gt;'Yield Curve'!A2466,L1851,(1+VLOOKUP(A1852,'Yield Curve'!A1845:B2467,2,FALSE))^(1/12)-1)</f>
        <v>7.9741404289037643E-3</v>
      </c>
      <c r="M1852" s="5">
        <f t="shared" si="259"/>
        <v>-2.2646128777397922E-2</v>
      </c>
    </row>
    <row r="1853" spans="1:13" x14ac:dyDescent="0.25">
      <c r="A1853" s="4">
        <v>1845</v>
      </c>
      <c r="B1853" s="4">
        <f t="shared" si="252"/>
        <v>198</v>
      </c>
      <c r="C1853" s="4">
        <f t="shared" si="253"/>
        <v>1860</v>
      </c>
      <c r="D1853" s="4">
        <f>IF(B1853&gt;'Mortality Table'!$A$118,D1852,VLOOKUP(B1853,'Mortality Table'!$A$2:$B$118,2,FALSE))</f>
        <v>0.59733000000000003</v>
      </c>
      <c r="E1853" s="4">
        <f>IF(INT((C1853-1)/12)+1&gt;'Lapse Table'!$A$11,E1852,VLOOKUP(INT((C1853-1)/12)+1,'Lapse Table'!$A$2:$B$11,2,FALSE))/12</f>
        <v>0</v>
      </c>
      <c r="F1853" s="5">
        <f t="shared" si="260"/>
        <v>-65.527587365619695</v>
      </c>
      <c r="G1853" s="6">
        <f t="shared" si="254"/>
        <v>4.9777500000000002E-2</v>
      </c>
      <c r="H1853" s="6">
        <f t="shared" si="255"/>
        <v>0</v>
      </c>
      <c r="I1853" s="7">
        <f t="shared" si="256"/>
        <v>-2184.2529121873231</v>
      </c>
      <c r="J1853" s="8">
        <f t="shared" si="257"/>
        <v>49777.5</v>
      </c>
      <c r="K1853" s="7">
        <f t="shared" si="258"/>
        <v>-51961.752912187323</v>
      </c>
      <c r="L1853" s="4">
        <f>IF(A1853&gt;'Yield Curve'!A2467,L1852,(1+VLOOKUP(A1853,'Yield Curve'!A1846:B2468,2,FALSE))^(1/12)-1)</f>
        <v>7.9741404289037643E-3</v>
      </c>
      <c r="M1853" s="5">
        <f t="shared" si="259"/>
        <v>-2.2467691413414443E-2</v>
      </c>
    </row>
    <row r="1854" spans="1:13" x14ac:dyDescent="0.25">
      <c r="A1854" s="4">
        <v>1846</v>
      </c>
      <c r="B1854" s="4">
        <f t="shared" si="252"/>
        <v>198</v>
      </c>
      <c r="C1854" s="4">
        <f t="shared" si="253"/>
        <v>1861</v>
      </c>
      <c r="D1854" s="4">
        <f>IF(B1854&gt;'Mortality Table'!$A$118,D1853,VLOOKUP(B1854,'Mortality Table'!$A$2:$B$118,2,FALSE))</f>
        <v>0.59733000000000003</v>
      </c>
      <c r="E1854" s="4">
        <f>IF(INT((C1854-1)/12)+1&gt;'Lapse Table'!$A$11,E1853,VLOOKUP(INT((C1854-1)/12)+1,'Lapse Table'!$A$2:$B$11,2,FALSE))/12</f>
        <v>0</v>
      </c>
      <c r="F1854" s="5">
        <f t="shared" si="260"/>
        <v>-65.5773648656197</v>
      </c>
      <c r="G1854" s="6">
        <f t="shared" si="254"/>
        <v>4.9777500000000002E-2</v>
      </c>
      <c r="H1854" s="6">
        <f t="shared" si="255"/>
        <v>0</v>
      </c>
      <c r="I1854" s="7">
        <f t="shared" si="256"/>
        <v>-2185.9121621873232</v>
      </c>
      <c r="J1854" s="8">
        <f t="shared" si="257"/>
        <v>49777.5</v>
      </c>
      <c r="K1854" s="7">
        <f t="shared" si="258"/>
        <v>-51963.41216218732</v>
      </c>
      <c r="L1854" s="4">
        <f>IF(A1854&gt;'Yield Curve'!A2468,L1853,(1+VLOOKUP(A1854,'Yield Curve'!A1847:B2469,2,FALSE))^(1/12)-1)</f>
        <v>7.9741404289037643E-3</v>
      </c>
      <c r="M1854" s="5">
        <f t="shared" si="259"/>
        <v>-2.2290660001788493E-2</v>
      </c>
    </row>
    <row r="1855" spans="1:13" x14ac:dyDescent="0.25">
      <c r="A1855" s="4">
        <v>1847</v>
      </c>
      <c r="B1855" s="4">
        <f t="shared" si="252"/>
        <v>198</v>
      </c>
      <c r="C1855" s="4">
        <f t="shared" si="253"/>
        <v>1862</v>
      </c>
      <c r="D1855" s="4">
        <f>IF(B1855&gt;'Mortality Table'!$A$118,D1854,VLOOKUP(B1855,'Mortality Table'!$A$2:$B$118,2,FALSE))</f>
        <v>0.59733000000000003</v>
      </c>
      <c r="E1855" s="4">
        <f>IF(INT((C1855-1)/12)+1&gt;'Lapse Table'!$A$11,E1854,VLOOKUP(INT((C1855-1)/12)+1,'Lapse Table'!$A$2:$B$11,2,FALSE))/12</f>
        <v>0</v>
      </c>
      <c r="F1855" s="5">
        <f t="shared" si="260"/>
        <v>-65.627142365619704</v>
      </c>
      <c r="G1855" s="6">
        <f t="shared" si="254"/>
        <v>4.9777500000000002E-2</v>
      </c>
      <c r="H1855" s="6">
        <f t="shared" si="255"/>
        <v>0</v>
      </c>
      <c r="I1855" s="7">
        <f t="shared" si="256"/>
        <v>-2187.5714121873234</v>
      </c>
      <c r="J1855" s="8">
        <f t="shared" si="257"/>
        <v>49777.5</v>
      </c>
      <c r="K1855" s="7">
        <f t="shared" si="258"/>
        <v>-51965.071412187324</v>
      </c>
      <c r="L1855" s="4">
        <f>IF(A1855&gt;'Yield Curve'!A2469,L1854,(1+VLOOKUP(A1855,'Yield Curve'!A1848:B2470,2,FALSE))^(1/12)-1)</f>
        <v>7.9741404289037643E-3</v>
      </c>
      <c r="M1855" s="5">
        <f t="shared" si="259"/>
        <v>-2.2115023464852376E-2</v>
      </c>
    </row>
    <row r="1856" spans="1:13" x14ac:dyDescent="0.25">
      <c r="A1856" s="4">
        <v>1848</v>
      </c>
      <c r="B1856" s="4">
        <f t="shared" si="252"/>
        <v>199</v>
      </c>
      <c r="C1856" s="4">
        <f t="shared" si="253"/>
        <v>1863</v>
      </c>
      <c r="D1856" s="4">
        <f>IF(B1856&gt;'Mortality Table'!$A$118,D1855,VLOOKUP(B1856,'Mortality Table'!$A$2:$B$118,2,FALSE))</f>
        <v>0.59733000000000003</v>
      </c>
      <c r="E1856" s="4">
        <f>IF(INT((C1856-1)/12)+1&gt;'Lapse Table'!$A$11,E1855,VLOOKUP(INT((C1856-1)/12)+1,'Lapse Table'!$A$2:$B$11,2,FALSE))/12</f>
        <v>0</v>
      </c>
      <c r="F1856" s="5">
        <f t="shared" si="260"/>
        <v>-65.676919865619709</v>
      </c>
      <c r="G1856" s="6">
        <f t="shared" si="254"/>
        <v>4.9777500000000002E-2</v>
      </c>
      <c r="H1856" s="6">
        <f t="shared" si="255"/>
        <v>0</v>
      </c>
      <c r="I1856" s="7">
        <f t="shared" si="256"/>
        <v>-2189.2306621873236</v>
      </c>
      <c r="J1856" s="8">
        <f t="shared" si="257"/>
        <v>49777.5</v>
      </c>
      <c r="K1856" s="7">
        <f t="shared" si="258"/>
        <v>-51966.730662187321</v>
      </c>
      <c r="L1856" s="4">
        <f>IF(A1856&gt;'Yield Curve'!A2470,L1855,(1+VLOOKUP(A1856,'Yield Curve'!A1849:B2471,2,FALSE))^(1/12)-1)</f>
        <v>7.9741404289037643E-3</v>
      </c>
      <c r="M1856" s="5">
        <f t="shared" si="259"/>
        <v>-2.1940770812219269E-2</v>
      </c>
    </row>
    <row r="1857" spans="1:13" x14ac:dyDescent="0.25">
      <c r="A1857" s="4">
        <v>1849</v>
      </c>
      <c r="B1857" s="4">
        <f t="shared" si="252"/>
        <v>199</v>
      </c>
      <c r="C1857" s="4">
        <f t="shared" si="253"/>
        <v>1864</v>
      </c>
      <c r="D1857" s="4">
        <f>IF(B1857&gt;'Mortality Table'!$A$118,D1856,VLOOKUP(B1857,'Mortality Table'!$A$2:$B$118,2,FALSE))</f>
        <v>0.59733000000000003</v>
      </c>
      <c r="E1857" s="4">
        <f>IF(INT((C1857-1)/12)+1&gt;'Lapse Table'!$A$11,E1856,VLOOKUP(INT((C1857-1)/12)+1,'Lapse Table'!$A$2:$B$11,2,FALSE))/12</f>
        <v>0</v>
      </c>
      <c r="F1857" s="5">
        <f t="shared" si="260"/>
        <v>-65.726697365619714</v>
      </c>
      <c r="G1857" s="6">
        <f t="shared" si="254"/>
        <v>4.9777500000000002E-2</v>
      </c>
      <c r="H1857" s="6">
        <f t="shared" si="255"/>
        <v>0</v>
      </c>
      <c r="I1857" s="7">
        <f t="shared" si="256"/>
        <v>-2190.8899121873237</v>
      </c>
      <c r="J1857" s="8">
        <f t="shared" si="257"/>
        <v>49777.5</v>
      </c>
      <c r="K1857" s="7">
        <f t="shared" si="258"/>
        <v>-51968.389912187326</v>
      </c>
      <c r="L1857" s="4">
        <f>IF(A1857&gt;'Yield Curve'!A2471,L1856,(1+VLOOKUP(A1857,'Yield Curve'!A1850:B2472,2,FALSE))^(1/12)-1)</f>
        <v>7.9741404289037643E-3</v>
      </c>
      <c r="M1857" s="5">
        <f t="shared" si="259"/>
        <v>-2.176789114009554E-2</v>
      </c>
    </row>
    <row r="1858" spans="1:13" x14ac:dyDescent="0.25">
      <c r="A1858" s="4">
        <v>1850</v>
      </c>
      <c r="B1858" s="4">
        <f t="shared" si="252"/>
        <v>199</v>
      </c>
      <c r="C1858" s="4">
        <f t="shared" si="253"/>
        <v>1865</v>
      </c>
      <c r="D1858" s="4">
        <f>IF(B1858&gt;'Mortality Table'!$A$118,D1857,VLOOKUP(B1858,'Mortality Table'!$A$2:$B$118,2,FALSE))</f>
        <v>0.59733000000000003</v>
      </c>
      <c r="E1858" s="4">
        <f>IF(INT((C1858-1)/12)+1&gt;'Lapse Table'!$A$11,E1857,VLOOKUP(INT((C1858-1)/12)+1,'Lapse Table'!$A$2:$B$11,2,FALSE))/12</f>
        <v>0</v>
      </c>
      <c r="F1858" s="5">
        <f t="shared" si="260"/>
        <v>-65.776474865619718</v>
      </c>
      <c r="G1858" s="6">
        <f t="shared" si="254"/>
        <v>4.9777500000000002E-2</v>
      </c>
      <c r="H1858" s="6">
        <f t="shared" si="255"/>
        <v>0</v>
      </c>
      <c r="I1858" s="7">
        <f t="shared" si="256"/>
        <v>-2192.5491621873239</v>
      </c>
      <c r="J1858" s="8">
        <f t="shared" si="257"/>
        <v>49777.5</v>
      </c>
      <c r="K1858" s="7">
        <f t="shared" si="258"/>
        <v>-51970.049162187323</v>
      </c>
      <c r="L1858" s="4">
        <f>IF(A1858&gt;'Yield Curve'!A2472,L1857,(1+VLOOKUP(A1858,'Yield Curve'!A1851:B2473,2,FALSE))^(1/12)-1)</f>
        <v>7.9741404289037643E-3</v>
      </c>
      <c r="M1858" s="5">
        <f t="shared" si="259"/>
        <v>-2.1596373630598409E-2</v>
      </c>
    </row>
    <row r="1859" spans="1:13" x14ac:dyDescent="0.25">
      <c r="A1859" s="4">
        <v>1851</v>
      </c>
      <c r="B1859" s="4">
        <f t="shared" si="252"/>
        <v>199</v>
      </c>
      <c r="C1859" s="4">
        <f t="shared" si="253"/>
        <v>1866</v>
      </c>
      <c r="D1859" s="4">
        <f>IF(B1859&gt;'Mortality Table'!$A$118,D1858,VLOOKUP(B1859,'Mortality Table'!$A$2:$B$118,2,FALSE))</f>
        <v>0.59733000000000003</v>
      </c>
      <c r="E1859" s="4">
        <f>IF(INT((C1859-1)/12)+1&gt;'Lapse Table'!$A$11,E1858,VLOOKUP(INT((C1859-1)/12)+1,'Lapse Table'!$A$2:$B$11,2,FALSE))/12</f>
        <v>0</v>
      </c>
      <c r="F1859" s="5">
        <f t="shared" si="260"/>
        <v>-65.826252365619723</v>
      </c>
      <c r="G1859" s="6">
        <f t="shared" si="254"/>
        <v>4.9777500000000002E-2</v>
      </c>
      <c r="H1859" s="6">
        <f t="shared" si="255"/>
        <v>0</v>
      </c>
      <c r="I1859" s="7">
        <f t="shared" si="256"/>
        <v>-2194.208412187324</v>
      </c>
      <c r="J1859" s="8">
        <f t="shared" si="257"/>
        <v>49777.5</v>
      </c>
      <c r="K1859" s="7">
        <f t="shared" si="258"/>
        <v>-51971.708412187327</v>
      </c>
      <c r="L1859" s="4">
        <f>IF(A1859&gt;'Yield Curve'!A2473,L1858,(1+VLOOKUP(A1859,'Yield Curve'!A1852:B2474,2,FALSE))^(1/12)-1)</f>
        <v>7.9741404289037643E-3</v>
      </c>
      <c r="M1859" s="5">
        <f t="shared" si="259"/>
        <v>-2.1426207551079178E-2</v>
      </c>
    </row>
    <row r="1860" spans="1:13" x14ac:dyDescent="0.25">
      <c r="A1860" s="4">
        <v>1852</v>
      </c>
      <c r="B1860" s="4">
        <f t="shared" si="252"/>
        <v>199</v>
      </c>
      <c r="C1860" s="4">
        <f t="shared" si="253"/>
        <v>1867</v>
      </c>
      <c r="D1860" s="4">
        <f>IF(B1860&gt;'Mortality Table'!$A$118,D1859,VLOOKUP(B1860,'Mortality Table'!$A$2:$B$118,2,FALSE))</f>
        <v>0.59733000000000003</v>
      </c>
      <c r="E1860" s="4">
        <f>IF(INT((C1860-1)/12)+1&gt;'Lapse Table'!$A$11,E1859,VLOOKUP(INT((C1860-1)/12)+1,'Lapse Table'!$A$2:$B$11,2,FALSE))/12</f>
        <v>0</v>
      </c>
      <c r="F1860" s="5">
        <f t="shared" si="260"/>
        <v>-65.876029865619728</v>
      </c>
      <c r="G1860" s="6">
        <f t="shared" si="254"/>
        <v>4.9777500000000002E-2</v>
      </c>
      <c r="H1860" s="6">
        <f t="shared" si="255"/>
        <v>0</v>
      </c>
      <c r="I1860" s="7">
        <f t="shared" si="256"/>
        <v>-2195.8676621873242</v>
      </c>
      <c r="J1860" s="8">
        <f t="shared" si="257"/>
        <v>49777.5</v>
      </c>
      <c r="K1860" s="7">
        <f t="shared" si="258"/>
        <v>-51973.367662187324</v>
      </c>
      <c r="L1860" s="4">
        <f>IF(A1860&gt;'Yield Curve'!A2474,L1859,(1+VLOOKUP(A1860,'Yield Curve'!A1853:B2475,2,FALSE))^(1/12)-1)</f>
        <v>7.9741404289037643E-3</v>
      </c>
      <c r="M1860" s="5">
        <f t="shared" si="259"/>
        <v>-2.1257382253451609E-2</v>
      </c>
    </row>
    <row r="1861" spans="1:13" x14ac:dyDescent="0.25">
      <c r="A1861" s="4">
        <v>1853</v>
      </c>
      <c r="B1861" s="4">
        <f t="shared" si="252"/>
        <v>199</v>
      </c>
      <c r="C1861" s="4">
        <f t="shared" si="253"/>
        <v>1868</v>
      </c>
      <c r="D1861" s="4">
        <f>IF(B1861&gt;'Mortality Table'!$A$118,D1860,VLOOKUP(B1861,'Mortality Table'!$A$2:$B$118,2,FALSE))</f>
        <v>0.59733000000000003</v>
      </c>
      <c r="E1861" s="4">
        <f>IF(INT((C1861-1)/12)+1&gt;'Lapse Table'!$A$11,E1860,VLOOKUP(INT((C1861-1)/12)+1,'Lapse Table'!$A$2:$B$11,2,FALSE))/12</f>
        <v>0</v>
      </c>
      <c r="F1861" s="5">
        <f t="shared" si="260"/>
        <v>-65.925807365619733</v>
      </c>
      <c r="G1861" s="6">
        <f t="shared" si="254"/>
        <v>4.9777500000000002E-2</v>
      </c>
      <c r="H1861" s="6">
        <f t="shared" si="255"/>
        <v>0</v>
      </c>
      <c r="I1861" s="7">
        <f t="shared" si="256"/>
        <v>-2197.5269121873243</v>
      </c>
      <c r="J1861" s="8">
        <f t="shared" si="257"/>
        <v>49777.5</v>
      </c>
      <c r="K1861" s="7">
        <f t="shared" si="258"/>
        <v>-51975.026912187328</v>
      </c>
      <c r="L1861" s="4">
        <f>IF(A1861&gt;'Yield Curve'!A2475,L1860,(1+VLOOKUP(A1861,'Yield Curve'!A1854:B2476,2,FALSE))^(1/12)-1)</f>
        <v>7.9741404289037643E-3</v>
      </c>
      <c r="M1861" s="5">
        <f t="shared" si="259"/>
        <v>-2.1089887173525709E-2</v>
      </c>
    </row>
    <row r="1862" spans="1:13" x14ac:dyDescent="0.25">
      <c r="A1862" s="4">
        <v>1854</v>
      </c>
      <c r="B1862" s="4">
        <f t="shared" si="252"/>
        <v>199</v>
      </c>
      <c r="C1862" s="4">
        <f t="shared" si="253"/>
        <v>1869</v>
      </c>
      <c r="D1862" s="4">
        <f>IF(B1862&gt;'Mortality Table'!$A$118,D1861,VLOOKUP(B1862,'Mortality Table'!$A$2:$B$118,2,FALSE))</f>
        <v>0.59733000000000003</v>
      </c>
      <c r="E1862" s="4">
        <f>IF(INT((C1862-1)/12)+1&gt;'Lapse Table'!$A$11,E1861,VLOOKUP(INT((C1862-1)/12)+1,'Lapse Table'!$A$2:$B$11,2,FALSE))/12</f>
        <v>0</v>
      </c>
      <c r="F1862" s="5">
        <f t="shared" si="260"/>
        <v>-65.975584865619737</v>
      </c>
      <c r="G1862" s="6">
        <f t="shared" si="254"/>
        <v>4.9777500000000002E-2</v>
      </c>
      <c r="H1862" s="6">
        <f t="shared" si="255"/>
        <v>0</v>
      </c>
      <c r="I1862" s="7">
        <f t="shared" si="256"/>
        <v>-2199.1861621873245</v>
      </c>
      <c r="J1862" s="8">
        <f t="shared" si="257"/>
        <v>49777.5</v>
      </c>
      <c r="K1862" s="7">
        <f t="shared" si="258"/>
        <v>-51976.686162187325</v>
      </c>
      <c r="L1862" s="4">
        <f>IF(A1862&gt;'Yield Curve'!A2476,L1861,(1+VLOOKUP(A1862,'Yield Curve'!A1855:B2477,2,FALSE))^(1/12)-1)</f>
        <v>7.9741404289037643E-3</v>
      </c>
      <c r="M1862" s="5">
        <f t="shared" si="259"/>
        <v>-2.0923711830346706E-2</v>
      </c>
    </row>
    <row r="1863" spans="1:13" x14ac:dyDescent="0.25">
      <c r="A1863" s="4">
        <v>1855</v>
      </c>
      <c r="B1863" s="4">
        <f t="shared" si="252"/>
        <v>199</v>
      </c>
      <c r="C1863" s="4">
        <f t="shared" si="253"/>
        <v>1870</v>
      </c>
      <c r="D1863" s="4">
        <f>IF(B1863&gt;'Mortality Table'!$A$118,D1862,VLOOKUP(B1863,'Mortality Table'!$A$2:$B$118,2,FALSE))</f>
        <v>0.59733000000000003</v>
      </c>
      <c r="E1863" s="4">
        <f>IF(INT((C1863-1)/12)+1&gt;'Lapse Table'!$A$11,E1862,VLOOKUP(INT((C1863-1)/12)+1,'Lapse Table'!$A$2:$B$11,2,FALSE))/12</f>
        <v>0</v>
      </c>
      <c r="F1863" s="5">
        <f t="shared" si="260"/>
        <v>-66.025362365619742</v>
      </c>
      <c r="G1863" s="6">
        <f t="shared" si="254"/>
        <v>4.9777500000000002E-2</v>
      </c>
      <c r="H1863" s="6">
        <f t="shared" si="255"/>
        <v>0</v>
      </c>
      <c r="I1863" s="7">
        <f t="shared" si="256"/>
        <v>-2200.8454121873247</v>
      </c>
      <c r="J1863" s="8">
        <f t="shared" si="257"/>
        <v>49777.5</v>
      </c>
      <c r="K1863" s="7">
        <f t="shared" si="258"/>
        <v>-51978.345412187322</v>
      </c>
      <c r="L1863" s="4">
        <f>IF(A1863&gt;'Yield Curve'!A2477,L1862,(1+VLOOKUP(A1863,'Yield Curve'!A1856:B2478,2,FALSE))^(1/12)-1)</f>
        <v>7.9741404289037643E-3</v>
      </c>
      <c r="M1863" s="5">
        <f t="shared" si="259"/>
        <v>-2.0758845825539222E-2</v>
      </c>
    </row>
    <row r="1864" spans="1:13" x14ac:dyDescent="0.25">
      <c r="A1864" s="4">
        <v>1856</v>
      </c>
      <c r="B1864" s="4">
        <f t="shared" si="252"/>
        <v>199</v>
      </c>
      <c r="C1864" s="4">
        <f t="shared" si="253"/>
        <v>1871</v>
      </c>
      <c r="D1864" s="4">
        <f>IF(B1864&gt;'Mortality Table'!$A$118,D1863,VLOOKUP(B1864,'Mortality Table'!$A$2:$B$118,2,FALSE))</f>
        <v>0.59733000000000003</v>
      </c>
      <c r="E1864" s="4">
        <f>IF(INT((C1864-1)/12)+1&gt;'Lapse Table'!$A$11,E1863,VLOOKUP(INT((C1864-1)/12)+1,'Lapse Table'!$A$2:$B$11,2,FALSE))/12</f>
        <v>0</v>
      </c>
      <c r="F1864" s="5">
        <f t="shared" si="260"/>
        <v>-66.075139865619747</v>
      </c>
      <c r="G1864" s="6">
        <f t="shared" si="254"/>
        <v>4.9777500000000002E-2</v>
      </c>
      <c r="H1864" s="6">
        <f t="shared" si="255"/>
        <v>0</v>
      </c>
      <c r="I1864" s="7">
        <f t="shared" si="256"/>
        <v>-2202.5046621873248</v>
      </c>
      <c r="J1864" s="8">
        <f t="shared" si="257"/>
        <v>49777.5</v>
      </c>
      <c r="K1864" s="7">
        <f t="shared" si="258"/>
        <v>-51980.004662187326</v>
      </c>
      <c r="L1864" s="4">
        <f>IF(A1864&gt;'Yield Curve'!A2478,L1863,(1+VLOOKUP(A1864,'Yield Curve'!A1857:B2479,2,FALSE))^(1/12)-1)</f>
        <v>7.9741404289037643E-3</v>
      </c>
      <c r="M1864" s="5">
        <f t="shared" si="259"/>
        <v>-2.0595278842656703E-2</v>
      </c>
    </row>
    <row r="1865" spans="1:13" x14ac:dyDescent="0.25">
      <c r="A1865" s="4">
        <v>1857</v>
      </c>
      <c r="B1865" s="4">
        <f t="shared" si="252"/>
        <v>199</v>
      </c>
      <c r="C1865" s="4">
        <f t="shared" si="253"/>
        <v>1872</v>
      </c>
      <c r="D1865" s="4">
        <f>IF(B1865&gt;'Mortality Table'!$A$118,D1864,VLOOKUP(B1865,'Mortality Table'!$A$2:$B$118,2,FALSE))</f>
        <v>0.59733000000000003</v>
      </c>
      <c r="E1865" s="4">
        <f>IF(INT((C1865-1)/12)+1&gt;'Lapse Table'!$A$11,E1864,VLOOKUP(INT((C1865-1)/12)+1,'Lapse Table'!$A$2:$B$11,2,FALSE))/12</f>
        <v>0</v>
      </c>
      <c r="F1865" s="5">
        <f t="shared" si="260"/>
        <v>-66.124917365619751</v>
      </c>
      <c r="G1865" s="6">
        <f t="shared" si="254"/>
        <v>4.9777500000000002E-2</v>
      </c>
      <c r="H1865" s="6">
        <f t="shared" si="255"/>
        <v>0</v>
      </c>
      <c r="I1865" s="7">
        <f t="shared" si="256"/>
        <v>-2204.163912187325</v>
      </c>
      <c r="J1865" s="8">
        <f t="shared" si="257"/>
        <v>49777.5</v>
      </c>
      <c r="K1865" s="7">
        <f t="shared" si="258"/>
        <v>-51981.663912187323</v>
      </c>
      <c r="L1865" s="4">
        <f>IF(A1865&gt;'Yield Curve'!A2479,L1864,(1+VLOOKUP(A1865,'Yield Curve'!A1858:B2480,2,FALSE))^(1/12)-1)</f>
        <v>7.9741404289037643E-3</v>
      </c>
      <c r="M1865" s="5">
        <f t="shared" si="259"/>
        <v>-2.043300064653587E-2</v>
      </c>
    </row>
    <row r="1866" spans="1:13" x14ac:dyDescent="0.25">
      <c r="A1866" s="4">
        <v>1858</v>
      </c>
      <c r="B1866" s="4">
        <f t="shared" ref="B1866:B1929" si="261">INT($B$3+A1866/12)</f>
        <v>199</v>
      </c>
      <c r="C1866" s="4">
        <f t="shared" ref="C1866:C1929" si="262">$B$4+A1866</f>
        <v>1873</v>
      </c>
      <c r="D1866" s="4">
        <f>IF(B1866&gt;'Mortality Table'!$A$118,D1865,VLOOKUP(B1866,'Mortality Table'!$A$2:$B$118,2,FALSE))</f>
        <v>0.59733000000000003</v>
      </c>
      <c r="E1866" s="4">
        <f>IF(INT((C1866-1)/12)+1&gt;'Lapse Table'!$A$11,E1865,VLOOKUP(INT((C1866-1)/12)+1,'Lapse Table'!$A$2:$B$11,2,FALSE))/12</f>
        <v>0</v>
      </c>
      <c r="F1866" s="5">
        <f t="shared" si="260"/>
        <v>-66.174694865619756</v>
      </c>
      <c r="G1866" s="6">
        <f t="shared" ref="G1866:G1929" si="263">D1866/12*(1-0.5*E1866)</f>
        <v>4.9777500000000002E-2</v>
      </c>
      <c r="H1866" s="6">
        <f t="shared" ref="H1866:H1929" si="264">E1866*(1-0.5*D1866)</f>
        <v>0</v>
      </c>
      <c r="I1866" s="7">
        <f t="shared" ref="I1866:I1929" si="265">F1866*$B$5/12</f>
        <v>-2205.8231621873251</v>
      </c>
      <c r="J1866" s="8">
        <f t="shared" ref="J1866:J1929" si="266">$B$6*G1866</f>
        <v>49777.5</v>
      </c>
      <c r="K1866" s="7">
        <f t="shared" ref="K1866:K1929" si="267">I1866-J1866</f>
        <v>-51983.323162187327</v>
      </c>
      <c r="L1866" s="4">
        <f>IF(A1866&gt;'Yield Curve'!A2480,L1865,(1+VLOOKUP(A1866,'Yield Curve'!A1859:B2481,2,FALSE))^(1/12)-1)</f>
        <v>7.9741404289037643E-3</v>
      </c>
      <c r="M1866" s="5">
        <f t="shared" ref="M1866:M1929" si="268">K1866*(1+L1866)^-A1866</f>
        <v>-2.0272001082656282E-2</v>
      </c>
    </row>
    <row r="1867" spans="1:13" x14ac:dyDescent="0.25">
      <c r="A1867" s="4">
        <v>1859</v>
      </c>
      <c r="B1867" s="4">
        <f t="shared" si="261"/>
        <v>199</v>
      </c>
      <c r="C1867" s="4">
        <f t="shared" si="262"/>
        <v>1874</v>
      </c>
      <c r="D1867" s="4">
        <f>IF(B1867&gt;'Mortality Table'!$A$118,D1866,VLOOKUP(B1867,'Mortality Table'!$A$2:$B$118,2,FALSE))</f>
        <v>0.59733000000000003</v>
      </c>
      <c r="E1867" s="4">
        <f>IF(INT((C1867-1)/12)+1&gt;'Lapse Table'!$A$11,E1866,VLOOKUP(INT((C1867-1)/12)+1,'Lapse Table'!$A$2:$B$11,2,FALSE))/12</f>
        <v>0</v>
      </c>
      <c r="F1867" s="5">
        <f t="shared" ref="F1867:F1930" si="269">F1866-G1867-H1867</f>
        <v>-66.224472365619761</v>
      </c>
      <c r="G1867" s="6">
        <f t="shared" si="263"/>
        <v>4.9777500000000002E-2</v>
      </c>
      <c r="H1867" s="6">
        <f t="shared" si="264"/>
        <v>0</v>
      </c>
      <c r="I1867" s="7">
        <f t="shared" si="265"/>
        <v>-2207.4824121873253</v>
      </c>
      <c r="J1867" s="8">
        <f t="shared" si="266"/>
        <v>49777.5</v>
      </c>
      <c r="K1867" s="7">
        <f t="shared" si="267"/>
        <v>-51984.982412187324</v>
      </c>
      <c r="L1867" s="4">
        <f>IF(A1867&gt;'Yield Curve'!A2481,L1866,(1+VLOOKUP(A1867,'Yield Curve'!A1860:B2482,2,FALSE))^(1/12)-1)</f>
        <v>7.9741404289037643E-3</v>
      </c>
      <c r="M1867" s="5">
        <f t="shared" si="268"/>
        <v>-2.011227007650503E-2</v>
      </c>
    </row>
    <row r="1868" spans="1:13" x14ac:dyDescent="0.25">
      <c r="A1868" s="4">
        <v>1860</v>
      </c>
      <c r="B1868" s="4">
        <f t="shared" si="261"/>
        <v>200</v>
      </c>
      <c r="C1868" s="4">
        <f t="shared" si="262"/>
        <v>1875</v>
      </c>
      <c r="D1868" s="4">
        <f>IF(B1868&gt;'Mortality Table'!$A$118,D1867,VLOOKUP(B1868,'Mortality Table'!$A$2:$B$118,2,FALSE))</f>
        <v>0.59733000000000003</v>
      </c>
      <c r="E1868" s="4">
        <f>IF(INT((C1868-1)/12)+1&gt;'Lapse Table'!$A$11,E1867,VLOOKUP(INT((C1868-1)/12)+1,'Lapse Table'!$A$2:$B$11,2,FALSE))/12</f>
        <v>0</v>
      </c>
      <c r="F1868" s="5">
        <f t="shared" si="269"/>
        <v>-66.274249865619765</v>
      </c>
      <c r="G1868" s="6">
        <f t="shared" si="263"/>
        <v>4.9777500000000002E-2</v>
      </c>
      <c r="H1868" s="6">
        <f t="shared" si="264"/>
        <v>0</v>
      </c>
      <c r="I1868" s="7">
        <f t="shared" si="265"/>
        <v>-2209.1416621873254</v>
      </c>
      <c r="J1868" s="8">
        <f t="shared" si="266"/>
        <v>49777.5</v>
      </c>
      <c r="K1868" s="7">
        <f t="shared" si="267"/>
        <v>-51986.641662187329</v>
      </c>
      <c r="L1868" s="4">
        <f>IF(A1868&gt;'Yield Curve'!A2482,L1867,(1+VLOOKUP(A1868,'Yield Curve'!A1861:B2483,2,FALSE))^(1/12)-1)</f>
        <v>7.9741404289037643E-3</v>
      </c>
      <c r="M1868" s="5">
        <f t="shared" si="268"/>
        <v>-1.9953797632946291E-2</v>
      </c>
    </row>
    <row r="1869" spans="1:13" x14ac:dyDescent="0.25">
      <c r="A1869" s="4">
        <v>1861</v>
      </c>
      <c r="B1869" s="4">
        <f t="shared" si="261"/>
        <v>200</v>
      </c>
      <c r="C1869" s="4">
        <f t="shared" si="262"/>
        <v>1876</v>
      </c>
      <c r="D1869" s="4">
        <f>IF(B1869&gt;'Mortality Table'!$A$118,D1868,VLOOKUP(B1869,'Mortality Table'!$A$2:$B$118,2,FALSE))</f>
        <v>0.59733000000000003</v>
      </c>
      <c r="E1869" s="4">
        <f>IF(INT((C1869-1)/12)+1&gt;'Lapse Table'!$A$11,E1868,VLOOKUP(INT((C1869-1)/12)+1,'Lapse Table'!$A$2:$B$11,2,FALSE))/12</f>
        <v>0</v>
      </c>
      <c r="F1869" s="5">
        <f t="shared" si="269"/>
        <v>-66.32402736561977</v>
      </c>
      <c r="G1869" s="6">
        <f t="shared" si="263"/>
        <v>4.9777500000000002E-2</v>
      </c>
      <c r="H1869" s="6">
        <f t="shared" si="264"/>
        <v>0</v>
      </c>
      <c r="I1869" s="7">
        <f t="shared" si="265"/>
        <v>-2210.8009121873256</v>
      </c>
      <c r="J1869" s="8">
        <f t="shared" si="266"/>
        <v>49777.5</v>
      </c>
      <c r="K1869" s="7">
        <f t="shared" si="267"/>
        <v>-51988.300912187326</v>
      </c>
      <c r="L1869" s="4">
        <f>IF(A1869&gt;'Yield Curve'!A2483,L1868,(1+VLOOKUP(A1869,'Yield Curve'!A1862:B2484,2,FALSE))^(1/12)-1)</f>
        <v>7.9741404289037643E-3</v>
      </c>
      <c r="M1869" s="5">
        <f t="shared" si="268"/>
        <v>-1.9796573835595969E-2</v>
      </c>
    </row>
    <row r="1870" spans="1:13" x14ac:dyDescent="0.25">
      <c r="A1870" s="4">
        <v>1862</v>
      </c>
      <c r="B1870" s="4">
        <f t="shared" si="261"/>
        <v>200</v>
      </c>
      <c r="C1870" s="4">
        <f t="shared" si="262"/>
        <v>1877</v>
      </c>
      <c r="D1870" s="4">
        <f>IF(B1870&gt;'Mortality Table'!$A$118,D1869,VLOOKUP(B1870,'Mortality Table'!$A$2:$B$118,2,FALSE))</f>
        <v>0.59733000000000003</v>
      </c>
      <c r="E1870" s="4">
        <f>IF(INT((C1870-1)/12)+1&gt;'Lapse Table'!$A$11,E1869,VLOOKUP(INT((C1870-1)/12)+1,'Lapse Table'!$A$2:$B$11,2,FALSE))/12</f>
        <v>0</v>
      </c>
      <c r="F1870" s="5">
        <f t="shared" si="269"/>
        <v>-66.373804865619775</v>
      </c>
      <c r="G1870" s="6">
        <f t="shared" si="263"/>
        <v>4.9777500000000002E-2</v>
      </c>
      <c r="H1870" s="6">
        <f t="shared" si="264"/>
        <v>0</v>
      </c>
      <c r="I1870" s="7">
        <f t="shared" si="265"/>
        <v>-2212.4601621873257</v>
      </c>
      <c r="J1870" s="8">
        <f t="shared" si="266"/>
        <v>49777.5</v>
      </c>
      <c r="K1870" s="7">
        <f t="shared" si="267"/>
        <v>-51989.960162187323</v>
      </c>
      <c r="L1870" s="4">
        <f>IF(A1870&gt;'Yield Curve'!A2484,L1869,(1+VLOOKUP(A1870,'Yield Curve'!A1863:B2485,2,FALSE))^(1/12)-1)</f>
        <v>7.9741404289037643E-3</v>
      </c>
      <c r="M1870" s="5">
        <f t="shared" si="268"/>
        <v>-1.9640588846201214E-2</v>
      </c>
    </row>
    <row r="1871" spans="1:13" x14ac:dyDescent="0.25">
      <c r="A1871" s="4">
        <v>1863</v>
      </c>
      <c r="B1871" s="4">
        <f t="shared" si="261"/>
        <v>200</v>
      </c>
      <c r="C1871" s="4">
        <f t="shared" si="262"/>
        <v>1878</v>
      </c>
      <c r="D1871" s="4">
        <f>IF(B1871&gt;'Mortality Table'!$A$118,D1870,VLOOKUP(B1871,'Mortality Table'!$A$2:$B$118,2,FALSE))</f>
        <v>0.59733000000000003</v>
      </c>
      <c r="E1871" s="4">
        <f>IF(INT((C1871-1)/12)+1&gt;'Lapse Table'!$A$11,E1870,VLOOKUP(INT((C1871-1)/12)+1,'Lapse Table'!$A$2:$B$11,2,FALSE))/12</f>
        <v>0</v>
      </c>
      <c r="F1871" s="5">
        <f t="shared" si="269"/>
        <v>-66.423582365619779</v>
      </c>
      <c r="G1871" s="6">
        <f t="shared" si="263"/>
        <v>4.9777500000000002E-2</v>
      </c>
      <c r="H1871" s="6">
        <f t="shared" si="264"/>
        <v>0</v>
      </c>
      <c r="I1871" s="7">
        <f t="shared" si="265"/>
        <v>-2214.1194121873259</v>
      </c>
      <c r="J1871" s="8">
        <f t="shared" si="266"/>
        <v>49777.5</v>
      </c>
      <c r="K1871" s="7">
        <f t="shared" si="267"/>
        <v>-51991.619412187327</v>
      </c>
      <c r="L1871" s="4">
        <f>IF(A1871&gt;'Yield Curve'!A2485,L1870,(1+VLOOKUP(A1871,'Yield Curve'!A1864:B2486,2,FALSE))^(1/12)-1)</f>
        <v>7.9741404289037643E-3</v>
      </c>
      <c r="M1871" s="5">
        <f t="shared" si="268"/>
        <v>-1.9485832904024836E-2</v>
      </c>
    </row>
    <row r="1872" spans="1:13" x14ac:dyDescent="0.25">
      <c r="A1872" s="4">
        <v>1864</v>
      </c>
      <c r="B1872" s="4">
        <f t="shared" si="261"/>
        <v>200</v>
      </c>
      <c r="C1872" s="4">
        <f t="shared" si="262"/>
        <v>1879</v>
      </c>
      <c r="D1872" s="4">
        <f>IF(B1872&gt;'Mortality Table'!$A$118,D1871,VLOOKUP(B1872,'Mortality Table'!$A$2:$B$118,2,FALSE))</f>
        <v>0.59733000000000003</v>
      </c>
      <c r="E1872" s="4">
        <f>IF(INT((C1872-1)/12)+1&gt;'Lapse Table'!$A$11,E1871,VLOOKUP(INT((C1872-1)/12)+1,'Lapse Table'!$A$2:$B$11,2,FALSE))/12</f>
        <v>0</v>
      </c>
      <c r="F1872" s="5">
        <f t="shared" si="269"/>
        <v>-66.473359865619784</v>
      </c>
      <c r="G1872" s="6">
        <f t="shared" si="263"/>
        <v>4.9777500000000002E-2</v>
      </c>
      <c r="H1872" s="6">
        <f t="shared" si="264"/>
        <v>0</v>
      </c>
      <c r="I1872" s="7">
        <f t="shared" si="265"/>
        <v>-2215.7786621873261</v>
      </c>
      <c r="J1872" s="8">
        <f t="shared" si="266"/>
        <v>49777.5</v>
      </c>
      <c r="K1872" s="7">
        <f t="shared" si="267"/>
        <v>-51993.278662187324</v>
      </c>
      <c r="L1872" s="4">
        <f>IF(A1872&gt;'Yield Curve'!A2486,L1871,(1+VLOOKUP(A1872,'Yield Curve'!A1865:B2487,2,FALSE))^(1/12)-1)</f>
        <v>7.9741404289037643E-3</v>
      </c>
      <c r="M1872" s="5">
        <f t="shared" si="268"/>
        <v>-1.933229632523454E-2</v>
      </c>
    </row>
    <row r="1873" spans="1:13" x14ac:dyDescent="0.25">
      <c r="A1873" s="4">
        <v>1865</v>
      </c>
      <c r="B1873" s="4">
        <f t="shared" si="261"/>
        <v>200</v>
      </c>
      <c r="C1873" s="4">
        <f t="shared" si="262"/>
        <v>1880</v>
      </c>
      <c r="D1873" s="4">
        <f>IF(B1873&gt;'Mortality Table'!$A$118,D1872,VLOOKUP(B1873,'Mortality Table'!$A$2:$B$118,2,FALSE))</f>
        <v>0.59733000000000003</v>
      </c>
      <c r="E1873" s="4">
        <f>IF(INT((C1873-1)/12)+1&gt;'Lapse Table'!$A$11,E1872,VLOOKUP(INT((C1873-1)/12)+1,'Lapse Table'!$A$2:$B$11,2,FALSE))/12</f>
        <v>0</v>
      </c>
      <c r="F1873" s="5">
        <f t="shared" si="269"/>
        <v>-66.523137365619789</v>
      </c>
      <c r="G1873" s="6">
        <f t="shared" si="263"/>
        <v>4.9777500000000002E-2</v>
      </c>
      <c r="H1873" s="6">
        <f t="shared" si="264"/>
        <v>0</v>
      </c>
      <c r="I1873" s="7">
        <f t="shared" si="265"/>
        <v>-2217.4379121873262</v>
      </c>
      <c r="J1873" s="8">
        <f t="shared" si="266"/>
        <v>49777.5</v>
      </c>
      <c r="K1873" s="7">
        <f t="shared" si="267"/>
        <v>-51994.937912187328</v>
      </c>
      <c r="L1873" s="4">
        <f>IF(A1873&gt;'Yield Curve'!A2487,L1872,(1+VLOOKUP(A1873,'Yield Curve'!A1866:B2488,2,FALSE))^(1/12)-1)</f>
        <v>7.9741404289037643E-3</v>
      </c>
      <c r="M1873" s="5">
        <f t="shared" si="268"/>
        <v>-1.9179969502297074E-2</v>
      </c>
    </row>
    <row r="1874" spans="1:13" x14ac:dyDescent="0.25">
      <c r="A1874" s="4">
        <v>1866</v>
      </c>
      <c r="B1874" s="4">
        <f t="shared" si="261"/>
        <v>200</v>
      </c>
      <c r="C1874" s="4">
        <f t="shared" si="262"/>
        <v>1881</v>
      </c>
      <c r="D1874" s="4">
        <f>IF(B1874&gt;'Mortality Table'!$A$118,D1873,VLOOKUP(B1874,'Mortality Table'!$A$2:$B$118,2,FALSE))</f>
        <v>0.59733000000000003</v>
      </c>
      <c r="E1874" s="4">
        <f>IF(INT((C1874-1)/12)+1&gt;'Lapse Table'!$A$11,E1873,VLOOKUP(INT((C1874-1)/12)+1,'Lapse Table'!$A$2:$B$11,2,FALSE))/12</f>
        <v>0</v>
      </c>
      <c r="F1874" s="5">
        <f t="shared" si="269"/>
        <v>-66.572914865619794</v>
      </c>
      <c r="G1874" s="6">
        <f t="shared" si="263"/>
        <v>4.9777500000000002E-2</v>
      </c>
      <c r="H1874" s="6">
        <f t="shared" si="264"/>
        <v>0</v>
      </c>
      <c r="I1874" s="7">
        <f t="shared" si="265"/>
        <v>-2219.0971621873264</v>
      </c>
      <c r="J1874" s="8">
        <f t="shared" si="266"/>
        <v>49777.5</v>
      </c>
      <c r="K1874" s="7">
        <f t="shared" si="267"/>
        <v>-51996.597162187325</v>
      </c>
      <c r="L1874" s="4">
        <f>IF(A1874&gt;'Yield Curve'!A2488,L1873,(1+VLOOKUP(A1874,'Yield Curve'!A1867:B2489,2,FALSE))^(1/12)-1)</f>
        <v>7.9741404289037643E-3</v>
      </c>
      <c r="M1874" s="5">
        <f t="shared" si="268"/>
        <v>-1.9028842903376985E-2</v>
      </c>
    </row>
    <row r="1875" spans="1:13" x14ac:dyDescent="0.25">
      <c r="A1875" s="4">
        <v>1867</v>
      </c>
      <c r="B1875" s="4">
        <f t="shared" si="261"/>
        <v>200</v>
      </c>
      <c r="C1875" s="4">
        <f t="shared" si="262"/>
        <v>1882</v>
      </c>
      <c r="D1875" s="4">
        <f>IF(B1875&gt;'Mortality Table'!$A$118,D1874,VLOOKUP(B1875,'Mortality Table'!$A$2:$B$118,2,FALSE))</f>
        <v>0.59733000000000003</v>
      </c>
      <c r="E1875" s="4">
        <f>IF(INT((C1875-1)/12)+1&gt;'Lapse Table'!$A$11,E1874,VLOOKUP(INT((C1875-1)/12)+1,'Lapse Table'!$A$2:$B$11,2,FALSE))/12</f>
        <v>0</v>
      </c>
      <c r="F1875" s="5">
        <f t="shared" si="269"/>
        <v>-66.622692365619798</v>
      </c>
      <c r="G1875" s="6">
        <f t="shared" si="263"/>
        <v>4.9777500000000002E-2</v>
      </c>
      <c r="H1875" s="6">
        <f t="shared" si="264"/>
        <v>0</v>
      </c>
      <c r="I1875" s="7">
        <f t="shared" si="265"/>
        <v>-2220.7564121873265</v>
      </c>
      <c r="J1875" s="8">
        <f t="shared" si="266"/>
        <v>49777.5</v>
      </c>
      <c r="K1875" s="7">
        <f t="shared" si="267"/>
        <v>-51998.256412187329</v>
      </c>
      <c r="L1875" s="4">
        <f>IF(A1875&gt;'Yield Curve'!A2489,L1874,(1+VLOOKUP(A1875,'Yield Curve'!A1868:B2490,2,FALSE))^(1/12)-1)</f>
        <v>7.9741404289037643E-3</v>
      </c>
      <c r="M1875" s="5">
        <f t="shared" si="268"/>
        <v>-1.8878907071740284E-2</v>
      </c>
    </row>
    <row r="1876" spans="1:13" x14ac:dyDescent="0.25">
      <c r="A1876" s="4">
        <v>1868</v>
      </c>
      <c r="B1876" s="4">
        <f t="shared" si="261"/>
        <v>200</v>
      </c>
      <c r="C1876" s="4">
        <f t="shared" si="262"/>
        <v>1883</v>
      </c>
      <c r="D1876" s="4">
        <f>IF(B1876&gt;'Mortality Table'!$A$118,D1875,VLOOKUP(B1876,'Mortality Table'!$A$2:$B$118,2,FALSE))</f>
        <v>0.59733000000000003</v>
      </c>
      <c r="E1876" s="4">
        <f>IF(INT((C1876-1)/12)+1&gt;'Lapse Table'!$A$11,E1875,VLOOKUP(INT((C1876-1)/12)+1,'Lapse Table'!$A$2:$B$11,2,FALSE))/12</f>
        <v>0</v>
      </c>
      <c r="F1876" s="5">
        <f t="shared" si="269"/>
        <v>-66.672469865619803</v>
      </c>
      <c r="G1876" s="6">
        <f t="shared" si="263"/>
        <v>4.9777500000000002E-2</v>
      </c>
      <c r="H1876" s="6">
        <f t="shared" si="264"/>
        <v>0</v>
      </c>
      <c r="I1876" s="7">
        <f t="shared" si="265"/>
        <v>-2222.4156621873267</v>
      </c>
      <c r="J1876" s="8">
        <f t="shared" si="266"/>
        <v>49777.5</v>
      </c>
      <c r="K1876" s="7">
        <f t="shared" si="267"/>
        <v>-51999.915662187326</v>
      </c>
      <c r="L1876" s="4">
        <f>IF(A1876&gt;'Yield Curve'!A2490,L1875,(1+VLOOKUP(A1876,'Yield Curve'!A1869:B2491,2,FALSE))^(1/12)-1)</f>
        <v>7.9741404289037643E-3</v>
      </c>
      <c r="M1876" s="5">
        <f t="shared" si="268"/>
        <v>-1.8730152625162672E-2</v>
      </c>
    </row>
    <row r="1877" spans="1:13" x14ac:dyDescent="0.25">
      <c r="A1877" s="4">
        <v>1869</v>
      </c>
      <c r="B1877" s="4">
        <f t="shared" si="261"/>
        <v>200</v>
      </c>
      <c r="C1877" s="4">
        <f t="shared" si="262"/>
        <v>1884</v>
      </c>
      <c r="D1877" s="4">
        <f>IF(B1877&gt;'Mortality Table'!$A$118,D1876,VLOOKUP(B1877,'Mortality Table'!$A$2:$B$118,2,FALSE))</f>
        <v>0.59733000000000003</v>
      </c>
      <c r="E1877" s="4">
        <f>IF(INT((C1877-1)/12)+1&gt;'Lapse Table'!$A$11,E1876,VLOOKUP(INT((C1877-1)/12)+1,'Lapse Table'!$A$2:$B$11,2,FALSE))/12</f>
        <v>0</v>
      </c>
      <c r="F1877" s="5">
        <f t="shared" si="269"/>
        <v>-66.722247365619808</v>
      </c>
      <c r="G1877" s="6">
        <f t="shared" si="263"/>
        <v>4.9777500000000002E-2</v>
      </c>
      <c r="H1877" s="6">
        <f t="shared" si="264"/>
        <v>0</v>
      </c>
      <c r="I1877" s="7">
        <f t="shared" si="265"/>
        <v>-2224.0749121873268</v>
      </c>
      <c r="J1877" s="8">
        <f t="shared" si="266"/>
        <v>49777.5</v>
      </c>
      <c r="K1877" s="7">
        <f t="shared" si="267"/>
        <v>-52001.574912187323</v>
      </c>
      <c r="L1877" s="4">
        <f>IF(A1877&gt;'Yield Curve'!A2491,L1876,(1+VLOOKUP(A1877,'Yield Curve'!A1870:B2492,2,FALSE))^(1/12)-1)</f>
        <v>7.9741404289037643E-3</v>
      </c>
      <c r="M1877" s="5">
        <f t="shared" si="268"/>
        <v>-1.8582570255342525E-2</v>
      </c>
    </row>
    <row r="1878" spans="1:13" x14ac:dyDescent="0.25">
      <c r="A1878" s="4">
        <v>1870</v>
      </c>
      <c r="B1878" s="4">
        <f t="shared" si="261"/>
        <v>200</v>
      </c>
      <c r="C1878" s="4">
        <f t="shared" si="262"/>
        <v>1885</v>
      </c>
      <c r="D1878" s="4">
        <f>IF(B1878&gt;'Mortality Table'!$A$118,D1877,VLOOKUP(B1878,'Mortality Table'!$A$2:$B$118,2,FALSE))</f>
        <v>0.59733000000000003</v>
      </c>
      <c r="E1878" s="4">
        <f>IF(INT((C1878-1)/12)+1&gt;'Lapse Table'!$A$11,E1877,VLOOKUP(INT((C1878-1)/12)+1,'Lapse Table'!$A$2:$B$11,2,FALSE))/12</f>
        <v>0</v>
      </c>
      <c r="F1878" s="5">
        <f t="shared" si="269"/>
        <v>-66.772024865619812</v>
      </c>
      <c r="G1878" s="6">
        <f t="shared" si="263"/>
        <v>4.9777500000000002E-2</v>
      </c>
      <c r="H1878" s="6">
        <f t="shared" si="264"/>
        <v>0</v>
      </c>
      <c r="I1878" s="7">
        <f t="shared" si="265"/>
        <v>-2225.734162187327</v>
      </c>
      <c r="J1878" s="8">
        <f t="shared" si="266"/>
        <v>49777.5</v>
      </c>
      <c r="K1878" s="7">
        <f t="shared" si="267"/>
        <v>-52003.234162187327</v>
      </c>
      <c r="L1878" s="4">
        <f>IF(A1878&gt;'Yield Curve'!A2492,L1877,(1+VLOOKUP(A1878,'Yield Curve'!A1871:B2493,2,FALSE))^(1/12)-1)</f>
        <v>7.9741404289037643E-3</v>
      </c>
      <c r="M1878" s="5">
        <f t="shared" si="268"/>
        <v>-1.8436150727318461E-2</v>
      </c>
    </row>
    <row r="1879" spans="1:13" x14ac:dyDescent="0.25">
      <c r="A1879" s="4">
        <v>1871</v>
      </c>
      <c r="B1879" s="4">
        <f t="shared" si="261"/>
        <v>200</v>
      </c>
      <c r="C1879" s="4">
        <f t="shared" si="262"/>
        <v>1886</v>
      </c>
      <c r="D1879" s="4">
        <f>IF(B1879&gt;'Mortality Table'!$A$118,D1878,VLOOKUP(B1879,'Mortality Table'!$A$2:$B$118,2,FALSE))</f>
        <v>0.59733000000000003</v>
      </c>
      <c r="E1879" s="4">
        <f>IF(INT((C1879-1)/12)+1&gt;'Lapse Table'!$A$11,E1878,VLOOKUP(INT((C1879-1)/12)+1,'Lapse Table'!$A$2:$B$11,2,FALSE))/12</f>
        <v>0</v>
      </c>
      <c r="F1879" s="5">
        <f t="shared" si="269"/>
        <v>-66.821802365619817</v>
      </c>
      <c r="G1879" s="6">
        <f t="shared" si="263"/>
        <v>4.9777500000000002E-2</v>
      </c>
      <c r="H1879" s="6">
        <f t="shared" si="264"/>
        <v>0</v>
      </c>
      <c r="I1879" s="7">
        <f t="shared" si="265"/>
        <v>-2227.3934121873272</v>
      </c>
      <c r="J1879" s="8">
        <f t="shared" si="266"/>
        <v>49777.5</v>
      </c>
      <c r="K1879" s="7">
        <f t="shared" si="267"/>
        <v>-52004.893412187324</v>
      </c>
      <c r="L1879" s="4">
        <f>IF(A1879&gt;'Yield Curve'!A2493,L1878,(1+VLOOKUP(A1879,'Yield Curve'!A1872:B2494,2,FALSE))^(1/12)-1)</f>
        <v>7.9741404289037643E-3</v>
      </c>
      <c r="M1879" s="5">
        <f t="shared" si="268"/>
        <v>-1.8290884878891484E-2</v>
      </c>
    </row>
    <row r="1880" spans="1:13" x14ac:dyDescent="0.25">
      <c r="A1880" s="4">
        <v>1872</v>
      </c>
      <c r="B1880" s="4">
        <f t="shared" si="261"/>
        <v>201</v>
      </c>
      <c r="C1880" s="4">
        <f t="shared" si="262"/>
        <v>1887</v>
      </c>
      <c r="D1880" s="4">
        <f>IF(B1880&gt;'Mortality Table'!$A$118,D1879,VLOOKUP(B1880,'Mortality Table'!$A$2:$B$118,2,FALSE))</f>
        <v>0.59733000000000003</v>
      </c>
      <c r="E1880" s="4">
        <f>IF(INT((C1880-1)/12)+1&gt;'Lapse Table'!$A$11,E1879,VLOOKUP(INT((C1880-1)/12)+1,'Lapse Table'!$A$2:$B$11,2,FALSE))/12</f>
        <v>0</v>
      </c>
      <c r="F1880" s="5">
        <f t="shared" si="269"/>
        <v>-66.871579865619822</v>
      </c>
      <c r="G1880" s="6">
        <f t="shared" si="263"/>
        <v>4.9777500000000002E-2</v>
      </c>
      <c r="H1880" s="6">
        <f t="shared" si="264"/>
        <v>0</v>
      </c>
      <c r="I1880" s="7">
        <f t="shared" si="265"/>
        <v>-2229.0526621873273</v>
      </c>
      <c r="J1880" s="8">
        <f t="shared" si="266"/>
        <v>49777.5</v>
      </c>
      <c r="K1880" s="7">
        <f t="shared" si="267"/>
        <v>-52006.552662187329</v>
      </c>
      <c r="L1880" s="4">
        <f>IF(A1880&gt;'Yield Curve'!A2494,L1879,(1+VLOOKUP(A1880,'Yield Curve'!A1873:B2495,2,FALSE))^(1/12)-1)</f>
        <v>7.9741404289037643E-3</v>
      </c>
      <c r="M1880" s="5">
        <f t="shared" si="268"/>
        <v>-1.8146763620051701E-2</v>
      </c>
    </row>
    <row r="1881" spans="1:13" x14ac:dyDescent="0.25">
      <c r="A1881" s="4">
        <v>1873</v>
      </c>
      <c r="B1881" s="4">
        <f t="shared" si="261"/>
        <v>201</v>
      </c>
      <c r="C1881" s="4">
        <f t="shared" si="262"/>
        <v>1888</v>
      </c>
      <c r="D1881" s="4">
        <f>IF(B1881&gt;'Mortality Table'!$A$118,D1880,VLOOKUP(B1881,'Mortality Table'!$A$2:$B$118,2,FALSE))</f>
        <v>0.59733000000000003</v>
      </c>
      <c r="E1881" s="4">
        <f>IF(INT((C1881-1)/12)+1&gt;'Lapse Table'!$A$11,E1880,VLOOKUP(INT((C1881-1)/12)+1,'Lapse Table'!$A$2:$B$11,2,FALSE))/12</f>
        <v>0</v>
      </c>
      <c r="F1881" s="5">
        <f t="shared" si="269"/>
        <v>-66.921357365619826</v>
      </c>
      <c r="G1881" s="6">
        <f t="shared" si="263"/>
        <v>4.9777500000000002E-2</v>
      </c>
      <c r="H1881" s="6">
        <f t="shared" si="264"/>
        <v>0</v>
      </c>
      <c r="I1881" s="7">
        <f t="shared" si="265"/>
        <v>-2230.7119121873275</v>
      </c>
      <c r="J1881" s="8">
        <f t="shared" si="266"/>
        <v>49777.5</v>
      </c>
      <c r="K1881" s="7">
        <f t="shared" si="267"/>
        <v>-52008.211912187326</v>
      </c>
      <c r="L1881" s="4">
        <f>IF(A1881&gt;'Yield Curve'!A2495,L1880,(1+VLOOKUP(A1881,'Yield Curve'!A1874:B2496,2,FALSE))^(1/12)-1)</f>
        <v>7.9741404289037643E-3</v>
      </c>
      <c r="M1881" s="5">
        <f t="shared" si="268"/>
        <v>-1.8003777932409582E-2</v>
      </c>
    </row>
    <row r="1882" spans="1:13" x14ac:dyDescent="0.25">
      <c r="A1882" s="4">
        <v>1874</v>
      </c>
      <c r="B1882" s="4">
        <f t="shared" si="261"/>
        <v>201</v>
      </c>
      <c r="C1882" s="4">
        <f t="shared" si="262"/>
        <v>1889</v>
      </c>
      <c r="D1882" s="4">
        <f>IF(B1882&gt;'Mortality Table'!$A$118,D1881,VLOOKUP(B1882,'Mortality Table'!$A$2:$B$118,2,FALSE))</f>
        <v>0.59733000000000003</v>
      </c>
      <c r="E1882" s="4">
        <f>IF(INT((C1882-1)/12)+1&gt;'Lapse Table'!$A$11,E1881,VLOOKUP(INT((C1882-1)/12)+1,'Lapse Table'!$A$2:$B$11,2,FALSE))/12</f>
        <v>0</v>
      </c>
      <c r="F1882" s="5">
        <f t="shared" si="269"/>
        <v>-66.971134865619831</v>
      </c>
      <c r="G1882" s="6">
        <f t="shared" si="263"/>
        <v>4.9777500000000002E-2</v>
      </c>
      <c r="H1882" s="6">
        <f t="shared" si="264"/>
        <v>0</v>
      </c>
      <c r="I1882" s="7">
        <f t="shared" si="265"/>
        <v>-2232.3711621873276</v>
      </c>
      <c r="J1882" s="8">
        <f t="shared" si="266"/>
        <v>49777.5</v>
      </c>
      <c r="K1882" s="7">
        <f t="shared" si="267"/>
        <v>-52009.87116218733</v>
      </c>
      <c r="L1882" s="4">
        <f>IF(A1882&gt;'Yield Curve'!A2496,L1881,(1+VLOOKUP(A1882,'Yield Curve'!A1875:B2497,2,FALSE))^(1/12)-1)</f>
        <v>7.9741404289037643E-3</v>
      </c>
      <c r="M1882" s="5">
        <f t="shared" si="268"/>
        <v>-1.7861918868631622E-2</v>
      </c>
    </row>
    <row r="1883" spans="1:13" x14ac:dyDescent="0.25">
      <c r="A1883" s="4">
        <v>1875</v>
      </c>
      <c r="B1883" s="4">
        <f t="shared" si="261"/>
        <v>201</v>
      </c>
      <c r="C1883" s="4">
        <f t="shared" si="262"/>
        <v>1890</v>
      </c>
      <c r="D1883" s="4">
        <f>IF(B1883&gt;'Mortality Table'!$A$118,D1882,VLOOKUP(B1883,'Mortality Table'!$A$2:$B$118,2,FALSE))</f>
        <v>0.59733000000000003</v>
      </c>
      <c r="E1883" s="4">
        <f>IF(INT((C1883-1)/12)+1&gt;'Lapse Table'!$A$11,E1882,VLOOKUP(INT((C1883-1)/12)+1,'Lapse Table'!$A$2:$B$11,2,FALSE))/12</f>
        <v>0</v>
      </c>
      <c r="F1883" s="5">
        <f t="shared" si="269"/>
        <v>-67.020912365619836</v>
      </c>
      <c r="G1883" s="6">
        <f t="shared" si="263"/>
        <v>4.9777500000000002E-2</v>
      </c>
      <c r="H1883" s="6">
        <f t="shared" si="264"/>
        <v>0</v>
      </c>
      <c r="I1883" s="7">
        <f t="shared" si="265"/>
        <v>-2234.0304121873278</v>
      </c>
      <c r="J1883" s="8">
        <f t="shared" si="266"/>
        <v>49777.5</v>
      </c>
      <c r="K1883" s="7">
        <f t="shared" si="267"/>
        <v>-52011.530412187327</v>
      </c>
      <c r="L1883" s="4">
        <f>IF(A1883&gt;'Yield Curve'!A2497,L1882,(1+VLOOKUP(A1883,'Yield Curve'!A1876:B2498,2,FALSE))^(1/12)-1)</f>
        <v>7.9741404289037643E-3</v>
      </c>
      <c r="M1883" s="5">
        <f t="shared" si="268"/>
        <v>-1.7721177551880542E-2</v>
      </c>
    </row>
    <row r="1884" spans="1:13" x14ac:dyDescent="0.25">
      <c r="A1884" s="4">
        <v>1876</v>
      </c>
      <c r="B1884" s="4">
        <f t="shared" si="261"/>
        <v>201</v>
      </c>
      <c r="C1884" s="4">
        <f t="shared" si="262"/>
        <v>1891</v>
      </c>
      <c r="D1884" s="4">
        <f>IF(B1884&gt;'Mortality Table'!$A$118,D1883,VLOOKUP(B1884,'Mortality Table'!$A$2:$B$118,2,FALSE))</f>
        <v>0.59733000000000003</v>
      </c>
      <c r="E1884" s="4">
        <f>IF(INT((C1884-1)/12)+1&gt;'Lapse Table'!$A$11,E1883,VLOOKUP(INT((C1884-1)/12)+1,'Lapse Table'!$A$2:$B$11,2,FALSE))/12</f>
        <v>0</v>
      </c>
      <c r="F1884" s="5">
        <f t="shared" si="269"/>
        <v>-67.07068986561984</v>
      </c>
      <c r="G1884" s="6">
        <f t="shared" si="263"/>
        <v>4.9777500000000002E-2</v>
      </c>
      <c r="H1884" s="6">
        <f t="shared" si="264"/>
        <v>0</v>
      </c>
      <c r="I1884" s="7">
        <f t="shared" si="265"/>
        <v>-2235.6896621873279</v>
      </c>
      <c r="J1884" s="8">
        <f t="shared" si="266"/>
        <v>49777.5</v>
      </c>
      <c r="K1884" s="7">
        <f t="shared" si="267"/>
        <v>-52013.189662187331</v>
      </c>
      <c r="L1884" s="4">
        <f>IF(A1884&gt;'Yield Curve'!A2498,L1883,(1+VLOOKUP(A1884,'Yield Curve'!A1877:B2499,2,FALSE))^(1/12)-1)</f>
        <v>7.9741404289037643E-3</v>
      </c>
      <c r="M1884" s="5">
        <f t="shared" si="268"/>
        <v>-1.7581545175259828E-2</v>
      </c>
    </row>
    <row r="1885" spans="1:13" x14ac:dyDescent="0.25">
      <c r="A1885" s="4">
        <v>1877</v>
      </c>
      <c r="B1885" s="4">
        <f t="shared" si="261"/>
        <v>201</v>
      </c>
      <c r="C1885" s="4">
        <f t="shared" si="262"/>
        <v>1892</v>
      </c>
      <c r="D1885" s="4">
        <f>IF(B1885&gt;'Mortality Table'!$A$118,D1884,VLOOKUP(B1885,'Mortality Table'!$A$2:$B$118,2,FALSE))</f>
        <v>0.59733000000000003</v>
      </c>
      <c r="E1885" s="4">
        <f>IF(INT((C1885-1)/12)+1&gt;'Lapse Table'!$A$11,E1884,VLOOKUP(INT((C1885-1)/12)+1,'Lapse Table'!$A$2:$B$11,2,FALSE))/12</f>
        <v>0</v>
      </c>
      <c r="F1885" s="5">
        <f t="shared" si="269"/>
        <v>-67.120467365619845</v>
      </c>
      <c r="G1885" s="6">
        <f t="shared" si="263"/>
        <v>4.9777500000000002E-2</v>
      </c>
      <c r="H1885" s="6">
        <f t="shared" si="264"/>
        <v>0</v>
      </c>
      <c r="I1885" s="7">
        <f t="shared" si="265"/>
        <v>-2237.3489121873281</v>
      </c>
      <c r="J1885" s="8">
        <f t="shared" si="266"/>
        <v>49777.5</v>
      </c>
      <c r="K1885" s="7">
        <f t="shared" si="267"/>
        <v>-52014.848912187328</v>
      </c>
      <c r="L1885" s="4">
        <f>IF(A1885&gt;'Yield Curve'!A2499,L1884,(1+VLOOKUP(A1885,'Yield Curve'!A1878:B2500,2,FALSE))^(1/12)-1)</f>
        <v>7.9741404289037643E-3</v>
      </c>
      <c r="M1885" s="5">
        <f t="shared" si="268"/>
        <v>-1.7443013001262688E-2</v>
      </c>
    </row>
    <row r="1886" spans="1:13" x14ac:dyDescent="0.25">
      <c r="A1886" s="4">
        <v>1878</v>
      </c>
      <c r="B1886" s="4">
        <f t="shared" si="261"/>
        <v>201</v>
      </c>
      <c r="C1886" s="4">
        <f t="shared" si="262"/>
        <v>1893</v>
      </c>
      <c r="D1886" s="4">
        <f>IF(B1886&gt;'Mortality Table'!$A$118,D1885,VLOOKUP(B1886,'Mortality Table'!$A$2:$B$118,2,FALSE))</f>
        <v>0.59733000000000003</v>
      </c>
      <c r="E1886" s="4">
        <f>IF(INT((C1886-1)/12)+1&gt;'Lapse Table'!$A$11,E1885,VLOOKUP(INT((C1886-1)/12)+1,'Lapse Table'!$A$2:$B$11,2,FALSE))/12</f>
        <v>0</v>
      </c>
      <c r="F1886" s="5">
        <f t="shared" si="269"/>
        <v>-67.17024486561985</v>
      </c>
      <c r="G1886" s="6">
        <f t="shared" si="263"/>
        <v>4.9777500000000002E-2</v>
      </c>
      <c r="H1886" s="6">
        <f t="shared" si="264"/>
        <v>0</v>
      </c>
      <c r="I1886" s="7">
        <f t="shared" si="265"/>
        <v>-2239.0081621873283</v>
      </c>
      <c r="J1886" s="8">
        <f t="shared" si="266"/>
        <v>49777.5</v>
      </c>
      <c r="K1886" s="7">
        <f t="shared" si="267"/>
        <v>-52016.508162187325</v>
      </c>
      <c r="L1886" s="4">
        <f>IF(A1886&gt;'Yield Curve'!A2500,L1885,(1+VLOOKUP(A1886,'Yield Curve'!A1879:B2501,2,FALSE))^(1/12)-1)</f>
        <v>7.9741404289037643E-3</v>
      </c>
      <c r="M1886" s="5">
        <f t="shared" si="268"/>
        <v>-1.730557236122535E-2</v>
      </c>
    </row>
    <row r="1887" spans="1:13" x14ac:dyDescent="0.25">
      <c r="A1887" s="4">
        <v>1879</v>
      </c>
      <c r="B1887" s="4">
        <f t="shared" si="261"/>
        <v>201</v>
      </c>
      <c r="C1887" s="4">
        <f t="shared" si="262"/>
        <v>1894</v>
      </c>
      <c r="D1887" s="4">
        <f>IF(B1887&gt;'Mortality Table'!$A$118,D1886,VLOOKUP(B1887,'Mortality Table'!$A$2:$B$118,2,FALSE))</f>
        <v>0.59733000000000003</v>
      </c>
      <c r="E1887" s="4">
        <f>IF(INT((C1887-1)/12)+1&gt;'Lapse Table'!$A$11,E1886,VLOOKUP(INT((C1887-1)/12)+1,'Lapse Table'!$A$2:$B$11,2,FALSE))/12</f>
        <v>0</v>
      </c>
      <c r="F1887" s="5">
        <f t="shared" si="269"/>
        <v>-67.220022365619855</v>
      </c>
      <c r="G1887" s="6">
        <f t="shared" si="263"/>
        <v>4.9777500000000002E-2</v>
      </c>
      <c r="H1887" s="6">
        <f t="shared" si="264"/>
        <v>0</v>
      </c>
      <c r="I1887" s="7">
        <f t="shared" si="265"/>
        <v>-2240.6674121873284</v>
      </c>
      <c r="J1887" s="8">
        <f t="shared" si="266"/>
        <v>49777.5</v>
      </c>
      <c r="K1887" s="7">
        <f t="shared" si="267"/>
        <v>-52018.167412187329</v>
      </c>
      <c r="L1887" s="4">
        <f>IF(A1887&gt;'Yield Curve'!A2501,L1886,(1+VLOOKUP(A1887,'Yield Curve'!A1880:B2502,2,FALSE))^(1/12)-1)</f>
        <v>7.9741404289037643E-3</v>
      </c>
      <c r="M1887" s="5">
        <f t="shared" si="268"/>
        <v>-1.7169214654784635E-2</v>
      </c>
    </row>
    <row r="1888" spans="1:13" x14ac:dyDescent="0.25">
      <c r="A1888" s="4">
        <v>1880</v>
      </c>
      <c r="B1888" s="4">
        <f t="shared" si="261"/>
        <v>201</v>
      </c>
      <c r="C1888" s="4">
        <f t="shared" si="262"/>
        <v>1895</v>
      </c>
      <c r="D1888" s="4">
        <f>IF(B1888&gt;'Mortality Table'!$A$118,D1887,VLOOKUP(B1888,'Mortality Table'!$A$2:$B$118,2,FALSE))</f>
        <v>0.59733000000000003</v>
      </c>
      <c r="E1888" s="4">
        <f>IF(INT((C1888-1)/12)+1&gt;'Lapse Table'!$A$11,E1887,VLOOKUP(INT((C1888-1)/12)+1,'Lapse Table'!$A$2:$B$11,2,FALSE))/12</f>
        <v>0</v>
      </c>
      <c r="F1888" s="5">
        <f t="shared" si="269"/>
        <v>-67.269799865619859</v>
      </c>
      <c r="G1888" s="6">
        <f t="shared" si="263"/>
        <v>4.9777500000000002E-2</v>
      </c>
      <c r="H1888" s="6">
        <f t="shared" si="264"/>
        <v>0</v>
      </c>
      <c r="I1888" s="7">
        <f t="shared" si="265"/>
        <v>-2242.3266621873286</v>
      </c>
      <c r="J1888" s="8">
        <f t="shared" si="266"/>
        <v>49777.5</v>
      </c>
      <c r="K1888" s="7">
        <f t="shared" si="267"/>
        <v>-52019.826662187326</v>
      </c>
      <c r="L1888" s="4">
        <f>IF(A1888&gt;'Yield Curve'!A2502,L1887,(1+VLOOKUP(A1888,'Yield Curve'!A1881:B2503,2,FALSE))^(1/12)-1)</f>
        <v>7.9741404289037643E-3</v>
      </c>
      <c r="M1888" s="5">
        <f t="shared" si="268"/>
        <v>-1.7033931349339809E-2</v>
      </c>
    </row>
    <row r="1889" spans="1:13" x14ac:dyDescent="0.25">
      <c r="A1889" s="4">
        <v>1881</v>
      </c>
      <c r="B1889" s="4">
        <f t="shared" si="261"/>
        <v>201</v>
      </c>
      <c r="C1889" s="4">
        <f t="shared" si="262"/>
        <v>1896</v>
      </c>
      <c r="D1889" s="4">
        <f>IF(B1889&gt;'Mortality Table'!$A$118,D1888,VLOOKUP(B1889,'Mortality Table'!$A$2:$B$118,2,FALSE))</f>
        <v>0.59733000000000003</v>
      </c>
      <c r="E1889" s="4">
        <f>IF(INT((C1889-1)/12)+1&gt;'Lapse Table'!$A$11,E1888,VLOOKUP(INT((C1889-1)/12)+1,'Lapse Table'!$A$2:$B$11,2,FALSE))/12</f>
        <v>0</v>
      </c>
      <c r="F1889" s="5">
        <f t="shared" si="269"/>
        <v>-67.319577365619864</v>
      </c>
      <c r="G1889" s="6">
        <f t="shared" si="263"/>
        <v>4.9777500000000002E-2</v>
      </c>
      <c r="H1889" s="6">
        <f t="shared" si="264"/>
        <v>0</v>
      </c>
      <c r="I1889" s="7">
        <f t="shared" si="265"/>
        <v>-2243.9859121873287</v>
      </c>
      <c r="J1889" s="8">
        <f t="shared" si="266"/>
        <v>49777.5</v>
      </c>
      <c r="K1889" s="7">
        <f t="shared" si="267"/>
        <v>-52021.485912187331</v>
      </c>
      <c r="L1889" s="4">
        <f>IF(A1889&gt;'Yield Curve'!A2503,L1888,(1+VLOOKUP(A1889,'Yield Curve'!A1882:B2504,2,FALSE))^(1/12)-1)</f>
        <v>7.9741404289037643E-3</v>
      </c>
      <c r="M1889" s="5">
        <f t="shared" si="268"/>
        <v>-1.6899713979518751E-2</v>
      </c>
    </row>
    <row r="1890" spans="1:13" x14ac:dyDescent="0.25">
      <c r="A1890" s="4">
        <v>1882</v>
      </c>
      <c r="B1890" s="4">
        <f t="shared" si="261"/>
        <v>201</v>
      </c>
      <c r="C1890" s="4">
        <f t="shared" si="262"/>
        <v>1897</v>
      </c>
      <c r="D1890" s="4">
        <f>IF(B1890&gt;'Mortality Table'!$A$118,D1889,VLOOKUP(B1890,'Mortality Table'!$A$2:$B$118,2,FALSE))</f>
        <v>0.59733000000000003</v>
      </c>
      <c r="E1890" s="4">
        <f>IF(INT((C1890-1)/12)+1&gt;'Lapse Table'!$A$11,E1889,VLOOKUP(INT((C1890-1)/12)+1,'Lapse Table'!$A$2:$B$11,2,FALSE))/12</f>
        <v>0</v>
      </c>
      <c r="F1890" s="5">
        <f t="shared" si="269"/>
        <v>-67.369354865619869</v>
      </c>
      <c r="G1890" s="6">
        <f t="shared" si="263"/>
        <v>4.9777500000000002E-2</v>
      </c>
      <c r="H1890" s="6">
        <f t="shared" si="264"/>
        <v>0</v>
      </c>
      <c r="I1890" s="7">
        <f t="shared" si="265"/>
        <v>-2245.6451621873289</v>
      </c>
      <c r="J1890" s="8">
        <f t="shared" si="266"/>
        <v>49777.5</v>
      </c>
      <c r="K1890" s="7">
        <f t="shared" si="267"/>
        <v>-52023.145162187328</v>
      </c>
      <c r="L1890" s="4">
        <f>IF(A1890&gt;'Yield Curve'!A2504,L1889,(1+VLOOKUP(A1890,'Yield Curve'!A1883:B2505,2,FALSE))^(1/12)-1)</f>
        <v>7.9741404289037643E-3</v>
      </c>
      <c r="M1890" s="5">
        <f t="shared" si="268"/>
        <v>-1.67665541466482E-2</v>
      </c>
    </row>
    <row r="1891" spans="1:13" x14ac:dyDescent="0.25">
      <c r="A1891" s="4">
        <v>1883</v>
      </c>
      <c r="B1891" s="4">
        <f t="shared" si="261"/>
        <v>201</v>
      </c>
      <c r="C1891" s="4">
        <f t="shared" si="262"/>
        <v>1898</v>
      </c>
      <c r="D1891" s="4">
        <f>IF(B1891&gt;'Mortality Table'!$A$118,D1890,VLOOKUP(B1891,'Mortality Table'!$A$2:$B$118,2,FALSE))</f>
        <v>0.59733000000000003</v>
      </c>
      <c r="E1891" s="4">
        <f>IF(INT((C1891-1)/12)+1&gt;'Lapse Table'!$A$11,E1890,VLOOKUP(INT((C1891-1)/12)+1,'Lapse Table'!$A$2:$B$11,2,FALSE))/12</f>
        <v>0</v>
      </c>
      <c r="F1891" s="5">
        <f t="shared" si="269"/>
        <v>-67.419132365619873</v>
      </c>
      <c r="G1891" s="6">
        <f t="shared" si="263"/>
        <v>4.9777500000000002E-2</v>
      </c>
      <c r="H1891" s="6">
        <f t="shared" si="264"/>
        <v>0</v>
      </c>
      <c r="I1891" s="7">
        <f t="shared" si="265"/>
        <v>-2247.304412187329</v>
      </c>
      <c r="J1891" s="8">
        <f t="shared" si="266"/>
        <v>49777.5</v>
      </c>
      <c r="K1891" s="7">
        <f t="shared" si="267"/>
        <v>-52024.804412187332</v>
      </c>
      <c r="L1891" s="4">
        <f>IF(A1891&gt;'Yield Curve'!A2505,L1890,(1+VLOOKUP(A1891,'Yield Curve'!A1884:B2506,2,FALSE))^(1/12)-1)</f>
        <v>7.9741404289037643E-3</v>
      </c>
      <c r="M1891" s="5">
        <f t="shared" si="268"/>
        <v>-1.6634443518228289E-2</v>
      </c>
    </row>
    <row r="1892" spans="1:13" x14ac:dyDescent="0.25">
      <c r="A1892" s="4">
        <v>1884</v>
      </c>
      <c r="B1892" s="4">
        <f t="shared" si="261"/>
        <v>202</v>
      </c>
      <c r="C1892" s="4">
        <f t="shared" si="262"/>
        <v>1899</v>
      </c>
      <c r="D1892" s="4">
        <f>IF(B1892&gt;'Mortality Table'!$A$118,D1891,VLOOKUP(B1892,'Mortality Table'!$A$2:$B$118,2,FALSE))</f>
        <v>0.59733000000000003</v>
      </c>
      <c r="E1892" s="4">
        <f>IF(INT((C1892-1)/12)+1&gt;'Lapse Table'!$A$11,E1891,VLOOKUP(INT((C1892-1)/12)+1,'Lapse Table'!$A$2:$B$11,2,FALSE))/12</f>
        <v>0</v>
      </c>
      <c r="F1892" s="5">
        <f t="shared" si="269"/>
        <v>-67.468909865619878</v>
      </c>
      <c r="G1892" s="6">
        <f t="shared" si="263"/>
        <v>4.9777500000000002E-2</v>
      </c>
      <c r="H1892" s="6">
        <f t="shared" si="264"/>
        <v>0</v>
      </c>
      <c r="I1892" s="7">
        <f t="shared" si="265"/>
        <v>-2248.9636621873292</v>
      </c>
      <c r="J1892" s="8">
        <f t="shared" si="266"/>
        <v>49777.5</v>
      </c>
      <c r="K1892" s="7">
        <f t="shared" si="267"/>
        <v>-52026.463662187329</v>
      </c>
      <c r="L1892" s="4">
        <f>IF(A1892&gt;'Yield Curve'!A2506,L1891,(1+VLOOKUP(A1892,'Yield Curve'!A1885:B2507,2,FALSE))^(1/12)-1)</f>
        <v>7.9741404289037643E-3</v>
      </c>
      <c r="M1892" s="5">
        <f t="shared" si="268"/>
        <v>-1.6503373827411124E-2</v>
      </c>
    </row>
    <row r="1893" spans="1:13" x14ac:dyDescent="0.25">
      <c r="A1893" s="4">
        <v>1885</v>
      </c>
      <c r="B1893" s="4">
        <f t="shared" si="261"/>
        <v>202</v>
      </c>
      <c r="C1893" s="4">
        <f t="shared" si="262"/>
        <v>1900</v>
      </c>
      <c r="D1893" s="4">
        <f>IF(B1893&gt;'Mortality Table'!$A$118,D1892,VLOOKUP(B1893,'Mortality Table'!$A$2:$B$118,2,FALSE))</f>
        <v>0.59733000000000003</v>
      </c>
      <c r="E1893" s="4">
        <f>IF(INT((C1893-1)/12)+1&gt;'Lapse Table'!$A$11,E1892,VLOOKUP(INT((C1893-1)/12)+1,'Lapse Table'!$A$2:$B$11,2,FALSE))/12</f>
        <v>0</v>
      </c>
      <c r="F1893" s="5">
        <f t="shared" si="269"/>
        <v>-67.518687365619883</v>
      </c>
      <c r="G1893" s="6">
        <f t="shared" si="263"/>
        <v>4.9777500000000002E-2</v>
      </c>
      <c r="H1893" s="6">
        <f t="shared" si="264"/>
        <v>0</v>
      </c>
      <c r="I1893" s="7">
        <f t="shared" si="265"/>
        <v>-2250.6229121873293</v>
      </c>
      <c r="J1893" s="8">
        <f t="shared" si="266"/>
        <v>49777.5</v>
      </c>
      <c r="K1893" s="7">
        <f t="shared" si="267"/>
        <v>-52028.122912187333</v>
      </c>
      <c r="L1893" s="4">
        <f>IF(A1893&gt;'Yield Curve'!A2507,L1892,(1+VLOOKUP(A1893,'Yield Curve'!A1886:B2508,2,FALSE))^(1/12)-1)</f>
        <v>7.9741404289037643E-3</v>
      </c>
      <c r="M1893" s="5">
        <f t="shared" si="268"/>
        <v>-1.6373336872483563E-2</v>
      </c>
    </row>
    <row r="1894" spans="1:13" x14ac:dyDescent="0.25">
      <c r="A1894" s="4">
        <v>1886</v>
      </c>
      <c r="B1894" s="4">
        <f t="shared" si="261"/>
        <v>202</v>
      </c>
      <c r="C1894" s="4">
        <f t="shared" si="262"/>
        <v>1901</v>
      </c>
      <c r="D1894" s="4">
        <f>IF(B1894&gt;'Mortality Table'!$A$118,D1893,VLOOKUP(B1894,'Mortality Table'!$A$2:$B$118,2,FALSE))</f>
        <v>0.59733000000000003</v>
      </c>
      <c r="E1894" s="4">
        <f>IF(INT((C1894-1)/12)+1&gt;'Lapse Table'!$A$11,E1893,VLOOKUP(INT((C1894-1)/12)+1,'Lapse Table'!$A$2:$B$11,2,FALSE))/12</f>
        <v>0</v>
      </c>
      <c r="F1894" s="5">
        <f t="shared" si="269"/>
        <v>-67.568464865619887</v>
      </c>
      <c r="G1894" s="6">
        <f t="shared" si="263"/>
        <v>4.9777500000000002E-2</v>
      </c>
      <c r="H1894" s="6">
        <f t="shared" si="264"/>
        <v>0</v>
      </c>
      <c r="I1894" s="7">
        <f t="shared" si="265"/>
        <v>-2252.2821621873295</v>
      </c>
      <c r="J1894" s="8">
        <f t="shared" si="266"/>
        <v>49777.5</v>
      </c>
      <c r="K1894" s="7">
        <f t="shared" si="267"/>
        <v>-52029.78216218733</v>
      </c>
      <c r="L1894" s="4">
        <f>IF(A1894&gt;'Yield Curve'!A2508,L1893,(1+VLOOKUP(A1894,'Yield Curve'!A1887:B2509,2,FALSE))^(1/12)-1)</f>
        <v>7.9741404289037643E-3</v>
      </c>
      <c r="M1894" s="5">
        <f t="shared" si="268"/>
        <v>-1.624432451635402E-2</v>
      </c>
    </row>
    <row r="1895" spans="1:13" x14ac:dyDescent="0.25">
      <c r="A1895" s="4">
        <v>1887</v>
      </c>
      <c r="B1895" s="4">
        <f t="shared" si="261"/>
        <v>202</v>
      </c>
      <c r="C1895" s="4">
        <f t="shared" si="262"/>
        <v>1902</v>
      </c>
      <c r="D1895" s="4">
        <f>IF(B1895&gt;'Mortality Table'!$A$118,D1894,VLOOKUP(B1895,'Mortality Table'!$A$2:$B$118,2,FALSE))</f>
        <v>0.59733000000000003</v>
      </c>
      <c r="E1895" s="4">
        <f>IF(INT((C1895-1)/12)+1&gt;'Lapse Table'!$A$11,E1894,VLOOKUP(INT((C1895-1)/12)+1,'Lapse Table'!$A$2:$B$11,2,FALSE))/12</f>
        <v>0</v>
      </c>
      <c r="F1895" s="5">
        <f t="shared" si="269"/>
        <v>-67.618242365619892</v>
      </c>
      <c r="G1895" s="6">
        <f t="shared" si="263"/>
        <v>4.9777500000000002E-2</v>
      </c>
      <c r="H1895" s="6">
        <f t="shared" si="264"/>
        <v>0</v>
      </c>
      <c r="I1895" s="7">
        <f t="shared" si="265"/>
        <v>-2253.9414121873297</v>
      </c>
      <c r="J1895" s="8">
        <f t="shared" si="266"/>
        <v>49777.5</v>
      </c>
      <c r="K1895" s="7">
        <f t="shared" si="267"/>
        <v>-52031.441412187327</v>
      </c>
      <c r="L1895" s="4">
        <f>IF(A1895&gt;'Yield Curve'!A2509,L1894,(1+VLOOKUP(A1895,'Yield Curve'!A1888:B2510,2,FALSE))^(1/12)-1)</f>
        <v>7.9741404289037643E-3</v>
      </c>
      <c r="M1895" s="5">
        <f t="shared" si="268"/>
        <v>-1.6116328686043273E-2</v>
      </c>
    </row>
    <row r="1896" spans="1:13" x14ac:dyDescent="0.25">
      <c r="A1896" s="4">
        <v>1888</v>
      </c>
      <c r="B1896" s="4">
        <f t="shared" si="261"/>
        <v>202</v>
      </c>
      <c r="C1896" s="4">
        <f t="shared" si="262"/>
        <v>1903</v>
      </c>
      <c r="D1896" s="4">
        <f>IF(B1896&gt;'Mortality Table'!$A$118,D1895,VLOOKUP(B1896,'Mortality Table'!$A$2:$B$118,2,FALSE))</f>
        <v>0.59733000000000003</v>
      </c>
      <c r="E1896" s="4">
        <f>IF(INT((C1896-1)/12)+1&gt;'Lapse Table'!$A$11,E1895,VLOOKUP(INT((C1896-1)/12)+1,'Lapse Table'!$A$2:$B$11,2,FALSE))/12</f>
        <v>0</v>
      </c>
      <c r="F1896" s="5">
        <f t="shared" si="269"/>
        <v>-67.668019865619897</v>
      </c>
      <c r="G1896" s="6">
        <f t="shared" si="263"/>
        <v>4.9777500000000002E-2</v>
      </c>
      <c r="H1896" s="6">
        <f t="shared" si="264"/>
        <v>0</v>
      </c>
      <c r="I1896" s="7">
        <f t="shared" si="265"/>
        <v>-2255.6006621873298</v>
      </c>
      <c r="J1896" s="8">
        <f t="shared" si="266"/>
        <v>49777.5</v>
      </c>
      <c r="K1896" s="7">
        <f t="shared" si="267"/>
        <v>-52033.100662187331</v>
      </c>
      <c r="L1896" s="4">
        <f>IF(A1896&gt;'Yield Curve'!A2510,L1895,(1+VLOOKUP(A1896,'Yield Curve'!A1889:B2511,2,FALSE))^(1/12)-1)</f>
        <v>7.9741404289037643E-3</v>
      </c>
      <c r="M1896" s="5">
        <f t="shared" si="268"/>
        <v>-1.5989341372179399E-2</v>
      </c>
    </row>
    <row r="1897" spans="1:13" x14ac:dyDescent="0.25">
      <c r="A1897" s="4">
        <v>1889</v>
      </c>
      <c r="B1897" s="4">
        <f t="shared" si="261"/>
        <v>202</v>
      </c>
      <c r="C1897" s="4">
        <f t="shared" si="262"/>
        <v>1904</v>
      </c>
      <c r="D1897" s="4">
        <f>IF(B1897&gt;'Mortality Table'!$A$118,D1896,VLOOKUP(B1897,'Mortality Table'!$A$2:$B$118,2,FALSE))</f>
        <v>0.59733000000000003</v>
      </c>
      <c r="E1897" s="4">
        <f>IF(INT((C1897-1)/12)+1&gt;'Lapse Table'!$A$11,E1896,VLOOKUP(INT((C1897-1)/12)+1,'Lapse Table'!$A$2:$B$11,2,FALSE))/12</f>
        <v>0</v>
      </c>
      <c r="F1897" s="5">
        <f t="shared" si="269"/>
        <v>-67.717797365619901</v>
      </c>
      <c r="G1897" s="6">
        <f t="shared" si="263"/>
        <v>4.9777500000000002E-2</v>
      </c>
      <c r="H1897" s="6">
        <f t="shared" si="264"/>
        <v>0</v>
      </c>
      <c r="I1897" s="7">
        <f t="shared" si="265"/>
        <v>-2257.25991218733</v>
      </c>
      <c r="J1897" s="8">
        <f t="shared" si="266"/>
        <v>49777.5</v>
      </c>
      <c r="K1897" s="7">
        <f t="shared" si="267"/>
        <v>-52034.759912187328</v>
      </c>
      <c r="L1897" s="4">
        <f>IF(A1897&gt;'Yield Curve'!A2511,L1896,(1+VLOOKUP(A1897,'Yield Curve'!A1890:B2512,2,FALSE))^(1/12)-1)</f>
        <v>7.9741404289037643E-3</v>
      </c>
      <c r="M1897" s="5">
        <f t="shared" si="268"/>
        <v>-1.586335462849656E-2</v>
      </c>
    </row>
    <row r="1898" spans="1:13" x14ac:dyDescent="0.25">
      <c r="A1898" s="4">
        <v>1890</v>
      </c>
      <c r="B1898" s="4">
        <f t="shared" si="261"/>
        <v>202</v>
      </c>
      <c r="C1898" s="4">
        <f t="shared" si="262"/>
        <v>1905</v>
      </c>
      <c r="D1898" s="4">
        <f>IF(B1898&gt;'Mortality Table'!$A$118,D1897,VLOOKUP(B1898,'Mortality Table'!$A$2:$B$118,2,FALSE))</f>
        <v>0.59733000000000003</v>
      </c>
      <c r="E1898" s="4">
        <f>IF(INT((C1898-1)/12)+1&gt;'Lapse Table'!$A$11,E1897,VLOOKUP(INT((C1898-1)/12)+1,'Lapse Table'!$A$2:$B$11,2,FALSE))/12</f>
        <v>0</v>
      </c>
      <c r="F1898" s="5">
        <f t="shared" si="269"/>
        <v>-67.767574865619906</v>
      </c>
      <c r="G1898" s="6">
        <f t="shared" si="263"/>
        <v>4.9777500000000002E-2</v>
      </c>
      <c r="H1898" s="6">
        <f t="shared" si="264"/>
        <v>0</v>
      </c>
      <c r="I1898" s="7">
        <f t="shared" si="265"/>
        <v>-2258.9191621873301</v>
      </c>
      <c r="J1898" s="8">
        <f t="shared" si="266"/>
        <v>49777.5</v>
      </c>
      <c r="K1898" s="7">
        <f t="shared" si="267"/>
        <v>-52036.419162187332</v>
      </c>
      <c r="L1898" s="4">
        <f>IF(A1898&gt;'Yield Curve'!A2512,L1897,(1+VLOOKUP(A1898,'Yield Curve'!A1891:B2513,2,FALSE))^(1/12)-1)</f>
        <v>7.9741404289037643E-3</v>
      </c>
      <c r="M1898" s="5">
        <f t="shared" si="268"/>
        <v>-1.5738360571337835E-2</v>
      </c>
    </row>
    <row r="1899" spans="1:13" x14ac:dyDescent="0.25">
      <c r="A1899" s="4">
        <v>1891</v>
      </c>
      <c r="B1899" s="4">
        <f t="shared" si="261"/>
        <v>202</v>
      </c>
      <c r="C1899" s="4">
        <f t="shared" si="262"/>
        <v>1906</v>
      </c>
      <c r="D1899" s="4">
        <f>IF(B1899&gt;'Mortality Table'!$A$118,D1898,VLOOKUP(B1899,'Mortality Table'!$A$2:$B$118,2,FALSE))</f>
        <v>0.59733000000000003</v>
      </c>
      <c r="E1899" s="4">
        <f>IF(INT((C1899-1)/12)+1&gt;'Lapse Table'!$A$11,E1898,VLOOKUP(INT((C1899-1)/12)+1,'Lapse Table'!$A$2:$B$11,2,FALSE))/12</f>
        <v>0</v>
      </c>
      <c r="F1899" s="5">
        <f t="shared" si="269"/>
        <v>-67.817352365619911</v>
      </c>
      <c r="G1899" s="6">
        <f t="shared" si="263"/>
        <v>4.9777500000000002E-2</v>
      </c>
      <c r="H1899" s="6">
        <f t="shared" si="264"/>
        <v>0</v>
      </c>
      <c r="I1899" s="7">
        <f t="shared" si="265"/>
        <v>-2260.5784121873303</v>
      </c>
      <c r="J1899" s="8">
        <f t="shared" si="266"/>
        <v>49777.5</v>
      </c>
      <c r="K1899" s="7">
        <f t="shared" si="267"/>
        <v>-52038.078412187329</v>
      </c>
      <c r="L1899" s="4">
        <f>IF(A1899&gt;'Yield Curve'!A2513,L1898,(1+VLOOKUP(A1899,'Yield Curve'!A1892:B2514,2,FALSE))^(1/12)-1)</f>
        <v>7.9741404289037643E-3</v>
      </c>
      <c r="M1899" s="5">
        <f t="shared" si="268"/>
        <v>-1.5614351379161902E-2</v>
      </c>
    </row>
    <row r="1900" spans="1:13" x14ac:dyDescent="0.25">
      <c r="A1900" s="4">
        <v>1892</v>
      </c>
      <c r="B1900" s="4">
        <f t="shared" si="261"/>
        <v>202</v>
      </c>
      <c r="C1900" s="4">
        <f t="shared" si="262"/>
        <v>1907</v>
      </c>
      <c r="D1900" s="4">
        <f>IF(B1900&gt;'Mortality Table'!$A$118,D1899,VLOOKUP(B1900,'Mortality Table'!$A$2:$B$118,2,FALSE))</f>
        <v>0.59733000000000003</v>
      </c>
      <c r="E1900" s="4">
        <f>IF(INT((C1900-1)/12)+1&gt;'Lapse Table'!$A$11,E1899,VLOOKUP(INT((C1900-1)/12)+1,'Lapse Table'!$A$2:$B$11,2,FALSE))/12</f>
        <v>0</v>
      </c>
      <c r="F1900" s="5">
        <f t="shared" si="269"/>
        <v>-67.867129865619916</v>
      </c>
      <c r="G1900" s="6">
        <f t="shared" si="263"/>
        <v>4.9777500000000002E-2</v>
      </c>
      <c r="H1900" s="6">
        <f t="shared" si="264"/>
        <v>0</v>
      </c>
      <c r="I1900" s="7">
        <f t="shared" si="265"/>
        <v>-2262.2376621873304</v>
      </c>
      <c r="J1900" s="8">
        <f t="shared" si="266"/>
        <v>49777.5</v>
      </c>
      <c r="K1900" s="7">
        <f t="shared" si="267"/>
        <v>-52039.737662187334</v>
      </c>
      <c r="L1900" s="4">
        <f>IF(A1900&gt;'Yield Curve'!A2514,L1899,(1+VLOOKUP(A1900,'Yield Curve'!A1893:B2515,2,FALSE))^(1/12)-1)</f>
        <v>7.9741404289037643E-3</v>
      </c>
      <c r="M1900" s="5">
        <f t="shared" si="268"/>
        <v>-1.5491319292053643E-2</v>
      </c>
    </row>
    <row r="1901" spans="1:13" x14ac:dyDescent="0.25">
      <c r="A1901" s="4">
        <v>1893</v>
      </c>
      <c r="B1901" s="4">
        <f t="shared" si="261"/>
        <v>202</v>
      </c>
      <c r="C1901" s="4">
        <f t="shared" si="262"/>
        <v>1908</v>
      </c>
      <c r="D1901" s="4">
        <f>IF(B1901&gt;'Mortality Table'!$A$118,D1900,VLOOKUP(B1901,'Mortality Table'!$A$2:$B$118,2,FALSE))</f>
        <v>0.59733000000000003</v>
      </c>
      <c r="E1901" s="4">
        <f>IF(INT((C1901-1)/12)+1&gt;'Lapse Table'!$A$11,E1900,VLOOKUP(INT((C1901-1)/12)+1,'Lapse Table'!$A$2:$B$11,2,FALSE))/12</f>
        <v>0</v>
      </c>
      <c r="F1901" s="5">
        <f t="shared" si="269"/>
        <v>-67.91690736561992</v>
      </c>
      <c r="G1901" s="6">
        <f t="shared" si="263"/>
        <v>4.9777500000000002E-2</v>
      </c>
      <c r="H1901" s="6">
        <f t="shared" si="264"/>
        <v>0</v>
      </c>
      <c r="I1901" s="7">
        <f t="shared" si="265"/>
        <v>-2263.8969121873306</v>
      </c>
      <c r="J1901" s="8">
        <f t="shared" si="266"/>
        <v>49777.5</v>
      </c>
      <c r="K1901" s="7">
        <f t="shared" si="267"/>
        <v>-52041.396912187331</v>
      </c>
      <c r="L1901" s="4">
        <f>IF(A1901&gt;'Yield Curve'!A2515,L1900,(1+VLOOKUP(A1901,'Yield Curve'!A1894:B2516,2,FALSE))^(1/12)-1)</f>
        <v>7.9741404289037643E-3</v>
      </c>
      <c r="M1901" s="5">
        <f t="shared" si="268"/>
        <v>-1.5369256611238622E-2</v>
      </c>
    </row>
    <row r="1902" spans="1:13" x14ac:dyDescent="0.25">
      <c r="A1902" s="4">
        <v>1894</v>
      </c>
      <c r="B1902" s="4">
        <f t="shared" si="261"/>
        <v>202</v>
      </c>
      <c r="C1902" s="4">
        <f t="shared" si="262"/>
        <v>1909</v>
      </c>
      <c r="D1902" s="4">
        <f>IF(B1902&gt;'Mortality Table'!$A$118,D1901,VLOOKUP(B1902,'Mortality Table'!$A$2:$B$118,2,FALSE))</f>
        <v>0.59733000000000003</v>
      </c>
      <c r="E1902" s="4">
        <f>IF(INT((C1902-1)/12)+1&gt;'Lapse Table'!$A$11,E1901,VLOOKUP(INT((C1902-1)/12)+1,'Lapse Table'!$A$2:$B$11,2,FALSE))/12</f>
        <v>0</v>
      </c>
      <c r="F1902" s="5">
        <f t="shared" si="269"/>
        <v>-67.966684865619925</v>
      </c>
      <c r="G1902" s="6">
        <f t="shared" si="263"/>
        <v>4.9777500000000002E-2</v>
      </c>
      <c r="H1902" s="6">
        <f t="shared" si="264"/>
        <v>0</v>
      </c>
      <c r="I1902" s="7">
        <f t="shared" si="265"/>
        <v>-2265.5561621873308</v>
      </c>
      <c r="J1902" s="8">
        <f t="shared" si="266"/>
        <v>49777.5</v>
      </c>
      <c r="K1902" s="7">
        <f t="shared" si="267"/>
        <v>-52043.056162187328</v>
      </c>
      <c r="L1902" s="4">
        <f>IF(A1902&gt;'Yield Curve'!A2516,L1901,(1+VLOOKUP(A1902,'Yield Curve'!A1895:B2517,2,FALSE))^(1/12)-1)</f>
        <v>7.9741404289037643E-3</v>
      </c>
      <c r="M1902" s="5">
        <f t="shared" si="268"/>
        <v>-1.5248155698601317E-2</v>
      </c>
    </row>
    <row r="1903" spans="1:13" x14ac:dyDescent="0.25">
      <c r="A1903" s="4">
        <v>1895</v>
      </c>
      <c r="B1903" s="4">
        <f t="shared" si="261"/>
        <v>202</v>
      </c>
      <c r="C1903" s="4">
        <f t="shared" si="262"/>
        <v>1910</v>
      </c>
      <c r="D1903" s="4">
        <f>IF(B1903&gt;'Mortality Table'!$A$118,D1902,VLOOKUP(B1903,'Mortality Table'!$A$2:$B$118,2,FALSE))</f>
        <v>0.59733000000000003</v>
      </c>
      <c r="E1903" s="4">
        <f>IF(INT((C1903-1)/12)+1&gt;'Lapse Table'!$A$11,E1902,VLOOKUP(INT((C1903-1)/12)+1,'Lapse Table'!$A$2:$B$11,2,FALSE))/12</f>
        <v>0</v>
      </c>
      <c r="F1903" s="5">
        <f t="shared" si="269"/>
        <v>-68.01646236561993</v>
      </c>
      <c r="G1903" s="6">
        <f t="shared" si="263"/>
        <v>4.9777500000000002E-2</v>
      </c>
      <c r="H1903" s="6">
        <f t="shared" si="264"/>
        <v>0</v>
      </c>
      <c r="I1903" s="7">
        <f t="shared" si="265"/>
        <v>-2267.2154121873309</v>
      </c>
      <c r="J1903" s="8">
        <f t="shared" si="266"/>
        <v>49777.5</v>
      </c>
      <c r="K1903" s="7">
        <f t="shared" si="267"/>
        <v>-52044.715412187332</v>
      </c>
      <c r="L1903" s="4">
        <f>IF(A1903&gt;'Yield Curve'!A2517,L1902,(1+VLOOKUP(A1903,'Yield Curve'!A1896:B2518,2,FALSE))^(1/12)-1)</f>
        <v>7.9741404289037643E-3</v>
      </c>
      <c r="M1903" s="5">
        <f t="shared" si="268"/>
        <v>-1.5128008976207235E-2</v>
      </c>
    </row>
    <row r="1904" spans="1:13" x14ac:dyDescent="0.25">
      <c r="A1904" s="4">
        <v>1896</v>
      </c>
      <c r="B1904" s="4">
        <f t="shared" si="261"/>
        <v>203</v>
      </c>
      <c r="C1904" s="4">
        <f t="shared" si="262"/>
        <v>1911</v>
      </c>
      <c r="D1904" s="4">
        <f>IF(B1904&gt;'Mortality Table'!$A$118,D1903,VLOOKUP(B1904,'Mortality Table'!$A$2:$B$118,2,FALSE))</f>
        <v>0.59733000000000003</v>
      </c>
      <c r="E1904" s="4">
        <f>IF(INT((C1904-1)/12)+1&gt;'Lapse Table'!$A$11,E1903,VLOOKUP(INT((C1904-1)/12)+1,'Lapse Table'!$A$2:$B$11,2,FALSE))/12</f>
        <v>0</v>
      </c>
      <c r="F1904" s="5">
        <f t="shared" si="269"/>
        <v>-68.066239865619934</v>
      </c>
      <c r="G1904" s="6">
        <f t="shared" si="263"/>
        <v>4.9777500000000002E-2</v>
      </c>
      <c r="H1904" s="6">
        <f t="shared" si="264"/>
        <v>0</v>
      </c>
      <c r="I1904" s="7">
        <f t="shared" si="265"/>
        <v>-2268.8746621873311</v>
      </c>
      <c r="J1904" s="8">
        <f t="shared" si="266"/>
        <v>49777.5</v>
      </c>
      <c r="K1904" s="7">
        <f t="shared" si="267"/>
        <v>-52046.374662187329</v>
      </c>
      <c r="L1904" s="4">
        <f>IF(A1904&gt;'Yield Curve'!A2518,L1903,(1+VLOOKUP(A1904,'Yield Curve'!A1897:B2519,2,FALSE))^(1/12)-1)</f>
        <v>7.9741404289037643E-3</v>
      </c>
      <c r="M1904" s="5">
        <f t="shared" si="268"/>
        <v>-1.5008808925828733E-2</v>
      </c>
    </row>
    <row r="1905" spans="1:13" x14ac:dyDescent="0.25">
      <c r="A1905" s="4">
        <v>1897</v>
      </c>
      <c r="B1905" s="4">
        <f t="shared" si="261"/>
        <v>203</v>
      </c>
      <c r="C1905" s="4">
        <f t="shared" si="262"/>
        <v>1912</v>
      </c>
      <c r="D1905" s="4">
        <f>IF(B1905&gt;'Mortality Table'!$A$118,D1904,VLOOKUP(B1905,'Mortality Table'!$A$2:$B$118,2,FALSE))</f>
        <v>0.59733000000000003</v>
      </c>
      <c r="E1905" s="4">
        <f>IF(INT((C1905-1)/12)+1&gt;'Lapse Table'!$A$11,E1904,VLOOKUP(INT((C1905-1)/12)+1,'Lapse Table'!$A$2:$B$11,2,FALSE))/12</f>
        <v>0</v>
      </c>
      <c r="F1905" s="5">
        <f t="shared" si="269"/>
        <v>-68.116017365619939</v>
      </c>
      <c r="G1905" s="6">
        <f t="shared" si="263"/>
        <v>4.9777500000000002E-2</v>
      </c>
      <c r="H1905" s="6">
        <f t="shared" si="264"/>
        <v>0</v>
      </c>
      <c r="I1905" s="7">
        <f t="shared" si="265"/>
        <v>-2270.5339121873312</v>
      </c>
      <c r="J1905" s="8">
        <f t="shared" si="266"/>
        <v>49777.5</v>
      </c>
      <c r="K1905" s="7">
        <f t="shared" si="267"/>
        <v>-52048.033912187333</v>
      </c>
      <c r="L1905" s="4">
        <f>IF(A1905&gt;'Yield Curve'!A2519,L1904,(1+VLOOKUP(A1905,'Yield Curve'!A1898:B2520,2,FALSE))^(1/12)-1)</f>
        <v>7.9741404289037643E-3</v>
      </c>
      <c r="M1905" s="5">
        <f t="shared" si="268"/>
        <v>-1.4890548088474599E-2</v>
      </c>
    </row>
    <row r="1906" spans="1:13" x14ac:dyDescent="0.25">
      <c r="A1906" s="4">
        <v>1898</v>
      </c>
      <c r="B1906" s="4">
        <f t="shared" si="261"/>
        <v>203</v>
      </c>
      <c r="C1906" s="4">
        <f t="shared" si="262"/>
        <v>1913</v>
      </c>
      <c r="D1906" s="4">
        <f>IF(B1906&gt;'Mortality Table'!$A$118,D1905,VLOOKUP(B1906,'Mortality Table'!$A$2:$B$118,2,FALSE))</f>
        <v>0.59733000000000003</v>
      </c>
      <c r="E1906" s="4">
        <f>IF(INT((C1906-1)/12)+1&gt;'Lapse Table'!$A$11,E1905,VLOOKUP(INT((C1906-1)/12)+1,'Lapse Table'!$A$2:$B$11,2,FALSE))/12</f>
        <v>0</v>
      </c>
      <c r="F1906" s="5">
        <f t="shared" si="269"/>
        <v>-68.165794865619944</v>
      </c>
      <c r="G1906" s="6">
        <f t="shared" si="263"/>
        <v>4.9777500000000002E-2</v>
      </c>
      <c r="H1906" s="6">
        <f t="shared" si="264"/>
        <v>0</v>
      </c>
      <c r="I1906" s="7">
        <f t="shared" si="265"/>
        <v>-2272.1931621873314</v>
      </c>
      <c r="J1906" s="8">
        <f t="shared" si="266"/>
        <v>49777.5</v>
      </c>
      <c r="K1906" s="7">
        <f t="shared" si="267"/>
        <v>-52049.69316218733</v>
      </c>
      <c r="L1906" s="4">
        <f>IF(A1906&gt;'Yield Curve'!A2520,L1905,(1+VLOOKUP(A1906,'Yield Curve'!A1899:B2521,2,FALSE))^(1/12)-1)</f>
        <v>7.9741404289037643E-3</v>
      </c>
      <c r="M1906" s="5">
        <f t="shared" si="268"/>
        <v>-1.477321906392331E-2</v>
      </c>
    </row>
    <row r="1907" spans="1:13" x14ac:dyDescent="0.25">
      <c r="A1907" s="4">
        <v>1899</v>
      </c>
      <c r="B1907" s="4">
        <f t="shared" si="261"/>
        <v>203</v>
      </c>
      <c r="C1907" s="4">
        <f t="shared" si="262"/>
        <v>1914</v>
      </c>
      <c r="D1907" s="4">
        <f>IF(B1907&gt;'Mortality Table'!$A$118,D1906,VLOOKUP(B1907,'Mortality Table'!$A$2:$B$118,2,FALSE))</f>
        <v>0.59733000000000003</v>
      </c>
      <c r="E1907" s="4">
        <f>IF(INT((C1907-1)/12)+1&gt;'Lapse Table'!$A$11,E1906,VLOOKUP(INT((C1907-1)/12)+1,'Lapse Table'!$A$2:$B$11,2,FALSE))/12</f>
        <v>0</v>
      </c>
      <c r="F1907" s="5">
        <f t="shared" si="269"/>
        <v>-68.215572365619948</v>
      </c>
      <c r="G1907" s="6">
        <f t="shared" si="263"/>
        <v>4.9777500000000002E-2</v>
      </c>
      <c r="H1907" s="6">
        <f t="shared" si="264"/>
        <v>0</v>
      </c>
      <c r="I1907" s="7">
        <f t="shared" si="265"/>
        <v>-2273.8524121873315</v>
      </c>
      <c r="J1907" s="8">
        <f t="shared" si="266"/>
        <v>49777.5</v>
      </c>
      <c r="K1907" s="7">
        <f t="shared" si="267"/>
        <v>-52051.352412187334</v>
      </c>
      <c r="L1907" s="4">
        <f>IF(A1907&gt;'Yield Curve'!A2521,L1906,(1+VLOOKUP(A1907,'Yield Curve'!A1900:B2522,2,FALSE))^(1/12)-1)</f>
        <v>7.9741404289037643E-3</v>
      </c>
      <c r="M1907" s="5">
        <f t="shared" si="268"/>
        <v>-1.4656814510260052E-2</v>
      </c>
    </row>
    <row r="1908" spans="1:13" x14ac:dyDescent="0.25">
      <c r="A1908" s="4">
        <v>1900</v>
      </c>
      <c r="B1908" s="4">
        <f t="shared" si="261"/>
        <v>203</v>
      </c>
      <c r="C1908" s="4">
        <f t="shared" si="262"/>
        <v>1915</v>
      </c>
      <c r="D1908" s="4">
        <f>IF(B1908&gt;'Mortality Table'!$A$118,D1907,VLOOKUP(B1908,'Mortality Table'!$A$2:$B$118,2,FALSE))</f>
        <v>0.59733000000000003</v>
      </c>
      <c r="E1908" s="4">
        <f>IF(INT((C1908-1)/12)+1&gt;'Lapse Table'!$A$11,E1907,VLOOKUP(INT((C1908-1)/12)+1,'Lapse Table'!$A$2:$B$11,2,FALSE))/12</f>
        <v>0</v>
      </c>
      <c r="F1908" s="5">
        <f t="shared" si="269"/>
        <v>-68.265349865619953</v>
      </c>
      <c r="G1908" s="6">
        <f t="shared" si="263"/>
        <v>4.9777500000000002E-2</v>
      </c>
      <c r="H1908" s="6">
        <f t="shared" si="264"/>
        <v>0</v>
      </c>
      <c r="I1908" s="7">
        <f t="shared" si="265"/>
        <v>-2275.5116621873317</v>
      </c>
      <c r="J1908" s="8">
        <f t="shared" si="266"/>
        <v>49777.5</v>
      </c>
      <c r="K1908" s="7">
        <f t="shared" si="267"/>
        <v>-52053.011662187331</v>
      </c>
      <c r="L1908" s="4">
        <f>IF(A1908&gt;'Yield Curve'!A2522,L1907,(1+VLOOKUP(A1908,'Yield Curve'!A1901:B2523,2,FALSE))^(1/12)-1)</f>
        <v>7.9741404289037643E-3</v>
      </c>
      <c r="M1908" s="5">
        <f t="shared" si="268"/>
        <v>-1.4541327143417229E-2</v>
      </c>
    </row>
    <row r="1909" spans="1:13" x14ac:dyDescent="0.25">
      <c r="A1909" s="4">
        <v>1901</v>
      </c>
      <c r="B1909" s="4">
        <f t="shared" si="261"/>
        <v>203</v>
      </c>
      <c r="C1909" s="4">
        <f t="shared" si="262"/>
        <v>1916</v>
      </c>
      <c r="D1909" s="4">
        <f>IF(B1909&gt;'Mortality Table'!$A$118,D1908,VLOOKUP(B1909,'Mortality Table'!$A$2:$B$118,2,FALSE))</f>
        <v>0.59733000000000003</v>
      </c>
      <c r="E1909" s="4">
        <f>IF(INT((C1909-1)/12)+1&gt;'Lapse Table'!$A$11,E1908,VLOOKUP(INT((C1909-1)/12)+1,'Lapse Table'!$A$2:$B$11,2,FALSE))/12</f>
        <v>0</v>
      </c>
      <c r="F1909" s="5">
        <f t="shared" si="269"/>
        <v>-68.315127365619958</v>
      </c>
      <c r="G1909" s="6">
        <f t="shared" si="263"/>
        <v>4.9777500000000002E-2</v>
      </c>
      <c r="H1909" s="6">
        <f t="shared" si="264"/>
        <v>0</v>
      </c>
      <c r="I1909" s="7">
        <f t="shared" si="265"/>
        <v>-2277.1709121873319</v>
      </c>
      <c r="J1909" s="8">
        <f t="shared" si="266"/>
        <v>49777.5</v>
      </c>
      <c r="K1909" s="7">
        <f t="shared" si="267"/>
        <v>-52054.670912187328</v>
      </c>
      <c r="L1909" s="4">
        <f>IF(A1909&gt;'Yield Curve'!A2523,L1908,(1+VLOOKUP(A1909,'Yield Curve'!A1902:B2524,2,FALSE))^(1/12)-1)</f>
        <v>7.9741404289037643E-3</v>
      </c>
      <c r="M1909" s="5">
        <f t="shared" si="268"/>
        <v>-1.4426749736718801E-2</v>
      </c>
    </row>
    <row r="1910" spans="1:13" x14ac:dyDescent="0.25">
      <c r="A1910" s="4">
        <v>1902</v>
      </c>
      <c r="B1910" s="4">
        <f t="shared" si="261"/>
        <v>203</v>
      </c>
      <c r="C1910" s="4">
        <f t="shared" si="262"/>
        <v>1917</v>
      </c>
      <c r="D1910" s="4">
        <f>IF(B1910&gt;'Mortality Table'!$A$118,D1909,VLOOKUP(B1910,'Mortality Table'!$A$2:$B$118,2,FALSE))</f>
        <v>0.59733000000000003</v>
      </c>
      <c r="E1910" s="4">
        <f>IF(INT((C1910-1)/12)+1&gt;'Lapse Table'!$A$11,E1909,VLOOKUP(INT((C1910-1)/12)+1,'Lapse Table'!$A$2:$B$11,2,FALSE))/12</f>
        <v>0</v>
      </c>
      <c r="F1910" s="5">
        <f t="shared" si="269"/>
        <v>-68.364904865619962</v>
      </c>
      <c r="G1910" s="6">
        <f t="shared" si="263"/>
        <v>4.9777500000000002E-2</v>
      </c>
      <c r="H1910" s="6">
        <f t="shared" si="264"/>
        <v>0</v>
      </c>
      <c r="I1910" s="7">
        <f t="shared" si="265"/>
        <v>-2278.830162187332</v>
      </c>
      <c r="J1910" s="8">
        <f t="shared" si="266"/>
        <v>49777.5</v>
      </c>
      <c r="K1910" s="7">
        <f t="shared" si="267"/>
        <v>-52056.330162187332</v>
      </c>
      <c r="L1910" s="4">
        <f>IF(A1910&gt;'Yield Curve'!A2524,L1909,(1+VLOOKUP(A1910,'Yield Curve'!A1903:B2525,2,FALSE))^(1/12)-1)</f>
        <v>7.9741404289037643E-3</v>
      </c>
      <c r="M1910" s="5">
        <f t="shared" si="268"/>
        <v>-1.4313075120428013E-2</v>
      </c>
    </row>
    <row r="1911" spans="1:13" x14ac:dyDescent="0.25">
      <c r="A1911" s="4">
        <v>1903</v>
      </c>
      <c r="B1911" s="4">
        <f t="shared" si="261"/>
        <v>203</v>
      </c>
      <c r="C1911" s="4">
        <f t="shared" si="262"/>
        <v>1918</v>
      </c>
      <c r="D1911" s="4">
        <f>IF(B1911&gt;'Mortality Table'!$A$118,D1910,VLOOKUP(B1911,'Mortality Table'!$A$2:$B$118,2,FALSE))</f>
        <v>0.59733000000000003</v>
      </c>
      <c r="E1911" s="4">
        <f>IF(INT((C1911-1)/12)+1&gt;'Lapse Table'!$A$11,E1910,VLOOKUP(INT((C1911-1)/12)+1,'Lapse Table'!$A$2:$B$11,2,FALSE))/12</f>
        <v>0</v>
      </c>
      <c r="F1911" s="5">
        <f t="shared" si="269"/>
        <v>-68.414682365619967</v>
      </c>
      <c r="G1911" s="6">
        <f t="shared" si="263"/>
        <v>4.9777500000000002E-2</v>
      </c>
      <c r="H1911" s="6">
        <f t="shared" si="264"/>
        <v>0</v>
      </c>
      <c r="I1911" s="7">
        <f t="shared" si="265"/>
        <v>-2280.4894121873322</v>
      </c>
      <c r="J1911" s="8">
        <f t="shared" si="266"/>
        <v>49777.5</v>
      </c>
      <c r="K1911" s="7">
        <f t="shared" si="267"/>
        <v>-52057.989412187329</v>
      </c>
      <c r="L1911" s="4">
        <f>IF(A1911&gt;'Yield Curve'!A2525,L1910,(1+VLOOKUP(A1911,'Yield Curve'!A1904:B2526,2,FALSE))^(1/12)-1)</f>
        <v>7.9741404289037643E-3</v>
      </c>
      <c r="M1911" s="5">
        <f t="shared" si="268"/>
        <v>-1.4200296181298805E-2</v>
      </c>
    </row>
    <row r="1912" spans="1:13" x14ac:dyDescent="0.25">
      <c r="A1912" s="4">
        <v>1904</v>
      </c>
      <c r="B1912" s="4">
        <f t="shared" si="261"/>
        <v>203</v>
      </c>
      <c r="C1912" s="4">
        <f t="shared" si="262"/>
        <v>1919</v>
      </c>
      <c r="D1912" s="4">
        <f>IF(B1912&gt;'Mortality Table'!$A$118,D1911,VLOOKUP(B1912,'Mortality Table'!$A$2:$B$118,2,FALSE))</f>
        <v>0.59733000000000003</v>
      </c>
      <c r="E1912" s="4">
        <f>IF(INT((C1912-1)/12)+1&gt;'Lapse Table'!$A$11,E1911,VLOOKUP(INT((C1912-1)/12)+1,'Lapse Table'!$A$2:$B$11,2,FALSE))/12</f>
        <v>0</v>
      </c>
      <c r="F1912" s="5">
        <f t="shared" si="269"/>
        <v>-68.464459865619972</v>
      </c>
      <c r="G1912" s="6">
        <f t="shared" si="263"/>
        <v>4.9777500000000002E-2</v>
      </c>
      <c r="H1912" s="6">
        <f t="shared" si="264"/>
        <v>0</v>
      </c>
      <c r="I1912" s="7">
        <f t="shared" si="265"/>
        <v>-2282.1486621873323</v>
      </c>
      <c r="J1912" s="8">
        <f t="shared" si="266"/>
        <v>49777.5</v>
      </c>
      <c r="K1912" s="7">
        <f t="shared" si="267"/>
        <v>-52059.648662187334</v>
      </c>
      <c r="L1912" s="4">
        <f>IF(A1912&gt;'Yield Curve'!A2526,L1911,(1+VLOOKUP(A1912,'Yield Curve'!A1905:B2527,2,FALSE))^(1/12)-1)</f>
        <v>7.9741404289037643E-3</v>
      </c>
      <c r="M1912" s="5">
        <f t="shared" si="268"/>
        <v>-1.4088405862130749E-2</v>
      </c>
    </row>
    <row r="1913" spans="1:13" x14ac:dyDescent="0.25">
      <c r="A1913" s="4">
        <v>1905</v>
      </c>
      <c r="B1913" s="4">
        <f t="shared" si="261"/>
        <v>203</v>
      </c>
      <c r="C1913" s="4">
        <f t="shared" si="262"/>
        <v>1920</v>
      </c>
      <c r="D1913" s="4">
        <f>IF(B1913&gt;'Mortality Table'!$A$118,D1912,VLOOKUP(B1913,'Mortality Table'!$A$2:$B$118,2,FALSE))</f>
        <v>0.59733000000000003</v>
      </c>
      <c r="E1913" s="4">
        <f>IF(INT((C1913-1)/12)+1&gt;'Lapse Table'!$A$11,E1912,VLOOKUP(INT((C1913-1)/12)+1,'Lapse Table'!$A$2:$B$11,2,FALSE))/12</f>
        <v>0</v>
      </c>
      <c r="F1913" s="5">
        <f t="shared" si="269"/>
        <v>-68.514237365619977</v>
      </c>
      <c r="G1913" s="6">
        <f t="shared" si="263"/>
        <v>4.9777500000000002E-2</v>
      </c>
      <c r="H1913" s="6">
        <f t="shared" si="264"/>
        <v>0</v>
      </c>
      <c r="I1913" s="7">
        <f t="shared" si="265"/>
        <v>-2283.8079121873325</v>
      </c>
      <c r="J1913" s="8">
        <f t="shared" si="266"/>
        <v>49777.5</v>
      </c>
      <c r="K1913" s="7">
        <f t="shared" si="267"/>
        <v>-52061.307912187331</v>
      </c>
      <c r="L1913" s="4">
        <f>IF(A1913&gt;'Yield Curve'!A2527,L1912,(1+VLOOKUP(A1913,'Yield Curve'!A1906:B2528,2,FALSE))^(1/12)-1)</f>
        <v>7.9741404289037643E-3</v>
      </c>
      <c r="M1913" s="5">
        <f t="shared" si="268"/>
        <v>-1.3977397161327444E-2</v>
      </c>
    </row>
    <row r="1914" spans="1:13" x14ac:dyDescent="0.25">
      <c r="A1914" s="4">
        <v>1906</v>
      </c>
      <c r="B1914" s="4">
        <f t="shared" si="261"/>
        <v>203</v>
      </c>
      <c r="C1914" s="4">
        <f t="shared" si="262"/>
        <v>1921</v>
      </c>
      <c r="D1914" s="4">
        <f>IF(B1914&gt;'Mortality Table'!$A$118,D1913,VLOOKUP(B1914,'Mortality Table'!$A$2:$B$118,2,FALSE))</f>
        <v>0.59733000000000003</v>
      </c>
      <c r="E1914" s="4">
        <f>IF(INT((C1914-1)/12)+1&gt;'Lapse Table'!$A$11,E1913,VLOOKUP(INT((C1914-1)/12)+1,'Lapse Table'!$A$2:$B$11,2,FALSE))/12</f>
        <v>0</v>
      </c>
      <c r="F1914" s="5">
        <f t="shared" si="269"/>
        <v>-68.564014865619981</v>
      </c>
      <c r="G1914" s="6">
        <f t="shared" si="263"/>
        <v>4.9777500000000002E-2</v>
      </c>
      <c r="H1914" s="6">
        <f t="shared" si="264"/>
        <v>0</v>
      </c>
      <c r="I1914" s="7">
        <f t="shared" si="265"/>
        <v>-2285.4671621873326</v>
      </c>
      <c r="J1914" s="8">
        <f t="shared" si="266"/>
        <v>49777.5</v>
      </c>
      <c r="K1914" s="7">
        <f t="shared" si="267"/>
        <v>-52062.967162187335</v>
      </c>
      <c r="L1914" s="4">
        <f>IF(A1914&gt;'Yield Curve'!A2528,L1913,(1+VLOOKUP(A1914,'Yield Curve'!A1907:B2529,2,FALSE))^(1/12)-1)</f>
        <v>7.9741404289037643E-3</v>
      </c>
      <c r="M1914" s="5">
        <f t="shared" si="268"/>
        <v>-1.3867263132458417E-2</v>
      </c>
    </row>
    <row r="1915" spans="1:13" x14ac:dyDescent="0.25">
      <c r="A1915" s="4">
        <v>1907</v>
      </c>
      <c r="B1915" s="4">
        <f t="shared" si="261"/>
        <v>203</v>
      </c>
      <c r="C1915" s="4">
        <f t="shared" si="262"/>
        <v>1922</v>
      </c>
      <c r="D1915" s="4">
        <f>IF(B1915&gt;'Mortality Table'!$A$118,D1914,VLOOKUP(B1915,'Mortality Table'!$A$2:$B$118,2,FALSE))</f>
        <v>0.59733000000000003</v>
      </c>
      <c r="E1915" s="4">
        <f>IF(INT((C1915-1)/12)+1&gt;'Lapse Table'!$A$11,E1914,VLOOKUP(INT((C1915-1)/12)+1,'Lapse Table'!$A$2:$B$11,2,FALSE))/12</f>
        <v>0</v>
      </c>
      <c r="F1915" s="5">
        <f t="shared" si="269"/>
        <v>-68.613792365619986</v>
      </c>
      <c r="G1915" s="6">
        <f t="shared" si="263"/>
        <v>4.9777500000000002E-2</v>
      </c>
      <c r="H1915" s="6">
        <f t="shared" si="264"/>
        <v>0</v>
      </c>
      <c r="I1915" s="7">
        <f t="shared" si="265"/>
        <v>-2287.1264121873328</v>
      </c>
      <c r="J1915" s="8">
        <f t="shared" si="266"/>
        <v>49777.5</v>
      </c>
      <c r="K1915" s="7">
        <f t="shared" si="267"/>
        <v>-52064.626412187332</v>
      </c>
      <c r="L1915" s="4">
        <f>IF(A1915&gt;'Yield Curve'!A2529,L1914,(1+VLOOKUP(A1915,'Yield Curve'!A1908:B2530,2,FALSE))^(1/12)-1)</f>
        <v>7.9741404289037643E-3</v>
      </c>
      <c r="M1915" s="5">
        <f t="shared" si="268"/>
        <v>-1.3757996883824484E-2</v>
      </c>
    </row>
    <row r="1916" spans="1:13" x14ac:dyDescent="0.25">
      <c r="A1916" s="4">
        <v>1908</v>
      </c>
      <c r="B1916" s="4">
        <f t="shared" si="261"/>
        <v>204</v>
      </c>
      <c r="C1916" s="4">
        <f t="shared" si="262"/>
        <v>1923</v>
      </c>
      <c r="D1916" s="4">
        <f>IF(B1916&gt;'Mortality Table'!$A$118,D1915,VLOOKUP(B1916,'Mortality Table'!$A$2:$B$118,2,FALSE))</f>
        <v>0.59733000000000003</v>
      </c>
      <c r="E1916" s="4">
        <f>IF(INT((C1916-1)/12)+1&gt;'Lapse Table'!$A$11,E1915,VLOOKUP(INT((C1916-1)/12)+1,'Lapse Table'!$A$2:$B$11,2,FALSE))/12</f>
        <v>0</v>
      </c>
      <c r="F1916" s="5">
        <f t="shared" si="269"/>
        <v>-68.663569865619991</v>
      </c>
      <c r="G1916" s="6">
        <f t="shared" si="263"/>
        <v>4.9777500000000002E-2</v>
      </c>
      <c r="H1916" s="6">
        <f t="shared" si="264"/>
        <v>0</v>
      </c>
      <c r="I1916" s="7">
        <f t="shared" si="265"/>
        <v>-2288.7856621873329</v>
      </c>
      <c r="J1916" s="8">
        <f t="shared" si="266"/>
        <v>49777.5</v>
      </c>
      <c r="K1916" s="7">
        <f t="shared" si="267"/>
        <v>-52066.285662187336</v>
      </c>
      <c r="L1916" s="4">
        <f>IF(A1916&gt;'Yield Curve'!A2530,L1915,(1+VLOOKUP(A1916,'Yield Curve'!A1909:B2531,2,FALSE))^(1/12)-1)</f>
        <v>7.9741404289037643E-3</v>
      </c>
      <c r="M1916" s="5">
        <f t="shared" si="268"/>
        <v>-1.3649591578026522E-2</v>
      </c>
    </row>
    <row r="1917" spans="1:13" x14ac:dyDescent="0.25">
      <c r="A1917" s="4">
        <v>1909</v>
      </c>
      <c r="B1917" s="4">
        <f t="shared" si="261"/>
        <v>204</v>
      </c>
      <c r="C1917" s="4">
        <f t="shared" si="262"/>
        <v>1924</v>
      </c>
      <c r="D1917" s="4">
        <f>IF(B1917&gt;'Mortality Table'!$A$118,D1916,VLOOKUP(B1917,'Mortality Table'!$A$2:$B$118,2,FALSE))</f>
        <v>0.59733000000000003</v>
      </c>
      <c r="E1917" s="4">
        <f>IF(INT((C1917-1)/12)+1&gt;'Lapse Table'!$A$11,E1916,VLOOKUP(INT((C1917-1)/12)+1,'Lapse Table'!$A$2:$B$11,2,FALSE))/12</f>
        <v>0</v>
      </c>
      <c r="F1917" s="5">
        <f t="shared" si="269"/>
        <v>-68.713347365619995</v>
      </c>
      <c r="G1917" s="6">
        <f t="shared" si="263"/>
        <v>4.9777500000000002E-2</v>
      </c>
      <c r="H1917" s="6">
        <f t="shared" si="264"/>
        <v>0</v>
      </c>
      <c r="I1917" s="7">
        <f t="shared" si="265"/>
        <v>-2290.4449121873331</v>
      </c>
      <c r="J1917" s="8">
        <f t="shared" si="266"/>
        <v>49777.5</v>
      </c>
      <c r="K1917" s="7">
        <f t="shared" si="267"/>
        <v>-52067.944912187333</v>
      </c>
      <c r="L1917" s="4">
        <f>IF(A1917&gt;'Yield Curve'!A2531,L1916,(1+VLOOKUP(A1917,'Yield Curve'!A1910:B2532,2,FALSE))^(1/12)-1)</f>
        <v>7.9741404289037643E-3</v>
      </c>
      <c r="M1917" s="5">
        <f t="shared" si="268"/>
        <v>-1.3542040431537637E-2</v>
      </c>
    </row>
    <row r="1918" spans="1:13" x14ac:dyDescent="0.25">
      <c r="A1918" s="4">
        <v>1910</v>
      </c>
      <c r="B1918" s="4">
        <f t="shared" si="261"/>
        <v>204</v>
      </c>
      <c r="C1918" s="4">
        <f t="shared" si="262"/>
        <v>1925</v>
      </c>
      <c r="D1918" s="4">
        <f>IF(B1918&gt;'Mortality Table'!$A$118,D1917,VLOOKUP(B1918,'Mortality Table'!$A$2:$B$118,2,FALSE))</f>
        <v>0.59733000000000003</v>
      </c>
      <c r="E1918" s="4">
        <f>IF(INT((C1918-1)/12)+1&gt;'Lapse Table'!$A$11,E1917,VLOOKUP(INT((C1918-1)/12)+1,'Lapse Table'!$A$2:$B$11,2,FALSE))/12</f>
        <v>0</v>
      </c>
      <c r="F1918" s="5">
        <f t="shared" si="269"/>
        <v>-68.76312486562</v>
      </c>
      <c r="G1918" s="6">
        <f t="shared" si="263"/>
        <v>4.9777500000000002E-2</v>
      </c>
      <c r="H1918" s="6">
        <f t="shared" si="264"/>
        <v>0</v>
      </c>
      <c r="I1918" s="7">
        <f t="shared" si="265"/>
        <v>-2292.1041621873333</v>
      </c>
      <c r="J1918" s="8">
        <f t="shared" si="266"/>
        <v>49777.5</v>
      </c>
      <c r="K1918" s="7">
        <f t="shared" si="267"/>
        <v>-52069.60416218733</v>
      </c>
      <c r="L1918" s="4">
        <f>IF(A1918&gt;'Yield Curve'!A2532,L1917,(1+VLOOKUP(A1918,'Yield Curve'!A1911:B2533,2,FALSE))^(1/12)-1)</f>
        <v>7.9741404289037643E-3</v>
      </c>
      <c r="M1918" s="5">
        <f t="shared" si="268"/>
        <v>-1.3435336714278743E-2</v>
      </c>
    </row>
    <row r="1919" spans="1:13" x14ac:dyDescent="0.25">
      <c r="A1919" s="4">
        <v>1911</v>
      </c>
      <c r="B1919" s="4">
        <f t="shared" si="261"/>
        <v>204</v>
      </c>
      <c r="C1919" s="4">
        <f t="shared" si="262"/>
        <v>1926</v>
      </c>
      <c r="D1919" s="4">
        <f>IF(B1919&gt;'Mortality Table'!$A$118,D1918,VLOOKUP(B1919,'Mortality Table'!$A$2:$B$118,2,FALSE))</f>
        <v>0.59733000000000003</v>
      </c>
      <c r="E1919" s="4">
        <f>IF(INT((C1919-1)/12)+1&gt;'Lapse Table'!$A$11,E1918,VLOOKUP(INT((C1919-1)/12)+1,'Lapse Table'!$A$2:$B$11,2,FALSE))/12</f>
        <v>0</v>
      </c>
      <c r="F1919" s="5">
        <f t="shared" si="269"/>
        <v>-68.812902365620005</v>
      </c>
      <c r="G1919" s="6">
        <f t="shared" si="263"/>
        <v>4.9777500000000002E-2</v>
      </c>
      <c r="H1919" s="6">
        <f t="shared" si="264"/>
        <v>0</v>
      </c>
      <c r="I1919" s="7">
        <f t="shared" si="265"/>
        <v>-2293.7634121873334</v>
      </c>
      <c r="J1919" s="8">
        <f t="shared" si="266"/>
        <v>49777.5</v>
      </c>
      <c r="K1919" s="7">
        <f t="shared" si="267"/>
        <v>-52071.263412187334</v>
      </c>
      <c r="L1919" s="4">
        <f>IF(A1919&gt;'Yield Curve'!A2533,L1918,(1+VLOOKUP(A1919,'Yield Curve'!A1912:B2534,2,FALSE))^(1/12)-1)</f>
        <v>7.9741404289037643E-3</v>
      </c>
      <c r="M1919" s="5">
        <f t="shared" si="268"/>
        <v>-1.3329473749197383E-2</v>
      </c>
    </row>
    <row r="1920" spans="1:13" x14ac:dyDescent="0.25">
      <c r="A1920" s="4">
        <v>1912</v>
      </c>
      <c r="B1920" s="4">
        <f t="shared" si="261"/>
        <v>204</v>
      </c>
      <c r="C1920" s="4">
        <f t="shared" si="262"/>
        <v>1927</v>
      </c>
      <c r="D1920" s="4">
        <f>IF(B1920&gt;'Mortality Table'!$A$118,D1919,VLOOKUP(B1920,'Mortality Table'!$A$2:$B$118,2,FALSE))</f>
        <v>0.59733000000000003</v>
      </c>
      <c r="E1920" s="4">
        <f>IF(INT((C1920-1)/12)+1&gt;'Lapse Table'!$A$11,E1919,VLOOKUP(INT((C1920-1)/12)+1,'Lapse Table'!$A$2:$B$11,2,FALSE))/12</f>
        <v>0</v>
      </c>
      <c r="F1920" s="5">
        <f t="shared" si="269"/>
        <v>-68.862679865620009</v>
      </c>
      <c r="G1920" s="6">
        <f t="shared" si="263"/>
        <v>4.9777500000000002E-2</v>
      </c>
      <c r="H1920" s="6">
        <f t="shared" si="264"/>
        <v>0</v>
      </c>
      <c r="I1920" s="7">
        <f t="shared" si="265"/>
        <v>-2295.4226621873336</v>
      </c>
      <c r="J1920" s="8">
        <f t="shared" si="266"/>
        <v>49777.5</v>
      </c>
      <c r="K1920" s="7">
        <f t="shared" si="267"/>
        <v>-52072.922662187331</v>
      </c>
      <c r="L1920" s="4">
        <f>IF(A1920&gt;'Yield Curve'!A2534,L1919,(1+VLOOKUP(A1920,'Yield Curve'!A1913:B2535,2,FALSE))^(1/12)-1)</f>
        <v>7.9741404289037643E-3</v>
      </c>
      <c r="M1920" s="5">
        <f t="shared" si="268"/>
        <v>-1.3224444911850009E-2</v>
      </c>
    </row>
    <row r="1921" spans="1:13" x14ac:dyDescent="0.25">
      <c r="A1921" s="4">
        <v>1913</v>
      </c>
      <c r="B1921" s="4">
        <f t="shared" si="261"/>
        <v>204</v>
      </c>
      <c r="C1921" s="4">
        <f t="shared" si="262"/>
        <v>1928</v>
      </c>
      <c r="D1921" s="4">
        <f>IF(B1921&gt;'Mortality Table'!$A$118,D1920,VLOOKUP(B1921,'Mortality Table'!$A$2:$B$118,2,FALSE))</f>
        <v>0.59733000000000003</v>
      </c>
      <c r="E1921" s="4">
        <f>IF(INT((C1921-1)/12)+1&gt;'Lapse Table'!$A$11,E1920,VLOOKUP(INT((C1921-1)/12)+1,'Lapse Table'!$A$2:$B$11,2,FALSE))/12</f>
        <v>0</v>
      </c>
      <c r="F1921" s="5">
        <f t="shared" si="269"/>
        <v>-68.912457365620014</v>
      </c>
      <c r="G1921" s="6">
        <f t="shared" si="263"/>
        <v>4.9777500000000002E-2</v>
      </c>
      <c r="H1921" s="6">
        <f t="shared" si="264"/>
        <v>0</v>
      </c>
      <c r="I1921" s="7">
        <f t="shared" si="265"/>
        <v>-2297.0819121873337</v>
      </c>
      <c r="J1921" s="8">
        <f t="shared" si="266"/>
        <v>49777.5</v>
      </c>
      <c r="K1921" s="7">
        <f t="shared" si="267"/>
        <v>-52074.581912187336</v>
      </c>
      <c r="L1921" s="4">
        <f>IF(A1921&gt;'Yield Curve'!A2535,L1920,(1+VLOOKUP(A1921,'Yield Curve'!A1914:B2536,2,FALSE))^(1/12)-1)</f>
        <v>7.9741404289037643E-3</v>
      </c>
      <c r="M1921" s="5">
        <f t="shared" si="268"/>
        <v>-1.3120243629987439E-2</v>
      </c>
    </row>
    <row r="1922" spans="1:13" x14ac:dyDescent="0.25">
      <c r="A1922" s="4">
        <v>1914</v>
      </c>
      <c r="B1922" s="4">
        <f t="shared" si="261"/>
        <v>204</v>
      </c>
      <c r="C1922" s="4">
        <f t="shared" si="262"/>
        <v>1929</v>
      </c>
      <c r="D1922" s="4">
        <f>IF(B1922&gt;'Mortality Table'!$A$118,D1921,VLOOKUP(B1922,'Mortality Table'!$A$2:$B$118,2,FALSE))</f>
        <v>0.59733000000000003</v>
      </c>
      <c r="E1922" s="4">
        <f>IF(INT((C1922-1)/12)+1&gt;'Lapse Table'!$A$11,E1921,VLOOKUP(INT((C1922-1)/12)+1,'Lapse Table'!$A$2:$B$11,2,FALSE))/12</f>
        <v>0</v>
      </c>
      <c r="F1922" s="5">
        <f t="shared" si="269"/>
        <v>-68.962234865620019</v>
      </c>
      <c r="G1922" s="6">
        <f t="shared" si="263"/>
        <v>4.9777500000000002E-2</v>
      </c>
      <c r="H1922" s="6">
        <f t="shared" si="264"/>
        <v>0</v>
      </c>
      <c r="I1922" s="7">
        <f t="shared" si="265"/>
        <v>-2298.7411621873339</v>
      </c>
      <c r="J1922" s="8">
        <f t="shared" si="266"/>
        <v>49777.5</v>
      </c>
      <c r="K1922" s="7">
        <f t="shared" si="267"/>
        <v>-52076.241162187333</v>
      </c>
      <c r="L1922" s="4">
        <f>IF(A1922&gt;'Yield Curve'!A2536,L1921,(1+VLOOKUP(A1922,'Yield Curve'!A1915:B2537,2,FALSE))^(1/12)-1)</f>
        <v>7.9741404289037643E-3</v>
      </c>
      <c r="M1922" s="5">
        <f t="shared" si="268"/>
        <v>-1.3016863383143623E-2</v>
      </c>
    </row>
    <row r="1923" spans="1:13" x14ac:dyDescent="0.25">
      <c r="A1923" s="4">
        <v>1915</v>
      </c>
      <c r="B1923" s="4">
        <f t="shared" si="261"/>
        <v>204</v>
      </c>
      <c r="C1923" s="4">
        <f t="shared" si="262"/>
        <v>1930</v>
      </c>
      <c r="D1923" s="4">
        <f>IF(B1923&gt;'Mortality Table'!$A$118,D1922,VLOOKUP(B1923,'Mortality Table'!$A$2:$B$118,2,FALSE))</f>
        <v>0.59733000000000003</v>
      </c>
      <c r="E1923" s="4">
        <f>IF(INT((C1923-1)/12)+1&gt;'Lapse Table'!$A$11,E1922,VLOOKUP(INT((C1923-1)/12)+1,'Lapse Table'!$A$2:$B$11,2,FALSE))/12</f>
        <v>0</v>
      </c>
      <c r="F1923" s="5">
        <f t="shared" si="269"/>
        <v>-69.012012365620024</v>
      </c>
      <c r="G1923" s="6">
        <f t="shared" si="263"/>
        <v>4.9777500000000002E-2</v>
      </c>
      <c r="H1923" s="6">
        <f t="shared" si="264"/>
        <v>0</v>
      </c>
      <c r="I1923" s="7">
        <f t="shared" si="265"/>
        <v>-2300.400412187334</v>
      </c>
      <c r="J1923" s="8">
        <f t="shared" si="266"/>
        <v>49777.5</v>
      </c>
      <c r="K1923" s="7">
        <f t="shared" si="267"/>
        <v>-52077.900412187337</v>
      </c>
      <c r="L1923" s="4">
        <f>IF(A1923&gt;'Yield Curve'!A2537,L1922,(1+VLOOKUP(A1923,'Yield Curve'!A1916:B2538,2,FALSE))^(1/12)-1)</f>
        <v>7.9741404289037643E-3</v>
      </c>
      <c r="M1923" s="5">
        <f t="shared" si="268"/>
        <v>-1.2914297702227661E-2</v>
      </c>
    </row>
    <row r="1924" spans="1:13" x14ac:dyDescent="0.25">
      <c r="A1924" s="4">
        <v>1916</v>
      </c>
      <c r="B1924" s="4">
        <f t="shared" si="261"/>
        <v>204</v>
      </c>
      <c r="C1924" s="4">
        <f t="shared" si="262"/>
        <v>1931</v>
      </c>
      <c r="D1924" s="4">
        <f>IF(B1924&gt;'Mortality Table'!$A$118,D1923,VLOOKUP(B1924,'Mortality Table'!$A$2:$B$118,2,FALSE))</f>
        <v>0.59733000000000003</v>
      </c>
      <c r="E1924" s="4">
        <f>IF(INT((C1924-1)/12)+1&gt;'Lapse Table'!$A$11,E1923,VLOOKUP(INT((C1924-1)/12)+1,'Lapse Table'!$A$2:$B$11,2,FALSE))/12</f>
        <v>0</v>
      </c>
      <c r="F1924" s="5">
        <f t="shared" si="269"/>
        <v>-69.061789865620028</v>
      </c>
      <c r="G1924" s="6">
        <f t="shared" si="263"/>
        <v>4.9777500000000002E-2</v>
      </c>
      <c r="H1924" s="6">
        <f t="shared" si="264"/>
        <v>0</v>
      </c>
      <c r="I1924" s="7">
        <f t="shared" si="265"/>
        <v>-2302.0596621873342</v>
      </c>
      <c r="J1924" s="8">
        <f t="shared" si="266"/>
        <v>49777.5</v>
      </c>
      <c r="K1924" s="7">
        <f t="shared" si="267"/>
        <v>-52079.559662187334</v>
      </c>
      <c r="L1924" s="4">
        <f>IF(A1924&gt;'Yield Curve'!A2538,L1923,(1+VLOOKUP(A1924,'Yield Curve'!A1917:B2539,2,FALSE))^(1/12)-1)</f>
        <v>7.9741404289037643E-3</v>
      </c>
      <c r="M1924" s="5">
        <f t="shared" si="268"/>
        <v>-1.2812540169119016E-2</v>
      </c>
    </row>
    <row r="1925" spans="1:13" x14ac:dyDescent="0.25">
      <c r="A1925" s="4">
        <v>1917</v>
      </c>
      <c r="B1925" s="4">
        <f t="shared" si="261"/>
        <v>204</v>
      </c>
      <c r="C1925" s="4">
        <f t="shared" si="262"/>
        <v>1932</v>
      </c>
      <c r="D1925" s="4">
        <f>IF(B1925&gt;'Mortality Table'!$A$118,D1924,VLOOKUP(B1925,'Mortality Table'!$A$2:$B$118,2,FALSE))</f>
        <v>0.59733000000000003</v>
      </c>
      <c r="E1925" s="4">
        <f>IF(INT((C1925-1)/12)+1&gt;'Lapse Table'!$A$11,E1924,VLOOKUP(INT((C1925-1)/12)+1,'Lapse Table'!$A$2:$B$11,2,FALSE))/12</f>
        <v>0</v>
      </c>
      <c r="F1925" s="5">
        <f t="shared" si="269"/>
        <v>-69.111567365620033</v>
      </c>
      <c r="G1925" s="6">
        <f t="shared" si="263"/>
        <v>4.9777500000000002E-2</v>
      </c>
      <c r="H1925" s="6">
        <f t="shared" si="264"/>
        <v>0</v>
      </c>
      <c r="I1925" s="7">
        <f t="shared" si="265"/>
        <v>-2303.7189121873344</v>
      </c>
      <c r="J1925" s="8">
        <f t="shared" si="266"/>
        <v>49777.5</v>
      </c>
      <c r="K1925" s="7">
        <f t="shared" si="267"/>
        <v>-52081.218912187338</v>
      </c>
      <c r="L1925" s="4">
        <f>IF(A1925&gt;'Yield Curve'!A2539,L1924,(1+VLOOKUP(A1925,'Yield Curve'!A1918:B2540,2,FALSE))^(1/12)-1)</f>
        <v>7.9741404289037643E-3</v>
      </c>
      <c r="M1925" s="5">
        <f t="shared" si="268"/>
        <v>-1.2711584416265919E-2</v>
      </c>
    </row>
    <row r="1926" spans="1:13" x14ac:dyDescent="0.25">
      <c r="A1926" s="4">
        <v>1918</v>
      </c>
      <c r="B1926" s="4">
        <f t="shared" si="261"/>
        <v>204</v>
      </c>
      <c r="C1926" s="4">
        <f t="shared" si="262"/>
        <v>1933</v>
      </c>
      <c r="D1926" s="4">
        <f>IF(B1926&gt;'Mortality Table'!$A$118,D1925,VLOOKUP(B1926,'Mortality Table'!$A$2:$B$118,2,FALSE))</f>
        <v>0.59733000000000003</v>
      </c>
      <c r="E1926" s="4">
        <f>IF(INT((C1926-1)/12)+1&gt;'Lapse Table'!$A$11,E1925,VLOOKUP(INT((C1926-1)/12)+1,'Lapse Table'!$A$2:$B$11,2,FALSE))/12</f>
        <v>0</v>
      </c>
      <c r="F1926" s="5">
        <f t="shared" si="269"/>
        <v>-69.161344865620038</v>
      </c>
      <c r="G1926" s="6">
        <f t="shared" si="263"/>
        <v>4.9777500000000002E-2</v>
      </c>
      <c r="H1926" s="6">
        <f t="shared" si="264"/>
        <v>0</v>
      </c>
      <c r="I1926" s="7">
        <f t="shared" si="265"/>
        <v>-2305.3781621873345</v>
      </c>
      <c r="J1926" s="8">
        <f t="shared" si="266"/>
        <v>49777.5</v>
      </c>
      <c r="K1926" s="7">
        <f t="shared" si="267"/>
        <v>-52082.878162187335</v>
      </c>
      <c r="L1926" s="4">
        <f>IF(A1926&gt;'Yield Curve'!A2540,L1925,(1+VLOOKUP(A1926,'Yield Curve'!A1919:B2541,2,FALSE))^(1/12)-1)</f>
        <v>7.9741404289037643E-3</v>
      </c>
      <c r="M1926" s="5">
        <f t="shared" si="268"/>
        <v>-1.2611424126286949E-2</v>
      </c>
    </row>
    <row r="1927" spans="1:13" x14ac:dyDescent="0.25">
      <c r="A1927" s="4">
        <v>1919</v>
      </c>
      <c r="B1927" s="4">
        <f t="shared" si="261"/>
        <v>204</v>
      </c>
      <c r="C1927" s="4">
        <f t="shared" si="262"/>
        <v>1934</v>
      </c>
      <c r="D1927" s="4">
        <f>IF(B1927&gt;'Mortality Table'!$A$118,D1926,VLOOKUP(B1927,'Mortality Table'!$A$2:$B$118,2,FALSE))</f>
        <v>0.59733000000000003</v>
      </c>
      <c r="E1927" s="4">
        <f>IF(INT((C1927-1)/12)+1&gt;'Lapse Table'!$A$11,E1926,VLOOKUP(INT((C1927-1)/12)+1,'Lapse Table'!$A$2:$B$11,2,FALSE))/12</f>
        <v>0</v>
      </c>
      <c r="F1927" s="5">
        <f t="shared" si="269"/>
        <v>-69.211122365620042</v>
      </c>
      <c r="G1927" s="6">
        <f t="shared" si="263"/>
        <v>4.9777500000000002E-2</v>
      </c>
      <c r="H1927" s="6">
        <f t="shared" si="264"/>
        <v>0</v>
      </c>
      <c r="I1927" s="7">
        <f t="shared" si="265"/>
        <v>-2307.0374121873347</v>
      </c>
      <c r="J1927" s="8">
        <f t="shared" si="266"/>
        <v>49777.5</v>
      </c>
      <c r="K1927" s="7">
        <f t="shared" si="267"/>
        <v>-52084.537412187332</v>
      </c>
      <c r="L1927" s="4">
        <f>IF(A1927&gt;'Yield Curve'!A2541,L1926,(1+VLOOKUP(A1927,'Yield Curve'!A1920:B2542,2,FALSE))^(1/12)-1)</f>
        <v>7.9741404289037643E-3</v>
      </c>
      <c r="M1927" s="5">
        <f t="shared" si="268"/>
        <v>-1.2512053031575732E-2</v>
      </c>
    </row>
    <row r="1928" spans="1:13" x14ac:dyDescent="0.25">
      <c r="A1928" s="4">
        <v>1920</v>
      </c>
      <c r="B1928" s="4">
        <f t="shared" si="261"/>
        <v>205</v>
      </c>
      <c r="C1928" s="4">
        <f t="shared" si="262"/>
        <v>1935</v>
      </c>
      <c r="D1928" s="4">
        <f>IF(B1928&gt;'Mortality Table'!$A$118,D1927,VLOOKUP(B1928,'Mortality Table'!$A$2:$B$118,2,FALSE))</f>
        <v>0.59733000000000003</v>
      </c>
      <c r="E1928" s="4">
        <f>IF(INT((C1928-1)/12)+1&gt;'Lapse Table'!$A$11,E1927,VLOOKUP(INT((C1928-1)/12)+1,'Lapse Table'!$A$2:$B$11,2,FALSE))/12</f>
        <v>0</v>
      </c>
      <c r="F1928" s="5">
        <f t="shared" si="269"/>
        <v>-69.260899865620047</v>
      </c>
      <c r="G1928" s="6">
        <f t="shared" si="263"/>
        <v>4.9777500000000002E-2</v>
      </c>
      <c r="H1928" s="6">
        <f t="shared" si="264"/>
        <v>0</v>
      </c>
      <c r="I1928" s="7">
        <f t="shared" si="265"/>
        <v>-2308.6966621873348</v>
      </c>
      <c r="J1928" s="8">
        <f t="shared" si="266"/>
        <v>49777.5</v>
      </c>
      <c r="K1928" s="7">
        <f t="shared" si="267"/>
        <v>-52086.196662187336</v>
      </c>
      <c r="L1928" s="4">
        <f>IF(A1928&gt;'Yield Curve'!A2542,L1927,(1+VLOOKUP(A1928,'Yield Curve'!A1921:B2543,2,FALSE))^(1/12)-1)</f>
        <v>7.9741404289037643E-3</v>
      </c>
      <c r="M1928" s="5">
        <f t="shared" si="268"/>
        <v>-1.2413464913908771E-2</v>
      </c>
    </row>
    <row r="1929" spans="1:13" x14ac:dyDescent="0.25">
      <c r="A1929" s="4">
        <v>1921</v>
      </c>
      <c r="B1929" s="4">
        <f t="shared" si="261"/>
        <v>205</v>
      </c>
      <c r="C1929" s="4">
        <f t="shared" si="262"/>
        <v>1936</v>
      </c>
      <c r="D1929" s="4">
        <f>IF(B1929&gt;'Mortality Table'!$A$118,D1928,VLOOKUP(B1929,'Mortality Table'!$A$2:$B$118,2,FALSE))</f>
        <v>0.59733000000000003</v>
      </c>
      <c r="E1929" s="4">
        <f>IF(INT((C1929-1)/12)+1&gt;'Lapse Table'!$A$11,E1928,VLOOKUP(INT((C1929-1)/12)+1,'Lapse Table'!$A$2:$B$11,2,FALSE))/12</f>
        <v>0</v>
      </c>
      <c r="F1929" s="5">
        <f t="shared" si="269"/>
        <v>-69.310677365620052</v>
      </c>
      <c r="G1929" s="6">
        <f t="shared" si="263"/>
        <v>4.9777500000000002E-2</v>
      </c>
      <c r="H1929" s="6">
        <f t="shared" si="264"/>
        <v>0</v>
      </c>
      <c r="I1929" s="7">
        <f t="shared" si="265"/>
        <v>-2310.355912187335</v>
      </c>
      <c r="J1929" s="8">
        <f t="shared" si="266"/>
        <v>49777.5</v>
      </c>
      <c r="K1929" s="7">
        <f t="shared" si="267"/>
        <v>-52087.855912187333</v>
      </c>
      <c r="L1929" s="4">
        <f>IF(A1929&gt;'Yield Curve'!A2543,L1928,(1+VLOOKUP(A1929,'Yield Curve'!A1922:B2544,2,FALSE))^(1/12)-1)</f>
        <v>7.9741404289037643E-3</v>
      </c>
      <c r="M1929" s="5">
        <f t="shared" si="268"/>
        <v>-1.2315653604056374E-2</v>
      </c>
    </row>
    <row r="1930" spans="1:13" x14ac:dyDescent="0.25">
      <c r="A1930" s="4">
        <v>1922</v>
      </c>
      <c r="B1930" s="4">
        <f t="shared" ref="B1930:B1993" si="270">INT($B$3+A1930/12)</f>
        <v>205</v>
      </c>
      <c r="C1930" s="4">
        <f t="shared" ref="C1930:C1993" si="271">$B$4+A1930</f>
        <v>1937</v>
      </c>
      <c r="D1930" s="4">
        <f>IF(B1930&gt;'Mortality Table'!$A$118,D1929,VLOOKUP(B1930,'Mortality Table'!$A$2:$B$118,2,FALSE))</f>
        <v>0.59733000000000003</v>
      </c>
      <c r="E1930" s="4">
        <f>IF(INT((C1930-1)/12)+1&gt;'Lapse Table'!$A$11,E1929,VLOOKUP(INT((C1930-1)/12)+1,'Lapse Table'!$A$2:$B$11,2,FALSE))/12</f>
        <v>0</v>
      </c>
      <c r="F1930" s="5">
        <f t="shared" si="269"/>
        <v>-69.360454865620056</v>
      </c>
      <c r="G1930" s="6">
        <f t="shared" ref="G1930:G1993" si="272">D1930/12*(1-0.5*E1930)</f>
        <v>4.9777500000000002E-2</v>
      </c>
      <c r="H1930" s="6">
        <f t="shared" ref="H1930:H1993" si="273">E1930*(1-0.5*D1930)</f>
        <v>0</v>
      </c>
      <c r="I1930" s="7">
        <f t="shared" ref="I1930:I1993" si="274">F1930*$B$5/12</f>
        <v>-2312.0151621873351</v>
      </c>
      <c r="J1930" s="8">
        <f t="shared" ref="J1930:J1993" si="275">$B$6*G1930</f>
        <v>49777.5</v>
      </c>
      <c r="K1930" s="7">
        <f t="shared" ref="K1930:K1993" si="276">I1930-J1930</f>
        <v>-52089.515162187337</v>
      </c>
      <c r="L1930" s="4">
        <f>IF(A1930&gt;'Yield Curve'!A2544,L1929,(1+VLOOKUP(A1930,'Yield Curve'!A1923:B2545,2,FALSE))^(1/12)-1)</f>
        <v>7.9741404289037643E-3</v>
      </c>
      <c r="M1930" s="5">
        <f t="shared" ref="M1930:M1993" si="277">K1930*(1+L1930)^-A1930</f>
        <v>-1.2218612981396624E-2</v>
      </c>
    </row>
    <row r="1931" spans="1:13" x14ac:dyDescent="0.25">
      <c r="A1931" s="4">
        <v>1923</v>
      </c>
      <c r="B1931" s="4">
        <f t="shared" si="270"/>
        <v>205</v>
      </c>
      <c r="C1931" s="4">
        <f t="shared" si="271"/>
        <v>1938</v>
      </c>
      <c r="D1931" s="4">
        <f>IF(B1931&gt;'Mortality Table'!$A$118,D1930,VLOOKUP(B1931,'Mortality Table'!$A$2:$B$118,2,FALSE))</f>
        <v>0.59733000000000003</v>
      </c>
      <c r="E1931" s="4">
        <f>IF(INT((C1931-1)/12)+1&gt;'Lapse Table'!$A$11,E1930,VLOOKUP(INT((C1931-1)/12)+1,'Lapse Table'!$A$2:$B$11,2,FALSE))/12</f>
        <v>0</v>
      </c>
      <c r="F1931" s="5">
        <f t="shared" ref="F1931:F1994" si="278">F1930-G1931-H1931</f>
        <v>-69.410232365620061</v>
      </c>
      <c r="G1931" s="6">
        <f t="shared" si="272"/>
        <v>4.9777500000000002E-2</v>
      </c>
      <c r="H1931" s="6">
        <f t="shared" si="273"/>
        <v>0</v>
      </c>
      <c r="I1931" s="7">
        <f t="shared" si="274"/>
        <v>-2313.6744121873353</v>
      </c>
      <c r="J1931" s="8">
        <f t="shared" si="275"/>
        <v>49777.5</v>
      </c>
      <c r="K1931" s="7">
        <f t="shared" si="276"/>
        <v>-52091.174412187334</v>
      </c>
      <c r="L1931" s="4">
        <f>IF(A1931&gt;'Yield Curve'!A2545,L1930,(1+VLOOKUP(A1931,'Yield Curve'!A1924:B2546,2,FALSE))^(1/12)-1)</f>
        <v>7.9741404289037643E-3</v>
      </c>
      <c r="M1931" s="5">
        <f t="shared" si="277"/>
        <v>-1.2122336973532391E-2</v>
      </c>
    </row>
    <row r="1932" spans="1:13" x14ac:dyDescent="0.25">
      <c r="A1932" s="4">
        <v>1924</v>
      </c>
      <c r="B1932" s="4">
        <f t="shared" si="270"/>
        <v>205</v>
      </c>
      <c r="C1932" s="4">
        <f t="shared" si="271"/>
        <v>1939</v>
      </c>
      <c r="D1932" s="4">
        <f>IF(B1932&gt;'Mortality Table'!$A$118,D1931,VLOOKUP(B1932,'Mortality Table'!$A$2:$B$118,2,FALSE))</f>
        <v>0.59733000000000003</v>
      </c>
      <c r="E1932" s="4">
        <f>IF(INT((C1932-1)/12)+1&gt;'Lapse Table'!$A$11,E1931,VLOOKUP(INT((C1932-1)/12)+1,'Lapse Table'!$A$2:$B$11,2,FALSE))/12</f>
        <v>0</v>
      </c>
      <c r="F1932" s="5">
        <f t="shared" si="278"/>
        <v>-69.460009865620066</v>
      </c>
      <c r="G1932" s="6">
        <f t="shared" si="272"/>
        <v>4.9777500000000002E-2</v>
      </c>
      <c r="H1932" s="6">
        <f t="shared" si="273"/>
        <v>0</v>
      </c>
      <c r="I1932" s="7">
        <f t="shared" si="274"/>
        <v>-2315.3336621873354</v>
      </c>
      <c r="J1932" s="8">
        <f t="shared" si="275"/>
        <v>49777.5</v>
      </c>
      <c r="K1932" s="7">
        <f t="shared" si="276"/>
        <v>-52092.833662187339</v>
      </c>
      <c r="L1932" s="4">
        <f>IF(A1932&gt;'Yield Curve'!A2546,L1931,(1+VLOOKUP(A1932,'Yield Curve'!A1925:B2547,2,FALSE))^(1/12)-1)</f>
        <v>7.9741404289037643E-3</v>
      </c>
      <c r="M1932" s="5">
        <f t="shared" si="277"/>
        <v>-1.20268195559114E-2</v>
      </c>
    </row>
    <row r="1933" spans="1:13" x14ac:dyDescent="0.25">
      <c r="A1933" s="4">
        <v>1925</v>
      </c>
      <c r="B1933" s="4">
        <f t="shared" si="270"/>
        <v>205</v>
      </c>
      <c r="C1933" s="4">
        <f t="shared" si="271"/>
        <v>1940</v>
      </c>
      <c r="D1933" s="4">
        <f>IF(B1933&gt;'Mortality Table'!$A$118,D1932,VLOOKUP(B1933,'Mortality Table'!$A$2:$B$118,2,FALSE))</f>
        <v>0.59733000000000003</v>
      </c>
      <c r="E1933" s="4">
        <f>IF(INT((C1933-1)/12)+1&gt;'Lapse Table'!$A$11,E1932,VLOOKUP(INT((C1933-1)/12)+1,'Lapse Table'!$A$2:$B$11,2,FALSE))/12</f>
        <v>0</v>
      </c>
      <c r="F1933" s="5">
        <f t="shared" si="278"/>
        <v>-69.50978736562007</v>
      </c>
      <c r="G1933" s="6">
        <f t="shared" si="272"/>
        <v>4.9777500000000002E-2</v>
      </c>
      <c r="H1933" s="6">
        <f t="shared" si="273"/>
        <v>0</v>
      </c>
      <c r="I1933" s="7">
        <f t="shared" si="274"/>
        <v>-2316.9929121873356</v>
      </c>
      <c r="J1933" s="8">
        <f t="shared" si="275"/>
        <v>49777.5</v>
      </c>
      <c r="K1933" s="7">
        <f t="shared" si="276"/>
        <v>-52094.492912187336</v>
      </c>
      <c r="L1933" s="4">
        <f>IF(A1933&gt;'Yield Curve'!A2547,L1932,(1+VLOOKUP(A1933,'Yield Curve'!A1926:B2548,2,FALSE))^(1/12)-1)</f>
        <v>7.9741404289037643E-3</v>
      </c>
      <c r="M1933" s="5">
        <f t="shared" si="277"/>
        <v>-1.1932054751449223E-2</v>
      </c>
    </row>
    <row r="1934" spans="1:13" x14ac:dyDescent="0.25">
      <c r="A1934" s="4">
        <v>1926</v>
      </c>
      <c r="B1934" s="4">
        <f t="shared" si="270"/>
        <v>205</v>
      </c>
      <c r="C1934" s="4">
        <f t="shared" si="271"/>
        <v>1941</v>
      </c>
      <c r="D1934" s="4">
        <f>IF(B1934&gt;'Mortality Table'!$A$118,D1933,VLOOKUP(B1934,'Mortality Table'!$A$2:$B$118,2,FALSE))</f>
        <v>0.59733000000000003</v>
      </c>
      <c r="E1934" s="4">
        <f>IF(INT((C1934-1)/12)+1&gt;'Lapse Table'!$A$11,E1933,VLOOKUP(INT((C1934-1)/12)+1,'Lapse Table'!$A$2:$B$11,2,FALSE))/12</f>
        <v>0</v>
      </c>
      <c r="F1934" s="5">
        <f t="shared" si="278"/>
        <v>-69.559564865620075</v>
      </c>
      <c r="G1934" s="6">
        <f t="shared" si="272"/>
        <v>4.9777500000000002E-2</v>
      </c>
      <c r="H1934" s="6">
        <f t="shared" si="273"/>
        <v>0</v>
      </c>
      <c r="I1934" s="7">
        <f t="shared" si="274"/>
        <v>-2318.6521621873358</v>
      </c>
      <c r="J1934" s="8">
        <f t="shared" si="275"/>
        <v>49777.5</v>
      </c>
      <c r="K1934" s="7">
        <f t="shared" si="276"/>
        <v>-52096.152162187333</v>
      </c>
      <c r="L1934" s="4">
        <f>IF(A1934&gt;'Yield Curve'!A2548,L1933,(1+VLOOKUP(A1934,'Yield Curve'!A1927:B2549,2,FALSE))^(1/12)-1)</f>
        <v>7.9741404289037643E-3</v>
      </c>
      <c r="M1934" s="5">
        <f t="shared" si="277"/>
        <v>-1.1838036630155337E-2</v>
      </c>
    </row>
    <row r="1935" spans="1:13" x14ac:dyDescent="0.25">
      <c r="A1935" s="4">
        <v>1927</v>
      </c>
      <c r="B1935" s="4">
        <f t="shared" si="270"/>
        <v>205</v>
      </c>
      <c r="C1935" s="4">
        <f t="shared" si="271"/>
        <v>1942</v>
      </c>
      <c r="D1935" s="4">
        <f>IF(B1935&gt;'Mortality Table'!$A$118,D1934,VLOOKUP(B1935,'Mortality Table'!$A$2:$B$118,2,FALSE))</f>
        <v>0.59733000000000003</v>
      </c>
      <c r="E1935" s="4">
        <f>IF(INT((C1935-1)/12)+1&gt;'Lapse Table'!$A$11,E1934,VLOOKUP(INT((C1935-1)/12)+1,'Lapse Table'!$A$2:$B$11,2,FALSE))/12</f>
        <v>0</v>
      </c>
      <c r="F1935" s="5">
        <f t="shared" si="278"/>
        <v>-69.60934236562008</v>
      </c>
      <c r="G1935" s="6">
        <f t="shared" si="272"/>
        <v>4.9777500000000002E-2</v>
      </c>
      <c r="H1935" s="6">
        <f t="shared" si="273"/>
        <v>0</v>
      </c>
      <c r="I1935" s="7">
        <f t="shared" si="274"/>
        <v>-2320.3114121873359</v>
      </c>
      <c r="J1935" s="8">
        <f t="shared" si="275"/>
        <v>49777.5</v>
      </c>
      <c r="K1935" s="7">
        <f t="shared" si="276"/>
        <v>-52097.811412187337</v>
      </c>
      <c r="L1935" s="4">
        <f>IF(A1935&gt;'Yield Curve'!A2549,L1934,(1+VLOOKUP(A1935,'Yield Curve'!A1928:B2550,2,FALSE))^(1/12)-1)</f>
        <v>7.9741404289037643E-3</v>
      </c>
      <c r="M1935" s="5">
        <f t="shared" si="277"/>
        <v>-1.1744759308762022E-2</v>
      </c>
    </row>
    <row r="1936" spans="1:13" x14ac:dyDescent="0.25">
      <c r="A1936" s="4">
        <v>1928</v>
      </c>
      <c r="B1936" s="4">
        <f t="shared" si="270"/>
        <v>205</v>
      </c>
      <c r="C1936" s="4">
        <f t="shared" si="271"/>
        <v>1943</v>
      </c>
      <c r="D1936" s="4">
        <f>IF(B1936&gt;'Mortality Table'!$A$118,D1935,VLOOKUP(B1936,'Mortality Table'!$A$2:$B$118,2,FALSE))</f>
        <v>0.59733000000000003</v>
      </c>
      <c r="E1936" s="4">
        <f>IF(INT((C1936-1)/12)+1&gt;'Lapse Table'!$A$11,E1935,VLOOKUP(INT((C1936-1)/12)+1,'Lapse Table'!$A$2:$B$11,2,FALSE))/12</f>
        <v>0</v>
      </c>
      <c r="F1936" s="5">
        <f t="shared" si="278"/>
        <v>-69.659119865620085</v>
      </c>
      <c r="G1936" s="6">
        <f t="shared" si="272"/>
        <v>4.9777500000000002E-2</v>
      </c>
      <c r="H1936" s="6">
        <f t="shared" si="273"/>
        <v>0</v>
      </c>
      <c r="I1936" s="7">
        <f t="shared" si="274"/>
        <v>-2321.9706621873361</v>
      </c>
      <c r="J1936" s="8">
        <f t="shared" si="275"/>
        <v>49777.5</v>
      </c>
      <c r="K1936" s="7">
        <f t="shared" si="276"/>
        <v>-52099.470662187334</v>
      </c>
      <c r="L1936" s="4">
        <f>IF(A1936&gt;'Yield Curve'!A2550,L1935,(1+VLOOKUP(A1936,'Yield Curve'!A1929:B2551,2,FALSE))^(1/12)-1)</f>
        <v>7.9741404289037643E-3</v>
      </c>
      <c r="M1936" s="5">
        <f t="shared" si="277"/>
        <v>-1.1652216950356264E-2</v>
      </c>
    </row>
    <row r="1937" spans="1:13" x14ac:dyDescent="0.25">
      <c r="A1937" s="4">
        <v>1929</v>
      </c>
      <c r="B1937" s="4">
        <f t="shared" si="270"/>
        <v>205</v>
      </c>
      <c r="C1937" s="4">
        <f t="shared" si="271"/>
        <v>1944</v>
      </c>
      <c r="D1937" s="4">
        <f>IF(B1937&gt;'Mortality Table'!$A$118,D1936,VLOOKUP(B1937,'Mortality Table'!$A$2:$B$118,2,FALSE))</f>
        <v>0.59733000000000003</v>
      </c>
      <c r="E1937" s="4">
        <f>IF(INT((C1937-1)/12)+1&gt;'Lapse Table'!$A$11,E1936,VLOOKUP(INT((C1937-1)/12)+1,'Lapse Table'!$A$2:$B$11,2,FALSE))/12</f>
        <v>0</v>
      </c>
      <c r="F1937" s="5">
        <f t="shared" si="278"/>
        <v>-69.708897365620089</v>
      </c>
      <c r="G1937" s="6">
        <f t="shared" si="272"/>
        <v>4.9777500000000002E-2</v>
      </c>
      <c r="H1937" s="6">
        <f t="shared" si="273"/>
        <v>0</v>
      </c>
      <c r="I1937" s="7">
        <f t="shared" si="274"/>
        <v>-2323.6299121873362</v>
      </c>
      <c r="J1937" s="8">
        <f t="shared" si="275"/>
        <v>49777.5</v>
      </c>
      <c r="K1937" s="7">
        <f t="shared" si="276"/>
        <v>-52101.129912187338</v>
      </c>
      <c r="L1937" s="4">
        <f>IF(A1937&gt;'Yield Curve'!A2551,L1936,(1+VLOOKUP(A1937,'Yield Curve'!A1930:B2552,2,FALSE))^(1/12)-1)</f>
        <v>7.9741404289037643E-3</v>
      </c>
      <c r="M1937" s="5">
        <f t="shared" si="277"/>
        <v>-1.1560403764014527E-2</v>
      </c>
    </row>
    <row r="1938" spans="1:13" x14ac:dyDescent="0.25">
      <c r="A1938" s="4">
        <v>1930</v>
      </c>
      <c r="B1938" s="4">
        <f t="shared" si="270"/>
        <v>205</v>
      </c>
      <c r="C1938" s="4">
        <f t="shared" si="271"/>
        <v>1945</v>
      </c>
      <c r="D1938" s="4">
        <f>IF(B1938&gt;'Mortality Table'!$A$118,D1937,VLOOKUP(B1938,'Mortality Table'!$A$2:$B$118,2,FALSE))</f>
        <v>0.59733000000000003</v>
      </c>
      <c r="E1938" s="4">
        <f>IF(INT((C1938-1)/12)+1&gt;'Lapse Table'!$A$11,E1937,VLOOKUP(INT((C1938-1)/12)+1,'Lapse Table'!$A$2:$B$11,2,FALSE))/12</f>
        <v>0</v>
      </c>
      <c r="F1938" s="5">
        <f t="shared" si="278"/>
        <v>-69.758674865620094</v>
      </c>
      <c r="G1938" s="6">
        <f t="shared" si="272"/>
        <v>4.9777500000000002E-2</v>
      </c>
      <c r="H1938" s="6">
        <f t="shared" si="273"/>
        <v>0</v>
      </c>
      <c r="I1938" s="7">
        <f t="shared" si="274"/>
        <v>-2325.2891621873364</v>
      </c>
      <c r="J1938" s="8">
        <f t="shared" si="275"/>
        <v>49777.5</v>
      </c>
      <c r="K1938" s="7">
        <f t="shared" si="276"/>
        <v>-52102.789162187335</v>
      </c>
      <c r="L1938" s="4">
        <f>IF(A1938&gt;'Yield Curve'!A2552,L1937,(1+VLOOKUP(A1938,'Yield Curve'!A1931:B2553,2,FALSE))^(1/12)-1)</f>
        <v>7.9741404289037643E-3</v>
      </c>
      <c r="M1938" s="5">
        <f t="shared" si="277"/>
        <v>-1.1469314004440383E-2</v>
      </c>
    </row>
    <row r="1939" spans="1:13" x14ac:dyDescent="0.25">
      <c r="A1939" s="4">
        <v>1931</v>
      </c>
      <c r="B1939" s="4">
        <f t="shared" si="270"/>
        <v>205</v>
      </c>
      <c r="C1939" s="4">
        <f t="shared" si="271"/>
        <v>1946</v>
      </c>
      <c r="D1939" s="4">
        <f>IF(B1939&gt;'Mortality Table'!$A$118,D1938,VLOOKUP(B1939,'Mortality Table'!$A$2:$B$118,2,FALSE))</f>
        <v>0.59733000000000003</v>
      </c>
      <c r="E1939" s="4">
        <f>IF(INT((C1939-1)/12)+1&gt;'Lapse Table'!$A$11,E1938,VLOOKUP(INT((C1939-1)/12)+1,'Lapse Table'!$A$2:$B$11,2,FALSE))/12</f>
        <v>0</v>
      </c>
      <c r="F1939" s="5">
        <f t="shared" si="278"/>
        <v>-69.808452365620099</v>
      </c>
      <c r="G1939" s="6">
        <f t="shared" si="272"/>
        <v>4.9777500000000002E-2</v>
      </c>
      <c r="H1939" s="6">
        <f t="shared" si="273"/>
        <v>0</v>
      </c>
      <c r="I1939" s="7">
        <f t="shared" si="274"/>
        <v>-2326.9484121873365</v>
      </c>
      <c r="J1939" s="8">
        <f t="shared" si="275"/>
        <v>49777.5</v>
      </c>
      <c r="K1939" s="7">
        <f t="shared" si="276"/>
        <v>-52104.448412187339</v>
      </c>
      <c r="L1939" s="4">
        <f>IF(A1939&gt;'Yield Curve'!A2553,L1938,(1+VLOOKUP(A1939,'Yield Curve'!A1932:B2554,2,FALSE))^(1/12)-1)</f>
        <v>7.9741404289037643E-3</v>
      </c>
      <c r="M1939" s="5">
        <f t="shared" si="277"/>
        <v>-1.137894197160506E-2</v>
      </c>
    </row>
    <row r="1940" spans="1:13" x14ac:dyDescent="0.25">
      <c r="A1940" s="4">
        <v>1932</v>
      </c>
      <c r="B1940" s="4">
        <f t="shared" si="270"/>
        <v>206</v>
      </c>
      <c r="C1940" s="4">
        <f t="shared" si="271"/>
        <v>1947</v>
      </c>
      <c r="D1940" s="4">
        <f>IF(B1940&gt;'Mortality Table'!$A$118,D1939,VLOOKUP(B1940,'Mortality Table'!$A$2:$B$118,2,FALSE))</f>
        <v>0.59733000000000003</v>
      </c>
      <c r="E1940" s="4">
        <f>IF(INT((C1940-1)/12)+1&gt;'Lapse Table'!$A$11,E1939,VLOOKUP(INT((C1940-1)/12)+1,'Lapse Table'!$A$2:$B$11,2,FALSE))/12</f>
        <v>0</v>
      </c>
      <c r="F1940" s="5">
        <f t="shared" si="278"/>
        <v>-69.858229865620103</v>
      </c>
      <c r="G1940" s="6">
        <f t="shared" si="272"/>
        <v>4.9777500000000002E-2</v>
      </c>
      <c r="H1940" s="6">
        <f t="shared" si="273"/>
        <v>0</v>
      </c>
      <c r="I1940" s="7">
        <f t="shared" si="274"/>
        <v>-2328.6076621873367</v>
      </c>
      <c r="J1940" s="8">
        <f t="shared" si="275"/>
        <v>49777.5</v>
      </c>
      <c r="K1940" s="7">
        <f t="shared" si="276"/>
        <v>-52106.107662187336</v>
      </c>
      <c r="L1940" s="4">
        <f>IF(A1940&gt;'Yield Curve'!A2554,L1939,(1+VLOOKUP(A1940,'Yield Curve'!A1933:B2555,2,FALSE))^(1/12)-1)</f>
        <v>7.9741404289037643E-3</v>
      </c>
      <c r="M1940" s="5">
        <f t="shared" si="277"/>
        <v>-1.1289282010390722E-2</v>
      </c>
    </row>
    <row r="1941" spans="1:13" x14ac:dyDescent="0.25">
      <c r="A1941" s="4">
        <v>1933</v>
      </c>
      <c r="B1941" s="4">
        <f t="shared" si="270"/>
        <v>206</v>
      </c>
      <c r="C1941" s="4">
        <f t="shared" si="271"/>
        <v>1948</v>
      </c>
      <c r="D1941" s="4">
        <f>IF(B1941&gt;'Mortality Table'!$A$118,D1940,VLOOKUP(B1941,'Mortality Table'!$A$2:$B$118,2,FALSE))</f>
        <v>0.59733000000000003</v>
      </c>
      <c r="E1941" s="4">
        <f>IF(INT((C1941-1)/12)+1&gt;'Lapse Table'!$A$11,E1940,VLOOKUP(INT((C1941-1)/12)+1,'Lapse Table'!$A$2:$B$11,2,FALSE))/12</f>
        <v>0</v>
      </c>
      <c r="F1941" s="5">
        <f t="shared" si="278"/>
        <v>-69.908007365620108</v>
      </c>
      <c r="G1941" s="6">
        <f t="shared" si="272"/>
        <v>4.9777500000000002E-2</v>
      </c>
      <c r="H1941" s="6">
        <f t="shared" si="273"/>
        <v>0</v>
      </c>
      <c r="I1941" s="7">
        <f t="shared" si="274"/>
        <v>-2330.2669121873369</v>
      </c>
      <c r="J1941" s="8">
        <f t="shared" si="275"/>
        <v>49777.5</v>
      </c>
      <c r="K1941" s="7">
        <f t="shared" si="276"/>
        <v>-52107.766912187333</v>
      </c>
      <c r="L1941" s="4">
        <f>IF(A1941&gt;'Yield Curve'!A2555,L1940,(1+VLOOKUP(A1941,'Yield Curve'!A1934:B2556,2,FALSE))^(1/12)-1)</f>
        <v>7.9741404289037643E-3</v>
      </c>
      <c r="M1941" s="5">
        <f t="shared" si="277"/>
        <v>-1.1200328510236682E-2</v>
      </c>
    </row>
    <row r="1942" spans="1:13" x14ac:dyDescent="0.25">
      <c r="A1942" s="4">
        <v>1934</v>
      </c>
      <c r="B1942" s="4">
        <f t="shared" si="270"/>
        <v>206</v>
      </c>
      <c r="C1942" s="4">
        <f t="shared" si="271"/>
        <v>1949</v>
      </c>
      <c r="D1942" s="4">
        <f>IF(B1942&gt;'Mortality Table'!$A$118,D1941,VLOOKUP(B1942,'Mortality Table'!$A$2:$B$118,2,FALSE))</f>
        <v>0.59733000000000003</v>
      </c>
      <c r="E1942" s="4">
        <f>IF(INT((C1942-1)/12)+1&gt;'Lapse Table'!$A$11,E1941,VLOOKUP(INT((C1942-1)/12)+1,'Lapse Table'!$A$2:$B$11,2,FALSE))/12</f>
        <v>0</v>
      </c>
      <c r="F1942" s="5">
        <f t="shared" si="278"/>
        <v>-69.957784865620113</v>
      </c>
      <c r="G1942" s="6">
        <f t="shared" si="272"/>
        <v>4.9777500000000002E-2</v>
      </c>
      <c r="H1942" s="6">
        <f t="shared" si="273"/>
        <v>0</v>
      </c>
      <c r="I1942" s="7">
        <f t="shared" si="274"/>
        <v>-2331.926162187337</v>
      </c>
      <c r="J1942" s="8">
        <f t="shared" si="275"/>
        <v>49777.5</v>
      </c>
      <c r="K1942" s="7">
        <f t="shared" si="276"/>
        <v>-52109.426162187337</v>
      </c>
      <c r="L1942" s="4">
        <f>IF(A1942&gt;'Yield Curve'!A2556,L1941,(1+VLOOKUP(A1942,'Yield Curve'!A1935:B2557,2,FALSE))^(1/12)-1)</f>
        <v>7.9741404289037643E-3</v>
      </c>
      <c r="M1942" s="5">
        <f t="shared" si="277"/>
        <v>-1.1112075904788294E-2</v>
      </c>
    </row>
    <row r="1943" spans="1:13" x14ac:dyDescent="0.25">
      <c r="A1943" s="4">
        <v>1935</v>
      </c>
      <c r="B1943" s="4">
        <f t="shared" si="270"/>
        <v>206</v>
      </c>
      <c r="C1943" s="4">
        <f t="shared" si="271"/>
        <v>1950</v>
      </c>
      <c r="D1943" s="4">
        <f>IF(B1943&gt;'Mortality Table'!$A$118,D1942,VLOOKUP(B1943,'Mortality Table'!$A$2:$B$118,2,FALSE))</f>
        <v>0.59733000000000003</v>
      </c>
      <c r="E1943" s="4">
        <f>IF(INT((C1943-1)/12)+1&gt;'Lapse Table'!$A$11,E1942,VLOOKUP(INT((C1943-1)/12)+1,'Lapse Table'!$A$2:$B$11,2,FALSE))/12</f>
        <v>0</v>
      </c>
      <c r="F1943" s="5">
        <f t="shared" si="278"/>
        <v>-70.007562365620117</v>
      </c>
      <c r="G1943" s="6">
        <f t="shared" si="272"/>
        <v>4.9777500000000002E-2</v>
      </c>
      <c r="H1943" s="6">
        <f t="shared" si="273"/>
        <v>0</v>
      </c>
      <c r="I1943" s="7">
        <f t="shared" si="274"/>
        <v>-2333.5854121873372</v>
      </c>
      <c r="J1943" s="8">
        <f t="shared" si="275"/>
        <v>49777.5</v>
      </c>
      <c r="K1943" s="7">
        <f t="shared" si="276"/>
        <v>-52111.085412187334</v>
      </c>
      <c r="L1943" s="4">
        <f>IF(A1943&gt;'Yield Curve'!A2557,L1942,(1+VLOOKUP(A1943,'Yield Curve'!A1936:B2558,2,FALSE))^(1/12)-1)</f>
        <v>7.9741404289037643E-3</v>
      </c>
      <c r="M1943" s="5">
        <f t="shared" si="277"/>
        <v>-1.1024518671548664E-2</v>
      </c>
    </row>
    <row r="1944" spans="1:13" x14ac:dyDescent="0.25">
      <c r="A1944" s="4">
        <v>1936</v>
      </c>
      <c r="B1944" s="4">
        <f t="shared" si="270"/>
        <v>206</v>
      </c>
      <c r="C1944" s="4">
        <f t="shared" si="271"/>
        <v>1951</v>
      </c>
      <c r="D1944" s="4">
        <f>IF(B1944&gt;'Mortality Table'!$A$118,D1943,VLOOKUP(B1944,'Mortality Table'!$A$2:$B$118,2,FALSE))</f>
        <v>0.59733000000000003</v>
      </c>
      <c r="E1944" s="4">
        <f>IF(INT((C1944-1)/12)+1&gt;'Lapse Table'!$A$11,E1943,VLOOKUP(INT((C1944-1)/12)+1,'Lapse Table'!$A$2:$B$11,2,FALSE))/12</f>
        <v>0</v>
      </c>
      <c r="F1944" s="5">
        <f t="shared" si="278"/>
        <v>-70.057339865620122</v>
      </c>
      <c r="G1944" s="6">
        <f t="shared" si="272"/>
        <v>4.9777500000000002E-2</v>
      </c>
      <c r="H1944" s="6">
        <f t="shared" si="273"/>
        <v>0</v>
      </c>
      <c r="I1944" s="7">
        <f t="shared" si="274"/>
        <v>-2335.2446621873373</v>
      </c>
      <c r="J1944" s="8">
        <f t="shared" si="275"/>
        <v>49777.5</v>
      </c>
      <c r="K1944" s="7">
        <f t="shared" si="276"/>
        <v>-52112.744662187339</v>
      </c>
      <c r="L1944" s="4">
        <f>IF(A1944&gt;'Yield Curve'!A2558,L1943,(1+VLOOKUP(A1944,'Yield Curve'!A1937:B2559,2,FALSE))^(1/12)-1)</f>
        <v>7.9741404289037643E-3</v>
      </c>
      <c r="M1944" s="5">
        <f t="shared" si="277"/>
        <v>-1.093765133153311E-2</v>
      </c>
    </row>
    <row r="1945" spans="1:13" x14ac:dyDescent="0.25">
      <c r="A1945" s="4">
        <v>1937</v>
      </c>
      <c r="B1945" s="4">
        <f t="shared" si="270"/>
        <v>206</v>
      </c>
      <c r="C1945" s="4">
        <f t="shared" si="271"/>
        <v>1952</v>
      </c>
      <c r="D1945" s="4">
        <f>IF(B1945&gt;'Mortality Table'!$A$118,D1944,VLOOKUP(B1945,'Mortality Table'!$A$2:$B$118,2,FALSE))</f>
        <v>0.59733000000000003</v>
      </c>
      <c r="E1945" s="4">
        <f>IF(INT((C1945-1)/12)+1&gt;'Lapse Table'!$A$11,E1944,VLOOKUP(INT((C1945-1)/12)+1,'Lapse Table'!$A$2:$B$11,2,FALSE))/12</f>
        <v>0</v>
      </c>
      <c r="F1945" s="5">
        <f t="shared" si="278"/>
        <v>-70.107117365620127</v>
      </c>
      <c r="G1945" s="6">
        <f t="shared" si="272"/>
        <v>4.9777500000000002E-2</v>
      </c>
      <c r="H1945" s="6">
        <f t="shared" si="273"/>
        <v>0</v>
      </c>
      <c r="I1945" s="7">
        <f t="shared" si="274"/>
        <v>-2336.9039121873375</v>
      </c>
      <c r="J1945" s="8">
        <f t="shared" si="275"/>
        <v>49777.5</v>
      </c>
      <c r="K1945" s="7">
        <f t="shared" si="276"/>
        <v>-52114.403912187336</v>
      </c>
      <c r="L1945" s="4">
        <f>IF(A1945&gt;'Yield Curve'!A2559,L1944,(1+VLOOKUP(A1945,'Yield Curve'!A1938:B2560,2,FALSE))^(1/12)-1)</f>
        <v>7.9741404289037643E-3</v>
      </c>
      <c r="M1945" s="5">
        <f t="shared" si="277"/>
        <v>-1.0851468448926326E-2</v>
      </c>
    </row>
    <row r="1946" spans="1:13" x14ac:dyDescent="0.25">
      <c r="A1946" s="4">
        <v>1938</v>
      </c>
      <c r="B1946" s="4">
        <f t="shared" si="270"/>
        <v>206</v>
      </c>
      <c r="C1946" s="4">
        <f t="shared" si="271"/>
        <v>1953</v>
      </c>
      <c r="D1946" s="4">
        <f>IF(B1946&gt;'Mortality Table'!$A$118,D1945,VLOOKUP(B1946,'Mortality Table'!$A$2:$B$118,2,FALSE))</f>
        <v>0.59733000000000003</v>
      </c>
      <c r="E1946" s="4">
        <f>IF(INT((C1946-1)/12)+1&gt;'Lapse Table'!$A$11,E1945,VLOOKUP(INT((C1946-1)/12)+1,'Lapse Table'!$A$2:$B$11,2,FALSE))/12</f>
        <v>0</v>
      </c>
      <c r="F1946" s="5">
        <f t="shared" si="278"/>
        <v>-70.156894865620131</v>
      </c>
      <c r="G1946" s="6">
        <f t="shared" si="272"/>
        <v>4.9777500000000002E-2</v>
      </c>
      <c r="H1946" s="6">
        <f t="shared" si="273"/>
        <v>0</v>
      </c>
      <c r="I1946" s="7">
        <f t="shared" si="274"/>
        <v>-2338.5631621873376</v>
      </c>
      <c r="J1946" s="8">
        <f t="shared" si="275"/>
        <v>49777.5</v>
      </c>
      <c r="K1946" s="7">
        <f t="shared" si="276"/>
        <v>-52116.06316218734</v>
      </c>
      <c r="L1946" s="4">
        <f>IF(A1946&gt;'Yield Curve'!A2560,L1945,(1+VLOOKUP(A1946,'Yield Curve'!A1939:B2561,2,FALSE))^(1/12)-1)</f>
        <v>7.9741404289037643E-3</v>
      </c>
      <c r="M1946" s="5">
        <f t="shared" si="277"/>
        <v>-1.0765964630742248E-2</v>
      </c>
    </row>
    <row r="1947" spans="1:13" x14ac:dyDescent="0.25">
      <c r="A1947" s="4">
        <v>1939</v>
      </c>
      <c r="B1947" s="4">
        <f t="shared" si="270"/>
        <v>206</v>
      </c>
      <c r="C1947" s="4">
        <f t="shared" si="271"/>
        <v>1954</v>
      </c>
      <c r="D1947" s="4">
        <f>IF(B1947&gt;'Mortality Table'!$A$118,D1946,VLOOKUP(B1947,'Mortality Table'!$A$2:$B$118,2,FALSE))</f>
        <v>0.59733000000000003</v>
      </c>
      <c r="E1947" s="4">
        <f>IF(INT((C1947-1)/12)+1&gt;'Lapse Table'!$A$11,E1946,VLOOKUP(INT((C1947-1)/12)+1,'Lapse Table'!$A$2:$B$11,2,FALSE))/12</f>
        <v>0</v>
      </c>
      <c r="F1947" s="5">
        <f t="shared" si="278"/>
        <v>-70.206672365620136</v>
      </c>
      <c r="G1947" s="6">
        <f t="shared" si="272"/>
        <v>4.9777500000000002E-2</v>
      </c>
      <c r="H1947" s="6">
        <f t="shared" si="273"/>
        <v>0</v>
      </c>
      <c r="I1947" s="7">
        <f t="shared" si="274"/>
        <v>-2340.2224121873378</v>
      </c>
      <c r="J1947" s="8">
        <f t="shared" si="275"/>
        <v>49777.5</v>
      </c>
      <c r="K1947" s="7">
        <f t="shared" si="276"/>
        <v>-52117.722412187337</v>
      </c>
      <c r="L1947" s="4">
        <f>IF(A1947&gt;'Yield Curve'!A2561,L1946,(1+VLOOKUP(A1947,'Yield Curve'!A1940:B2562,2,FALSE))^(1/12)-1)</f>
        <v>7.9741404289037643E-3</v>
      </c>
      <c r="M1947" s="5">
        <f t="shared" si="277"/>
        <v>-1.0681134526486606E-2</v>
      </c>
    </row>
    <row r="1948" spans="1:13" x14ac:dyDescent="0.25">
      <c r="A1948" s="4">
        <v>1940</v>
      </c>
      <c r="B1948" s="4">
        <f t="shared" si="270"/>
        <v>206</v>
      </c>
      <c r="C1948" s="4">
        <f t="shared" si="271"/>
        <v>1955</v>
      </c>
      <c r="D1948" s="4">
        <f>IF(B1948&gt;'Mortality Table'!$A$118,D1947,VLOOKUP(B1948,'Mortality Table'!$A$2:$B$118,2,FALSE))</f>
        <v>0.59733000000000003</v>
      </c>
      <c r="E1948" s="4">
        <f>IF(INT((C1948-1)/12)+1&gt;'Lapse Table'!$A$11,E1947,VLOOKUP(INT((C1948-1)/12)+1,'Lapse Table'!$A$2:$B$11,2,FALSE))/12</f>
        <v>0</v>
      </c>
      <c r="F1948" s="5">
        <f t="shared" si="278"/>
        <v>-70.256449865620141</v>
      </c>
      <c r="G1948" s="6">
        <f t="shared" si="272"/>
        <v>4.9777500000000002E-2</v>
      </c>
      <c r="H1948" s="6">
        <f t="shared" si="273"/>
        <v>0</v>
      </c>
      <c r="I1948" s="7">
        <f t="shared" si="274"/>
        <v>-2341.881662187338</v>
      </c>
      <c r="J1948" s="8">
        <f t="shared" si="275"/>
        <v>49777.5</v>
      </c>
      <c r="K1948" s="7">
        <f t="shared" si="276"/>
        <v>-52119.381662187341</v>
      </c>
      <c r="L1948" s="4">
        <f>IF(A1948&gt;'Yield Curve'!A2562,L1947,(1+VLOOKUP(A1948,'Yield Curve'!A1941:B2563,2,FALSE))^(1/12)-1)</f>
        <v>7.9741404289037643E-3</v>
      </c>
      <c r="M1948" s="5">
        <f t="shared" si="277"/>
        <v>-1.0596972827822125E-2</v>
      </c>
    </row>
    <row r="1949" spans="1:13" x14ac:dyDescent="0.25">
      <c r="A1949" s="4">
        <v>1941</v>
      </c>
      <c r="B1949" s="4">
        <f t="shared" si="270"/>
        <v>206</v>
      </c>
      <c r="C1949" s="4">
        <f t="shared" si="271"/>
        <v>1956</v>
      </c>
      <c r="D1949" s="4">
        <f>IF(B1949&gt;'Mortality Table'!$A$118,D1948,VLOOKUP(B1949,'Mortality Table'!$A$2:$B$118,2,FALSE))</f>
        <v>0.59733000000000003</v>
      </c>
      <c r="E1949" s="4">
        <f>IF(INT((C1949-1)/12)+1&gt;'Lapse Table'!$A$11,E1948,VLOOKUP(INT((C1949-1)/12)+1,'Lapse Table'!$A$2:$B$11,2,FALSE))/12</f>
        <v>0</v>
      </c>
      <c r="F1949" s="5">
        <f t="shared" si="278"/>
        <v>-70.306227365620146</v>
      </c>
      <c r="G1949" s="6">
        <f t="shared" si="272"/>
        <v>4.9777500000000002E-2</v>
      </c>
      <c r="H1949" s="6">
        <f t="shared" si="273"/>
        <v>0</v>
      </c>
      <c r="I1949" s="7">
        <f t="shared" si="274"/>
        <v>-2343.5409121873381</v>
      </c>
      <c r="J1949" s="8">
        <f t="shared" si="275"/>
        <v>49777.5</v>
      </c>
      <c r="K1949" s="7">
        <f t="shared" si="276"/>
        <v>-52121.040912187338</v>
      </c>
      <c r="L1949" s="4">
        <f>IF(A1949&gt;'Yield Curve'!A2563,L1948,(1+VLOOKUP(A1949,'Yield Curve'!A1942:B2564,2,FALSE))^(1/12)-1)</f>
        <v>7.9741404289037643E-3</v>
      </c>
      <c r="M1949" s="5">
        <f t="shared" si="277"/>
        <v>-1.0513474268236393E-2</v>
      </c>
    </row>
    <row r="1950" spans="1:13" x14ac:dyDescent="0.25">
      <c r="A1950" s="4">
        <v>1942</v>
      </c>
      <c r="B1950" s="4">
        <f t="shared" si="270"/>
        <v>206</v>
      </c>
      <c r="C1950" s="4">
        <f t="shared" si="271"/>
        <v>1957</v>
      </c>
      <c r="D1950" s="4">
        <f>IF(B1950&gt;'Mortality Table'!$A$118,D1949,VLOOKUP(B1950,'Mortality Table'!$A$2:$B$118,2,FALSE))</f>
        <v>0.59733000000000003</v>
      </c>
      <c r="E1950" s="4">
        <f>IF(INT((C1950-1)/12)+1&gt;'Lapse Table'!$A$11,E1949,VLOOKUP(INT((C1950-1)/12)+1,'Lapse Table'!$A$2:$B$11,2,FALSE))/12</f>
        <v>0</v>
      </c>
      <c r="F1950" s="5">
        <f t="shared" si="278"/>
        <v>-70.35600486562015</v>
      </c>
      <c r="G1950" s="6">
        <f t="shared" si="272"/>
        <v>4.9777500000000002E-2</v>
      </c>
      <c r="H1950" s="6">
        <f t="shared" si="273"/>
        <v>0</v>
      </c>
      <c r="I1950" s="7">
        <f t="shared" si="274"/>
        <v>-2345.2001621873383</v>
      </c>
      <c r="J1950" s="8">
        <f t="shared" si="275"/>
        <v>49777.5</v>
      </c>
      <c r="K1950" s="7">
        <f t="shared" si="276"/>
        <v>-52122.700162187335</v>
      </c>
      <c r="L1950" s="4">
        <f>IF(A1950&gt;'Yield Curve'!A2564,L1949,(1+VLOOKUP(A1950,'Yield Curve'!A1943:B2565,2,FALSE))^(1/12)-1)</f>
        <v>7.9741404289037643E-3</v>
      </c>
      <c r="M1950" s="5">
        <f t="shared" si="277"/>
        <v>-1.0430633622712314E-2</v>
      </c>
    </row>
    <row r="1951" spans="1:13" x14ac:dyDescent="0.25">
      <c r="A1951" s="4">
        <v>1943</v>
      </c>
      <c r="B1951" s="4">
        <f t="shared" si="270"/>
        <v>206</v>
      </c>
      <c r="C1951" s="4">
        <f t="shared" si="271"/>
        <v>1958</v>
      </c>
      <c r="D1951" s="4">
        <f>IF(B1951&gt;'Mortality Table'!$A$118,D1950,VLOOKUP(B1951,'Mortality Table'!$A$2:$B$118,2,FALSE))</f>
        <v>0.59733000000000003</v>
      </c>
      <c r="E1951" s="4">
        <f>IF(INT((C1951-1)/12)+1&gt;'Lapse Table'!$A$11,E1950,VLOOKUP(INT((C1951-1)/12)+1,'Lapse Table'!$A$2:$B$11,2,FALSE))/12</f>
        <v>0</v>
      </c>
      <c r="F1951" s="5">
        <f t="shared" si="278"/>
        <v>-70.405782365620155</v>
      </c>
      <c r="G1951" s="6">
        <f t="shared" si="272"/>
        <v>4.9777500000000002E-2</v>
      </c>
      <c r="H1951" s="6">
        <f t="shared" si="273"/>
        <v>0</v>
      </c>
      <c r="I1951" s="7">
        <f t="shared" si="274"/>
        <v>-2346.8594121873384</v>
      </c>
      <c r="J1951" s="8">
        <f t="shared" si="275"/>
        <v>49777.5</v>
      </c>
      <c r="K1951" s="7">
        <f t="shared" si="276"/>
        <v>-52124.359412187339</v>
      </c>
      <c r="L1951" s="4">
        <f>IF(A1951&gt;'Yield Curve'!A2565,L1950,(1+VLOOKUP(A1951,'Yield Curve'!A1944:B2566,2,FALSE))^(1/12)-1)</f>
        <v>7.9741404289037643E-3</v>
      </c>
      <c r="M1951" s="5">
        <f t="shared" si="277"/>
        <v>-1.0348445707401156E-2</v>
      </c>
    </row>
    <row r="1952" spans="1:13" x14ac:dyDescent="0.25">
      <c r="A1952" s="4">
        <v>1944</v>
      </c>
      <c r="B1952" s="4">
        <f t="shared" si="270"/>
        <v>207</v>
      </c>
      <c r="C1952" s="4">
        <f t="shared" si="271"/>
        <v>1959</v>
      </c>
      <c r="D1952" s="4">
        <f>IF(B1952&gt;'Mortality Table'!$A$118,D1951,VLOOKUP(B1952,'Mortality Table'!$A$2:$B$118,2,FALSE))</f>
        <v>0.59733000000000003</v>
      </c>
      <c r="E1952" s="4">
        <f>IF(INT((C1952-1)/12)+1&gt;'Lapse Table'!$A$11,E1951,VLOOKUP(INT((C1952-1)/12)+1,'Lapse Table'!$A$2:$B$11,2,FALSE))/12</f>
        <v>0</v>
      </c>
      <c r="F1952" s="5">
        <f t="shared" si="278"/>
        <v>-70.45555986562016</v>
      </c>
      <c r="G1952" s="6">
        <f t="shared" si="272"/>
        <v>4.9777500000000002E-2</v>
      </c>
      <c r="H1952" s="6">
        <f t="shared" si="273"/>
        <v>0</v>
      </c>
      <c r="I1952" s="7">
        <f t="shared" si="274"/>
        <v>-2348.5186621873386</v>
      </c>
      <c r="J1952" s="8">
        <f t="shared" si="275"/>
        <v>49777.5</v>
      </c>
      <c r="K1952" s="7">
        <f t="shared" si="276"/>
        <v>-52126.018662187336</v>
      </c>
      <c r="L1952" s="4">
        <f>IF(A1952&gt;'Yield Curve'!A2566,L1951,(1+VLOOKUP(A1952,'Yield Curve'!A1945:B2567,2,FALSE))^(1/12)-1)</f>
        <v>7.9741404289037643E-3</v>
      </c>
      <c r="M1952" s="5">
        <f t="shared" si="277"/>
        <v>-1.0266905379298195E-2</v>
      </c>
    </row>
    <row r="1953" spans="1:13" x14ac:dyDescent="0.25">
      <c r="A1953" s="4">
        <v>1945</v>
      </c>
      <c r="B1953" s="4">
        <f t="shared" si="270"/>
        <v>207</v>
      </c>
      <c r="C1953" s="4">
        <f t="shared" si="271"/>
        <v>1960</v>
      </c>
      <c r="D1953" s="4">
        <f>IF(B1953&gt;'Mortality Table'!$A$118,D1952,VLOOKUP(B1953,'Mortality Table'!$A$2:$B$118,2,FALSE))</f>
        <v>0.59733000000000003</v>
      </c>
      <c r="E1953" s="4">
        <f>IF(INT((C1953-1)/12)+1&gt;'Lapse Table'!$A$11,E1952,VLOOKUP(INT((C1953-1)/12)+1,'Lapse Table'!$A$2:$B$11,2,FALSE))/12</f>
        <v>0</v>
      </c>
      <c r="F1953" s="5">
        <f t="shared" si="278"/>
        <v>-70.505337365620164</v>
      </c>
      <c r="G1953" s="6">
        <f t="shared" si="272"/>
        <v>4.9777500000000002E-2</v>
      </c>
      <c r="H1953" s="6">
        <f t="shared" si="273"/>
        <v>0</v>
      </c>
      <c r="I1953" s="7">
        <f t="shared" si="274"/>
        <v>-2350.1779121873387</v>
      </c>
      <c r="J1953" s="8">
        <f t="shared" si="275"/>
        <v>49777.5</v>
      </c>
      <c r="K1953" s="7">
        <f t="shared" si="276"/>
        <v>-52127.677912187341</v>
      </c>
      <c r="L1953" s="4">
        <f>IF(A1953&gt;'Yield Curve'!A2567,L1952,(1+VLOOKUP(A1953,'Yield Curve'!A1946:B2568,2,FALSE))^(1/12)-1)</f>
        <v>7.9741404289037643E-3</v>
      </c>
      <c r="M1953" s="5">
        <f t="shared" si="277"/>
        <v>-1.018600753592093E-2</v>
      </c>
    </row>
    <row r="1954" spans="1:13" x14ac:dyDescent="0.25">
      <c r="A1954" s="4">
        <v>1946</v>
      </c>
      <c r="B1954" s="4">
        <f t="shared" si="270"/>
        <v>207</v>
      </c>
      <c r="C1954" s="4">
        <f t="shared" si="271"/>
        <v>1961</v>
      </c>
      <c r="D1954" s="4">
        <f>IF(B1954&gt;'Mortality Table'!$A$118,D1953,VLOOKUP(B1954,'Mortality Table'!$A$2:$B$118,2,FALSE))</f>
        <v>0.59733000000000003</v>
      </c>
      <c r="E1954" s="4">
        <f>IF(INT((C1954-1)/12)+1&gt;'Lapse Table'!$A$11,E1953,VLOOKUP(INT((C1954-1)/12)+1,'Lapse Table'!$A$2:$B$11,2,FALSE))/12</f>
        <v>0</v>
      </c>
      <c r="F1954" s="5">
        <f t="shared" si="278"/>
        <v>-70.555114865620169</v>
      </c>
      <c r="G1954" s="6">
        <f t="shared" si="272"/>
        <v>4.9777500000000002E-2</v>
      </c>
      <c r="H1954" s="6">
        <f t="shared" si="273"/>
        <v>0</v>
      </c>
      <c r="I1954" s="7">
        <f t="shared" si="274"/>
        <v>-2351.8371621873389</v>
      </c>
      <c r="J1954" s="8">
        <f t="shared" si="275"/>
        <v>49777.5</v>
      </c>
      <c r="K1954" s="7">
        <f t="shared" si="276"/>
        <v>-52129.337162187338</v>
      </c>
      <c r="L1954" s="4">
        <f>IF(A1954&gt;'Yield Curve'!A2568,L1953,(1+VLOOKUP(A1954,'Yield Curve'!A1947:B2569,2,FALSE))^(1/12)-1)</f>
        <v>7.9741404289037643E-3</v>
      </c>
      <c r="M1954" s="5">
        <f t="shared" si="277"/>
        <v>-1.0105747114989764E-2</v>
      </c>
    </row>
    <row r="1955" spans="1:13" x14ac:dyDescent="0.25">
      <c r="A1955" s="4">
        <v>1947</v>
      </c>
      <c r="B1955" s="4">
        <f t="shared" si="270"/>
        <v>207</v>
      </c>
      <c r="C1955" s="4">
        <f t="shared" si="271"/>
        <v>1962</v>
      </c>
      <c r="D1955" s="4">
        <f>IF(B1955&gt;'Mortality Table'!$A$118,D1954,VLOOKUP(B1955,'Mortality Table'!$A$2:$B$118,2,FALSE))</f>
        <v>0.59733000000000003</v>
      </c>
      <c r="E1955" s="4">
        <f>IF(INT((C1955-1)/12)+1&gt;'Lapse Table'!$A$11,E1954,VLOOKUP(INT((C1955-1)/12)+1,'Lapse Table'!$A$2:$B$11,2,FALSE))/12</f>
        <v>0</v>
      </c>
      <c r="F1955" s="5">
        <f t="shared" si="278"/>
        <v>-70.604892365620174</v>
      </c>
      <c r="G1955" s="6">
        <f t="shared" si="272"/>
        <v>4.9777500000000002E-2</v>
      </c>
      <c r="H1955" s="6">
        <f t="shared" si="273"/>
        <v>0</v>
      </c>
      <c r="I1955" s="7">
        <f t="shared" si="274"/>
        <v>-2353.496412187339</v>
      </c>
      <c r="J1955" s="8">
        <f t="shared" si="275"/>
        <v>49777.5</v>
      </c>
      <c r="K1955" s="7">
        <f t="shared" si="276"/>
        <v>-52130.996412187342</v>
      </c>
      <c r="L1955" s="4">
        <f>IF(A1955&gt;'Yield Curve'!A2569,L1954,(1+VLOOKUP(A1955,'Yield Curve'!A1948:B2570,2,FALSE))^(1/12)-1)</f>
        <v>7.9741404289037643E-3</v>
      </c>
      <c r="M1955" s="5">
        <f t="shared" si="277"/>
        <v>-1.0026119094111292E-2</v>
      </c>
    </row>
    <row r="1956" spans="1:13" x14ac:dyDescent="0.25">
      <c r="A1956" s="4">
        <v>1948</v>
      </c>
      <c r="B1956" s="4">
        <f t="shared" si="270"/>
        <v>207</v>
      </c>
      <c r="C1956" s="4">
        <f t="shared" si="271"/>
        <v>1963</v>
      </c>
      <c r="D1956" s="4">
        <f>IF(B1956&gt;'Mortality Table'!$A$118,D1955,VLOOKUP(B1956,'Mortality Table'!$A$2:$B$118,2,FALSE))</f>
        <v>0.59733000000000003</v>
      </c>
      <c r="E1956" s="4">
        <f>IF(INT((C1956-1)/12)+1&gt;'Lapse Table'!$A$11,E1955,VLOOKUP(INT((C1956-1)/12)+1,'Lapse Table'!$A$2:$B$11,2,FALSE))/12</f>
        <v>0</v>
      </c>
      <c r="F1956" s="5">
        <f t="shared" si="278"/>
        <v>-70.654669865620178</v>
      </c>
      <c r="G1956" s="6">
        <f t="shared" si="272"/>
        <v>4.9777500000000002E-2</v>
      </c>
      <c r="H1956" s="6">
        <f t="shared" si="273"/>
        <v>0</v>
      </c>
      <c r="I1956" s="7">
        <f t="shared" si="274"/>
        <v>-2355.1556621873392</v>
      </c>
      <c r="J1956" s="8">
        <f t="shared" si="275"/>
        <v>49777.5</v>
      </c>
      <c r="K1956" s="7">
        <f t="shared" si="276"/>
        <v>-52132.655662187339</v>
      </c>
      <c r="L1956" s="4">
        <f>IF(A1956&gt;'Yield Curve'!A2570,L1955,(1+VLOOKUP(A1956,'Yield Curve'!A1949:B2571,2,FALSE))^(1/12)-1)</f>
        <v>7.9741404289037643E-3</v>
      </c>
      <c r="M1956" s="5">
        <f t="shared" si="277"/>
        <v>-9.9471184904640041E-3</v>
      </c>
    </row>
    <row r="1957" spans="1:13" x14ac:dyDescent="0.25">
      <c r="A1957" s="4">
        <v>1949</v>
      </c>
      <c r="B1957" s="4">
        <f t="shared" si="270"/>
        <v>207</v>
      </c>
      <c r="C1957" s="4">
        <f t="shared" si="271"/>
        <v>1964</v>
      </c>
      <c r="D1957" s="4">
        <f>IF(B1957&gt;'Mortality Table'!$A$118,D1956,VLOOKUP(B1957,'Mortality Table'!$A$2:$B$118,2,FALSE))</f>
        <v>0.59733000000000003</v>
      </c>
      <c r="E1957" s="4">
        <f>IF(INT((C1957-1)/12)+1&gt;'Lapse Table'!$A$11,E1956,VLOOKUP(INT((C1957-1)/12)+1,'Lapse Table'!$A$2:$B$11,2,FALSE))/12</f>
        <v>0</v>
      </c>
      <c r="F1957" s="5">
        <f t="shared" si="278"/>
        <v>-70.704447365620183</v>
      </c>
      <c r="G1957" s="6">
        <f t="shared" si="272"/>
        <v>4.9777500000000002E-2</v>
      </c>
      <c r="H1957" s="6">
        <f t="shared" si="273"/>
        <v>0</v>
      </c>
      <c r="I1957" s="7">
        <f t="shared" si="274"/>
        <v>-2356.8149121873394</v>
      </c>
      <c r="J1957" s="8">
        <f t="shared" si="275"/>
        <v>49777.5</v>
      </c>
      <c r="K1957" s="7">
        <f t="shared" si="276"/>
        <v>-52134.314912187343</v>
      </c>
      <c r="L1957" s="4">
        <f>IF(A1957&gt;'Yield Curve'!A2571,L1956,(1+VLOOKUP(A1957,'Yield Curve'!A1950:B2572,2,FALSE))^(1/12)-1)</f>
        <v>7.9741404289037643E-3</v>
      </c>
      <c r="M1957" s="5">
        <f t="shared" si="277"/>
        <v>-9.8687403604865252E-3</v>
      </c>
    </row>
    <row r="1958" spans="1:13" x14ac:dyDescent="0.25">
      <c r="A1958" s="4">
        <v>1950</v>
      </c>
      <c r="B1958" s="4">
        <f t="shared" si="270"/>
        <v>207</v>
      </c>
      <c r="C1958" s="4">
        <f t="shared" si="271"/>
        <v>1965</v>
      </c>
      <c r="D1958" s="4">
        <f>IF(B1958&gt;'Mortality Table'!$A$118,D1957,VLOOKUP(B1958,'Mortality Table'!$A$2:$B$118,2,FALSE))</f>
        <v>0.59733000000000003</v>
      </c>
      <c r="E1958" s="4">
        <f>IF(INT((C1958-1)/12)+1&gt;'Lapse Table'!$A$11,E1957,VLOOKUP(INT((C1958-1)/12)+1,'Lapse Table'!$A$2:$B$11,2,FALSE))/12</f>
        <v>0</v>
      </c>
      <c r="F1958" s="5">
        <f t="shared" si="278"/>
        <v>-70.754224865620188</v>
      </c>
      <c r="G1958" s="6">
        <f t="shared" si="272"/>
        <v>4.9777500000000002E-2</v>
      </c>
      <c r="H1958" s="6">
        <f t="shared" si="273"/>
        <v>0</v>
      </c>
      <c r="I1958" s="7">
        <f t="shared" si="274"/>
        <v>-2358.4741621873395</v>
      </c>
      <c r="J1958" s="8">
        <f t="shared" si="275"/>
        <v>49777.5</v>
      </c>
      <c r="K1958" s="7">
        <f t="shared" si="276"/>
        <v>-52135.97416218734</v>
      </c>
      <c r="L1958" s="4">
        <f>IF(A1958&gt;'Yield Curve'!A2572,L1957,(1+VLOOKUP(A1958,'Yield Curve'!A1951:B2573,2,FALSE))^(1/12)-1)</f>
        <v>7.9741404289037643E-3</v>
      </c>
      <c r="M1958" s="5">
        <f t="shared" si="277"/>
        <v>-9.7909797995682727E-3</v>
      </c>
    </row>
    <row r="1959" spans="1:13" x14ac:dyDescent="0.25">
      <c r="A1959" s="4">
        <v>1951</v>
      </c>
      <c r="B1959" s="4">
        <f t="shared" si="270"/>
        <v>207</v>
      </c>
      <c r="C1959" s="4">
        <f t="shared" si="271"/>
        <v>1966</v>
      </c>
      <c r="D1959" s="4">
        <f>IF(B1959&gt;'Mortality Table'!$A$118,D1958,VLOOKUP(B1959,'Mortality Table'!$A$2:$B$118,2,FALSE))</f>
        <v>0.59733000000000003</v>
      </c>
      <c r="E1959" s="4">
        <f>IF(INT((C1959-1)/12)+1&gt;'Lapse Table'!$A$11,E1958,VLOOKUP(INT((C1959-1)/12)+1,'Lapse Table'!$A$2:$B$11,2,FALSE))/12</f>
        <v>0</v>
      </c>
      <c r="F1959" s="5">
        <f t="shared" si="278"/>
        <v>-70.804002365620192</v>
      </c>
      <c r="G1959" s="6">
        <f t="shared" si="272"/>
        <v>4.9777500000000002E-2</v>
      </c>
      <c r="H1959" s="6">
        <f t="shared" si="273"/>
        <v>0</v>
      </c>
      <c r="I1959" s="7">
        <f t="shared" si="274"/>
        <v>-2360.1334121873397</v>
      </c>
      <c r="J1959" s="8">
        <f t="shared" si="275"/>
        <v>49777.5</v>
      </c>
      <c r="K1959" s="7">
        <f t="shared" si="276"/>
        <v>-52137.633412187337</v>
      </c>
      <c r="L1959" s="4">
        <f>IF(A1959&gt;'Yield Curve'!A2573,L1958,(1+VLOOKUP(A1959,'Yield Curve'!A1952:B2574,2,FALSE))^(1/12)-1)</f>
        <v>7.9741404289037643E-3</v>
      </c>
      <c r="M1959" s="5">
        <f t="shared" si="277"/>
        <v>-9.7138319417425685E-3</v>
      </c>
    </row>
    <row r="1960" spans="1:13" x14ac:dyDescent="0.25">
      <c r="A1960" s="4">
        <v>1952</v>
      </c>
      <c r="B1960" s="4">
        <f t="shared" si="270"/>
        <v>207</v>
      </c>
      <c r="C1960" s="4">
        <f t="shared" si="271"/>
        <v>1967</v>
      </c>
      <c r="D1960" s="4">
        <f>IF(B1960&gt;'Mortality Table'!$A$118,D1959,VLOOKUP(B1960,'Mortality Table'!$A$2:$B$118,2,FALSE))</f>
        <v>0.59733000000000003</v>
      </c>
      <c r="E1960" s="4">
        <f>IF(INT((C1960-1)/12)+1&gt;'Lapse Table'!$A$11,E1959,VLOOKUP(INT((C1960-1)/12)+1,'Lapse Table'!$A$2:$B$11,2,FALSE))/12</f>
        <v>0</v>
      </c>
      <c r="F1960" s="5">
        <f t="shared" si="278"/>
        <v>-70.853779865620197</v>
      </c>
      <c r="G1960" s="6">
        <f t="shared" si="272"/>
        <v>4.9777500000000002E-2</v>
      </c>
      <c r="H1960" s="6">
        <f t="shared" si="273"/>
        <v>0</v>
      </c>
      <c r="I1960" s="7">
        <f t="shared" si="274"/>
        <v>-2361.7926621873398</v>
      </c>
      <c r="J1960" s="8">
        <f t="shared" si="275"/>
        <v>49777.5</v>
      </c>
      <c r="K1960" s="7">
        <f t="shared" si="276"/>
        <v>-52139.292662187341</v>
      </c>
      <c r="L1960" s="4">
        <f>IF(A1960&gt;'Yield Curve'!A2574,L1959,(1+VLOOKUP(A1960,'Yield Curve'!A1953:B2575,2,FALSE))^(1/12)-1)</f>
        <v>7.9741404289037643E-3</v>
      </c>
      <c r="M1960" s="5">
        <f t="shared" si="277"/>
        <v>-9.6372919593821545E-3</v>
      </c>
    </row>
    <row r="1961" spans="1:13" x14ac:dyDescent="0.25">
      <c r="A1961" s="4">
        <v>1953</v>
      </c>
      <c r="B1961" s="4">
        <f t="shared" si="270"/>
        <v>207</v>
      </c>
      <c r="C1961" s="4">
        <f t="shared" si="271"/>
        <v>1968</v>
      </c>
      <c r="D1961" s="4">
        <f>IF(B1961&gt;'Mortality Table'!$A$118,D1960,VLOOKUP(B1961,'Mortality Table'!$A$2:$B$118,2,FALSE))</f>
        <v>0.59733000000000003</v>
      </c>
      <c r="E1961" s="4">
        <f>IF(INT((C1961-1)/12)+1&gt;'Lapse Table'!$A$11,E1960,VLOOKUP(INT((C1961-1)/12)+1,'Lapse Table'!$A$2:$B$11,2,FALSE))/12</f>
        <v>0</v>
      </c>
      <c r="F1961" s="5">
        <f t="shared" si="278"/>
        <v>-70.903557365620202</v>
      </c>
      <c r="G1961" s="6">
        <f t="shared" si="272"/>
        <v>4.9777500000000002E-2</v>
      </c>
      <c r="H1961" s="6">
        <f t="shared" si="273"/>
        <v>0</v>
      </c>
      <c r="I1961" s="7">
        <f t="shared" si="274"/>
        <v>-2363.45191218734</v>
      </c>
      <c r="J1961" s="8">
        <f t="shared" si="275"/>
        <v>49777.5</v>
      </c>
      <c r="K1961" s="7">
        <f t="shared" si="276"/>
        <v>-52140.951912187338</v>
      </c>
      <c r="L1961" s="4">
        <f>IF(A1961&gt;'Yield Curve'!A2575,L1960,(1+VLOOKUP(A1961,'Yield Curve'!A1954:B2576,2,FALSE))^(1/12)-1)</f>
        <v>7.9741404289037643E-3</v>
      </c>
      <c r="M1961" s="5">
        <f t="shared" si="277"/>
        <v>-9.5613550628971429E-3</v>
      </c>
    </row>
    <row r="1962" spans="1:13" x14ac:dyDescent="0.25">
      <c r="A1962" s="4">
        <v>1954</v>
      </c>
      <c r="B1962" s="4">
        <f t="shared" si="270"/>
        <v>207</v>
      </c>
      <c r="C1962" s="4">
        <f t="shared" si="271"/>
        <v>1969</v>
      </c>
      <c r="D1962" s="4">
        <f>IF(B1962&gt;'Mortality Table'!$A$118,D1961,VLOOKUP(B1962,'Mortality Table'!$A$2:$B$118,2,FALSE))</f>
        <v>0.59733000000000003</v>
      </c>
      <c r="E1962" s="4">
        <f>IF(INT((C1962-1)/12)+1&gt;'Lapse Table'!$A$11,E1961,VLOOKUP(INT((C1962-1)/12)+1,'Lapse Table'!$A$2:$B$11,2,FALSE))/12</f>
        <v>0</v>
      </c>
      <c r="F1962" s="5">
        <f t="shared" si="278"/>
        <v>-70.953334865620207</v>
      </c>
      <c r="G1962" s="6">
        <f t="shared" si="272"/>
        <v>4.9777500000000002E-2</v>
      </c>
      <c r="H1962" s="6">
        <f t="shared" si="273"/>
        <v>0</v>
      </c>
      <c r="I1962" s="7">
        <f t="shared" si="274"/>
        <v>-2365.1111621873401</v>
      </c>
      <c r="J1962" s="8">
        <f t="shared" si="275"/>
        <v>49777.5</v>
      </c>
      <c r="K1962" s="7">
        <f t="shared" si="276"/>
        <v>-52142.611162187342</v>
      </c>
      <c r="L1962" s="4">
        <f>IF(A1962&gt;'Yield Curve'!A2576,L1961,(1+VLOOKUP(A1962,'Yield Curve'!A1955:B2577,2,FALSE))^(1/12)-1)</f>
        <v>7.9741404289037643E-3</v>
      </c>
      <c r="M1962" s="5">
        <f t="shared" si="277"/>
        <v>-9.4860165004352938E-3</v>
      </c>
    </row>
    <row r="1963" spans="1:13" x14ac:dyDescent="0.25">
      <c r="A1963" s="4">
        <v>1955</v>
      </c>
      <c r="B1963" s="4">
        <f t="shared" si="270"/>
        <v>207</v>
      </c>
      <c r="C1963" s="4">
        <f t="shared" si="271"/>
        <v>1970</v>
      </c>
      <c r="D1963" s="4">
        <f>IF(B1963&gt;'Mortality Table'!$A$118,D1962,VLOOKUP(B1963,'Mortality Table'!$A$2:$B$118,2,FALSE))</f>
        <v>0.59733000000000003</v>
      </c>
      <c r="E1963" s="4">
        <f>IF(INT((C1963-1)/12)+1&gt;'Lapse Table'!$A$11,E1962,VLOOKUP(INT((C1963-1)/12)+1,'Lapse Table'!$A$2:$B$11,2,FALSE))/12</f>
        <v>0</v>
      </c>
      <c r="F1963" s="5">
        <f t="shared" si="278"/>
        <v>-71.003112365620211</v>
      </c>
      <c r="G1963" s="6">
        <f t="shared" si="272"/>
        <v>4.9777500000000002E-2</v>
      </c>
      <c r="H1963" s="6">
        <f t="shared" si="273"/>
        <v>0</v>
      </c>
      <c r="I1963" s="7">
        <f t="shared" si="274"/>
        <v>-2366.7704121873403</v>
      </c>
      <c r="J1963" s="8">
        <f t="shared" si="275"/>
        <v>49777.5</v>
      </c>
      <c r="K1963" s="7">
        <f t="shared" si="276"/>
        <v>-52144.270412187339</v>
      </c>
      <c r="L1963" s="4">
        <f>IF(A1963&gt;'Yield Curve'!A2577,L1962,(1+VLOOKUP(A1963,'Yield Curve'!A1956:B2578,2,FALSE))^(1/12)-1)</f>
        <v>7.9741404289037643E-3</v>
      </c>
      <c r="M1963" s="5">
        <f t="shared" si="277"/>
        <v>-9.411271557584696E-3</v>
      </c>
    </row>
    <row r="1964" spans="1:13" x14ac:dyDescent="0.25">
      <c r="A1964" s="4">
        <v>1956</v>
      </c>
      <c r="B1964" s="4">
        <f t="shared" si="270"/>
        <v>208</v>
      </c>
      <c r="C1964" s="4">
        <f t="shared" si="271"/>
        <v>1971</v>
      </c>
      <c r="D1964" s="4">
        <f>IF(B1964&gt;'Mortality Table'!$A$118,D1963,VLOOKUP(B1964,'Mortality Table'!$A$2:$B$118,2,FALSE))</f>
        <v>0.59733000000000003</v>
      </c>
      <c r="E1964" s="4">
        <f>IF(INT((C1964-1)/12)+1&gt;'Lapse Table'!$A$11,E1963,VLOOKUP(INT((C1964-1)/12)+1,'Lapse Table'!$A$2:$B$11,2,FALSE))/12</f>
        <v>0</v>
      </c>
      <c r="F1964" s="5">
        <f t="shared" si="278"/>
        <v>-71.052889865620216</v>
      </c>
      <c r="G1964" s="6">
        <f t="shared" si="272"/>
        <v>4.9777500000000002E-2</v>
      </c>
      <c r="H1964" s="6">
        <f t="shared" si="273"/>
        <v>0</v>
      </c>
      <c r="I1964" s="7">
        <f t="shared" si="274"/>
        <v>-2368.4296621873405</v>
      </c>
      <c r="J1964" s="8">
        <f t="shared" si="275"/>
        <v>49777.5</v>
      </c>
      <c r="K1964" s="7">
        <f t="shared" si="276"/>
        <v>-52145.929662187344</v>
      </c>
      <c r="L1964" s="4">
        <f>IF(A1964&gt;'Yield Curve'!A2578,L1963,(1+VLOOKUP(A1964,'Yield Curve'!A1957:B2579,2,FALSE))^(1/12)-1)</f>
        <v>7.9741404289037643E-3</v>
      </c>
      <c r="M1964" s="5">
        <f t="shared" si="277"/>
        <v>-9.3371155570787703E-3</v>
      </c>
    </row>
    <row r="1965" spans="1:13" x14ac:dyDescent="0.25">
      <c r="A1965" s="4">
        <v>1957</v>
      </c>
      <c r="B1965" s="4">
        <f t="shared" si="270"/>
        <v>208</v>
      </c>
      <c r="C1965" s="4">
        <f t="shared" si="271"/>
        <v>1972</v>
      </c>
      <c r="D1965" s="4">
        <f>IF(B1965&gt;'Mortality Table'!$A$118,D1964,VLOOKUP(B1965,'Mortality Table'!$A$2:$B$118,2,FALSE))</f>
        <v>0.59733000000000003</v>
      </c>
      <c r="E1965" s="4">
        <f>IF(INT((C1965-1)/12)+1&gt;'Lapse Table'!$A$11,E1964,VLOOKUP(INT((C1965-1)/12)+1,'Lapse Table'!$A$2:$B$11,2,FALSE))/12</f>
        <v>0</v>
      </c>
      <c r="F1965" s="5">
        <f t="shared" si="278"/>
        <v>-71.102667365620221</v>
      </c>
      <c r="G1965" s="6">
        <f t="shared" si="272"/>
        <v>4.9777500000000002E-2</v>
      </c>
      <c r="H1965" s="6">
        <f t="shared" si="273"/>
        <v>0</v>
      </c>
      <c r="I1965" s="7">
        <f t="shared" si="274"/>
        <v>-2370.0889121873406</v>
      </c>
      <c r="J1965" s="8">
        <f t="shared" si="275"/>
        <v>49777.5</v>
      </c>
      <c r="K1965" s="7">
        <f t="shared" si="276"/>
        <v>-52147.588912187341</v>
      </c>
      <c r="L1965" s="4">
        <f>IF(A1965&gt;'Yield Curve'!A2579,L1964,(1+VLOOKUP(A1965,'Yield Curve'!A1958:B2580,2,FALSE))^(1/12)-1)</f>
        <v>7.9741404289037643E-3</v>
      </c>
      <c r="M1965" s="5">
        <f t="shared" si="277"/>
        <v>-9.2635438585036058E-3</v>
      </c>
    </row>
    <row r="1966" spans="1:13" x14ac:dyDescent="0.25">
      <c r="A1966" s="4">
        <v>1958</v>
      </c>
      <c r="B1966" s="4">
        <f t="shared" si="270"/>
        <v>208</v>
      </c>
      <c r="C1966" s="4">
        <f t="shared" si="271"/>
        <v>1973</v>
      </c>
      <c r="D1966" s="4">
        <f>IF(B1966&gt;'Mortality Table'!$A$118,D1965,VLOOKUP(B1966,'Mortality Table'!$A$2:$B$118,2,FALSE))</f>
        <v>0.59733000000000003</v>
      </c>
      <c r="E1966" s="4">
        <f>IF(INT((C1966-1)/12)+1&gt;'Lapse Table'!$A$11,E1965,VLOOKUP(INT((C1966-1)/12)+1,'Lapse Table'!$A$2:$B$11,2,FALSE))/12</f>
        <v>0</v>
      </c>
      <c r="F1966" s="5">
        <f t="shared" si="278"/>
        <v>-71.152444865620225</v>
      </c>
      <c r="G1966" s="6">
        <f t="shared" si="272"/>
        <v>4.9777500000000002E-2</v>
      </c>
      <c r="H1966" s="6">
        <f t="shared" si="273"/>
        <v>0</v>
      </c>
      <c r="I1966" s="7">
        <f t="shared" si="274"/>
        <v>-2371.7481621873408</v>
      </c>
      <c r="J1966" s="8">
        <f t="shared" si="275"/>
        <v>49777.5</v>
      </c>
      <c r="K1966" s="7">
        <f t="shared" si="276"/>
        <v>-52149.248162187338</v>
      </c>
      <c r="L1966" s="4">
        <f>IF(A1966&gt;'Yield Curve'!A2580,L1965,(1+VLOOKUP(A1966,'Yield Curve'!A1959:B2581,2,FALSE))^(1/12)-1)</f>
        <v>7.9741404289037643E-3</v>
      </c>
      <c r="M1966" s="5">
        <f t="shared" si="277"/>
        <v>-9.1905518580075955E-3</v>
      </c>
    </row>
    <row r="1967" spans="1:13" x14ac:dyDescent="0.25">
      <c r="A1967" s="4">
        <v>1959</v>
      </c>
      <c r="B1967" s="4">
        <f t="shared" si="270"/>
        <v>208</v>
      </c>
      <c r="C1967" s="4">
        <f t="shared" si="271"/>
        <v>1974</v>
      </c>
      <c r="D1967" s="4">
        <f>IF(B1967&gt;'Mortality Table'!$A$118,D1966,VLOOKUP(B1967,'Mortality Table'!$A$2:$B$118,2,FALSE))</f>
        <v>0.59733000000000003</v>
      </c>
      <c r="E1967" s="4">
        <f>IF(INT((C1967-1)/12)+1&gt;'Lapse Table'!$A$11,E1966,VLOOKUP(INT((C1967-1)/12)+1,'Lapse Table'!$A$2:$B$11,2,FALSE))/12</f>
        <v>0</v>
      </c>
      <c r="F1967" s="5">
        <f t="shared" si="278"/>
        <v>-71.20222236562023</v>
      </c>
      <c r="G1967" s="6">
        <f t="shared" si="272"/>
        <v>4.9777500000000002E-2</v>
      </c>
      <c r="H1967" s="6">
        <f t="shared" si="273"/>
        <v>0</v>
      </c>
      <c r="I1967" s="7">
        <f t="shared" si="274"/>
        <v>-2373.4074121873409</v>
      </c>
      <c r="J1967" s="8">
        <f t="shared" si="275"/>
        <v>49777.5</v>
      </c>
      <c r="K1967" s="7">
        <f t="shared" si="276"/>
        <v>-52150.907412187342</v>
      </c>
      <c r="L1967" s="4">
        <f>IF(A1967&gt;'Yield Curve'!A2581,L1966,(1+VLOOKUP(A1967,'Yield Curve'!A1960:B2582,2,FALSE))^(1/12)-1)</f>
        <v>7.9741404289037643E-3</v>
      </c>
      <c r="M1967" s="5">
        <f t="shared" si="277"/>
        <v>-9.1181349880133742E-3</v>
      </c>
    </row>
    <row r="1968" spans="1:13" x14ac:dyDescent="0.25">
      <c r="A1968" s="4">
        <v>1960</v>
      </c>
      <c r="B1968" s="4">
        <f t="shared" si="270"/>
        <v>208</v>
      </c>
      <c r="C1968" s="4">
        <f t="shared" si="271"/>
        <v>1975</v>
      </c>
      <c r="D1968" s="4">
        <f>IF(B1968&gt;'Mortality Table'!$A$118,D1967,VLOOKUP(B1968,'Mortality Table'!$A$2:$B$118,2,FALSE))</f>
        <v>0.59733000000000003</v>
      </c>
      <c r="E1968" s="4">
        <f>IF(INT((C1968-1)/12)+1&gt;'Lapse Table'!$A$11,E1967,VLOOKUP(INT((C1968-1)/12)+1,'Lapse Table'!$A$2:$B$11,2,FALSE))/12</f>
        <v>0</v>
      </c>
      <c r="F1968" s="5">
        <f t="shared" si="278"/>
        <v>-71.251999865620235</v>
      </c>
      <c r="G1968" s="6">
        <f t="shared" si="272"/>
        <v>4.9777500000000002E-2</v>
      </c>
      <c r="H1968" s="6">
        <f t="shared" si="273"/>
        <v>0</v>
      </c>
      <c r="I1968" s="7">
        <f t="shared" si="274"/>
        <v>-2375.0666621873411</v>
      </c>
      <c r="J1968" s="8">
        <f t="shared" si="275"/>
        <v>49777.5</v>
      </c>
      <c r="K1968" s="7">
        <f t="shared" si="276"/>
        <v>-52152.566662187339</v>
      </c>
      <c r="L1968" s="4">
        <f>IF(A1968&gt;'Yield Curve'!A2582,L1967,(1+VLOOKUP(A1968,'Yield Curve'!A1961:B2583,2,FALSE))^(1/12)-1)</f>
        <v>7.9741404289037643E-3</v>
      </c>
      <c r="M1968" s="5">
        <f t="shared" si="277"/>
        <v>-9.0462887169319821E-3</v>
      </c>
    </row>
    <row r="1969" spans="1:13" x14ac:dyDescent="0.25">
      <c r="A1969" s="4">
        <v>1961</v>
      </c>
      <c r="B1969" s="4">
        <f t="shared" si="270"/>
        <v>208</v>
      </c>
      <c r="C1969" s="4">
        <f t="shared" si="271"/>
        <v>1976</v>
      </c>
      <c r="D1969" s="4">
        <f>IF(B1969&gt;'Mortality Table'!$A$118,D1968,VLOOKUP(B1969,'Mortality Table'!$A$2:$B$118,2,FALSE))</f>
        <v>0.59733000000000003</v>
      </c>
      <c r="E1969" s="4">
        <f>IF(INT((C1969-1)/12)+1&gt;'Lapse Table'!$A$11,E1968,VLOOKUP(INT((C1969-1)/12)+1,'Lapse Table'!$A$2:$B$11,2,FALSE))/12</f>
        <v>0</v>
      </c>
      <c r="F1969" s="5">
        <f t="shared" si="278"/>
        <v>-71.301777365620239</v>
      </c>
      <c r="G1969" s="6">
        <f t="shared" si="272"/>
        <v>4.9777500000000002E-2</v>
      </c>
      <c r="H1969" s="6">
        <f t="shared" si="273"/>
        <v>0</v>
      </c>
      <c r="I1969" s="7">
        <f t="shared" si="274"/>
        <v>-2376.7259121873412</v>
      </c>
      <c r="J1969" s="8">
        <f t="shared" si="275"/>
        <v>49777.5</v>
      </c>
      <c r="K1969" s="7">
        <f t="shared" si="276"/>
        <v>-52154.225912187343</v>
      </c>
      <c r="L1969" s="4">
        <f>IF(A1969&gt;'Yield Curve'!A2583,L1968,(1+VLOOKUP(A1969,'Yield Curve'!A1962:B2584,2,FALSE))^(1/12)-1)</f>
        <v>7.9741404289037643E-3</v>
      </c>
      <c r="M1969" s="5">
        <f t="shared" si="277"/>
        <v>-8.9750085488793634E-3</v>
      </c>
    </row>
    <row r="1970" spans="1:13" x14ac:dyDescent="0.25">
      <c r="A1970" s="4">
        <v>1962</v>
      </c>
      <c r="B1970" s="4">
        <f t="shared" si="270"/>
        <v>208</v>
      </c>
      <c r="C1970" s="4">
        <f t="shared" si="271"/>
        <v>1977</v>
      </c>
      <c r="D1970" s="4">
        <f>IF(B1970&gt;'Mortality Table'!$A$118,D1969,VLOOKUP(B1970,'Mortality Table'!$A$2:$B$118,2,FALSE))</f>
        <v>0.59733000000000003</v>
      </c>
      <c r="E1970" s="4">
        <f>IF(INT((C1970-1)/12)+1&gt;'Lapse Table'!$A$11,E1969,VLOOKUP(INT((C1970-1)/12)+1,'Lapse Table'!$A$2:$B$11,2,FALSE))/12</f>
        <v>0</v>
      </c>
      <c r="F1970" s="5">
        <f t="shared" si="278"/>
        <v>-71.351554865620244</v>
      </c>
      <c r="G1970" s="6">
        <f t="shared" si="272"/>
        <v>4.9777500000000002E-2</v>
      </c>
      <c r="H1970" s="6">
        <f t="shared" si="273"/>
        <v>0</v>
      </c>
      <c r="I1970" s="7">
        <f t="shared" si="274"/>
        <v>-2378.3851621873414</v>
      </c>
      <c r="J1970" s="8">
        <f t="shared" si="275"/>
        <v>49777.5</v>
      </c>
      <c r="K1970" s="7">
        <f t="shared" si="276"/>
        <v>-52155.88516218734</v>
      </c>
      <c r="L1970" s="4">
        <f>IF(A1970&gt;'Yield Curve'!A2584,L1969,(1+VLOOKUP(A1970,'Yield Curve'!A1963:B2585,2,FALSE))^(1/12)-1)</f>
        <v>7.9741404289037643E-3</v>
      </c>
      <c r="M1970" s="5">
        <f t="shared" si="277"/>
        <v>-8.9042900233949999E-3</v>
      </c>
    </row>
    <row r="1971" spans="1:13" x14ac:dyDescent="0.25">
      <c r="A1971" s="4">
        <v>1963</v>
      </c>
      <c r="B1971" s="4">
        <f t="shared" si="270"/>
        <v>208</v>
      </c>
      <c r="C1971" s="4">
        <f t="shared" si="271"/>
        <v>1978</v>
      </c>
      <c r="D1971" s="4">
        <f>IF(B1971&gt;'Mortality Table'!$A$118,D1970,VLOOKUP(B1971,'Mortality Table'!$A$2:$B$118,2,FALSE))</f>
        <v>0.59733000000000003</v>
      </c>
      <c r="E1971" s="4">
        <f>IF(INT((C1971-1)/12)+1&gt;'Lapse Table'!$A$11,E1970,VLOOKUP(INT((C1971-1)/12)+1,'Lapse Table'!$A$2:$B$11,2,FALSE))/12</f>
        <v>0</v>
      </c>
      <c r="F1971" s="5">
        <f t="shared" si="278"/>
        <v>-71.401332365620249</v>
      </c>
      <c r="G1971" s="6">
        <f t="shared" si="272"/>
        <v>4.9777500000000002E-2</v>
      </c>
      <c r="H1971" s="6">
        <f t="shared" si="273"/>
        <v>0</v>
      </c>
      <c r="I1971" s="7">
        <f t="shared" si="274"/>
        <v>-2380.0444121873415</v>
      </c>
      <c r="J1971" s="8">
        <f t="shared" si="275"/>
        <v>49777.5</v>
      </c>
      <c r="K1971" s="7">
        <f t="shared" si="276"/>
        <v>-52157.544412187344</v>
      </c>
      <c r="L1971" s="4">
        <f>IF(A1971&gt;'Yield Curve'!A2585,L1970,(1+VLOOKUP(A1971,'Yield Curve'!A1964:B2586,2,FALSE))^(1/12)-1)</f>
        <v>7.9741404289037643E-3</v>
      </c>
      <c r="M1971" s="5">
        <f t="shared" si="277"/>
        <v>-8.8341287151628457E-3</v>
      </c>
    </row>
    <row r="1972" spans="1:13" x14ac:dyDescent="0.25">
      <c r="A1972" s="4">
        <v>1964</v>
      </c>
      <c r="B1972" s="4">
        <f t="shared" si="270"/>
        <v>208</v>
      </c>
      <c r="C1972" s="4">
        <f t="shared" si="271"/>
        <v>1979</v>
      </c>
      <c r="D1972" s="4">
        <f>IF(B1972&gt;'Mortality Table'!$A$118,D1971,VLOOKUP(B1972,'Mortality Table'!$A$2:$B$118,2,FALSE))</f>
        <v>0.59733000000000003</v>
      </c>
      <c r="E1972" s="4">
        <f>IF(INT((C1972-1)/12)+1&gt;'Lapse Table'!$A$11,E1971,VLOOKUP(INT((C1972-1)/12)+1,'Lapse Table'!$A$2:$B$11,2,FALSE))/12</f>
        <v>0</v>
      </c>
      <c r="F1972" s="5">
        <f t="shared" si="278"/>
        <v>-71.451109865620253</v>
      </c>
      <c r="G1972" s="6">
        <f t="shared" si="272"/>
        <v>4.9777500000000002E-2</v>
      </c>
      <c r="H1972" s="6">
        <f t="shared" si="273"/>
        <v>0</v>
      </c>
      <c r="I1972" s="7">
        <f t="shared" si="274"/>
        <v>-2381.7036621873417</v>
      </c>
      <c r="J1972" s="8">
        <f t="shared" si="275"/>
        <v>49777.5</v>
      </c>
      <c r="K1972" s="7">
        <f t="shared" si="276"/>
        <v>-52159.203662187341</v>
      </c>
      <c r="L1972" s="4">
        <f>IF(A1972&gt;'Yield Curve'!A2586,L1971,(1+VLOOKUP(A1972,'Yield Curve'!A1965:B2587,2,FALSE))^(1/12)-1)</f>
        <v>7.9741404289037643E-3</v>
      </c>
      <c r="M1972" s="5">
        <f t="shared" si="277"/>
        <v>-8.7645202337343943E-3</v>
      </c>
    </row>
    <row r="1973" spans="1:13" x14ac:dyDescent="0.25">
      <c r="A1973" s="4">
        <v>1965</v>
      </c>
      <c r="B1973" s="4">
        <f t="shared" si="270"/>
        <v>208</v>
      </c>
      <c r="C1973" s="4">
        <f t="shared" si="271"/>
        <v>1980</v>
      </c>
      <c r="D1973" s="4">
        <f>IF(B1973&gt;'Mortality Table'!$A$118,D1972,VLOOKUP(B1973,'Mortality Table'!$A$2:$B$118,2,FALSE))</f>
        <v>0.59733000000000003</v>
      </c>
      <c r="E1973" s="4">
        <f>IF(INT((C1973-1)/12)+1&gt;'Lapse Table'!$A$11,E1972,VLOOKUP(INT((C1973-1)/12)+1,'Lapse Table'!$A$2:$B$11,2,FALSE))/12</f>
        <v>0</v>
      </c>
      <c r="F1973" s="5">
        <f t="shared" si="278"/>
        <v>-71.500887365620258</v>
      </c>
      <c r="G1973" s="6">
        <f t="shared" si="272"/>
        <v>4.9777500000000002E-2</v>
      </c>
      <c r="H1973" s="6">
        <f t="shared" si="273"/>
        <v>0</v>
      </c>
      <c r="I1973" s="7">
        <f t="shared" si="274"/>
        <v>-2383.3629121873419</v>
      </c>
      <c r="J1973" s="8">
        <f t="shared" si="275"/>
        <v>49777.5</v>
      </c>
      <c r="K1973" s="7">
        <f t="shared" si="276"/>
        <v>-52160.862912187338</v>
      </c>
      <c r="L1973" s="4">
        <f>IF(A1973&gt;'Yield Curve'!A2587,L1972,(1+VLOOKUP(A1973,'Yield Curve'!A1966:B2588,2,FALSE))^(1/12)-1)</f>
        <v>7.9741404289037643E-3</v>
      </c>
      <c r="M1973" s="5">
        <f t="shared" si="277"/>
        <v>-8.6954602232539816E-3</v>
      </c>
    </row>
    <row r="1974" spans="1:13" x14ac:dyDescent="0.25">
      <c r="A1974" s="4">
        <v>1966</v>
      </c>
      <c r="B1974" s="4">
        <f t="shared" si="270"/>
        <v>208</v>
      </c>
      <c r="C1974" s="4">
        <f t="shared" si="271"/>
        <v>1981</v>
      </c>
      <c r="D1974" s="4">
        <f>IF(B1974&gt;'Mortality Table'!$A$118,D1973,VLOOKUP(B1974,'Mortality Table'!$A$2:$B$118,2,FALSE))</f>
        <v>0.59733000000000003</v>
      </c>
      <c r="E1974" s="4">
        <f>IF(INT((C1974-1)/12)+1&gt;'Lapse Table'!$A$11,E1973,VLOOKUP(INT((C1974-1)/12)+1,'Lapse Table'!$A$2:$B$11,2,FALSE))/12</f>
        <v>0</v>
      </c>
      <c r="F1974" s="5">
        <f t="shared" si="278"/>
        <v>-71.550664865620263</v>
      </c>
      <c r="G1974" s="6">
        <f t="shared" si="272"/>
        <v>4.9777500000000002E-2</v>
      </c>
      <c r="H1974" s="6">
        <f t="shared" si="273"/>
        <v>0</v>
      </c>
      <c r="I1974" s="7">
        <f t="shared" si="274"/>
        <v>-2385.022162187342</v>
      </c>
      <c r="J1974" s="8">
        <f t="shared" si="275"/>
        <v>49777.5</v>
      </c>
      <c r="K1974" s="7">
        <f t="shared" si="276"/>
        <v>-52162.522162187342</v>
      </c>
      <c r="L1974" s="4">
        <f>IF(A1974&gt;'Yield Curve'!A2588,L1973,(1+VLOOKUP(A1974,'Yield Curve'!A1967:B2589,2,FALSE))^(1/12)-1)</f>
        <v>7.9741404289037643E-3</v>
      </c>
      <c r="M1974" s="5">
        <f t="shared" si="277"/>
        <v>-8.6269443621862264E-3</v>
      </c>
    </row>
    <row r="1975" spans="1:13" x14ac:dyDescent="0.25">
      <c r="A1975" s="4">
        <v>1967</v>
      </c>
      <c r="B1975" s="4">
        <f t="shared" si="270"/>
        <v>208</v>
      </c>
      <c r="C1975" s="4">
        <f t="shared" si="271"/>
        <v>1982</v>
      </c>
      <c r="D1975" s="4">
        <f>IF(B1975&gt;'Mortality Table'!$A$118,D1974,VLOOKUP(B1975,'Mortality Table'!$A$2:$B$118,2,FALSE))</f>
        <v>0.59733000000000003</v>
      </c>
      <c r="E1975" s="4">
        <f>IF(INT((C1975-1)/12)+1&gt;'Lapse Table'!$A$11,E1974,VLOOKUP(INT((C1975-1)/12)+1,'Lapse Table'!$A$2:$B$11,2,FALSE))/12</f>
        <v>0</v>
      </c>
      <c r="F1975" s="5">
        <f t="shared" si="278"/>
        <v>-71.600442365620268</v>
      </c>
      <c r="G1975" s="6">
        <f t="shared" si="272"/>
        <v>4.9777500000000002E-2</v>
      </c>
      <c r="H1975" s="6">
        <f t="shared" si="273"/>
        <v>0</v>
      </c>
      <c r="I1975" s="7">
        <f t="shared" si="274"/>
        <v>-2386.6814121873422</v>
      </c>
      <c r="J1975" s="8">
        <f t="shared" si="275"/>
        <v>49777.5</v>
      </c>
      <c r="K1975" s="7">
        <f t="shared" si="276"/>
        <v>-52164.181412187339</v>
      </c>
      <c r="L1975" s="4">
        <f>IF(A1975&gt;'Yield Curve'!A2589,L1974,(1+VLOOKUP(A1975,'Yield Curve'!A1968:B2590,2,FALSE))^(1/12)-1)</f>
        <v>7.9741404289037643E-3</v>
      </c>
      <c r="M1975" s="5">
        <f t="shared" si="277"/>
        <v>-8.5589683630456007E-3</v>
      </c>
    </row>
    <row r="1976" spans="1:13" x14ac:dyDescent="0.25">
      <c r="A1976" s="4">
        <v>1968</v>
      </c>
      <c r="B1976" s="4">
        <f t="shared" si="270"/>
        <v>209</v>
      </c>
      <c r="C1976" s="4">
        <f t="shared" si="271"/>
        <v>1983</v>
      </c>
      <c r="D1976" s="4">
        <f>IF(B1976&gt;'Mortality Table'!$A$118,D1975,VLOOKUP(B1976,'Mortality Table'!$A$2:$B$118,2,FALSE))</f>
        <v>0.59733000000000003</v>
      </c>
      <c r="E1976" s="4">
        <f>IF(INT((C1976-1)/12)+1&gt;'Lapse Table'!$A$11,E1975,VLOOKUP(INT((C1976-1)/12)+1,'Lapse Table'!$A$2:$B$11,2,FALSE))/12</f>
        <v>0</v>
      </c>
      <c r="F1976" s="5">
        <f t="shared" si="278"/>
        <v>-71.650219865620272</v>
      </c>
      <c r="G1976" s="6">
        <f t="shared" si="272"/>
        <v>4.9777500000000002E-2</v>
      </c>
      <c r="H1976" s="6">
        <f t="shared" si="273"/>
        <v>0</v>
      </c>
      <c r="I1976" s="7">
        <f t="shared" si="274"/>
        <v>-2388.3406621873423</v>
      </c>
      <c r="J1976" s="8">
        <f t="shared" si="275"/>
        <v>49777.5</v>
      </c>
      <c r="K1976" s="7">
        <f t="shared" si="276"/>
        <v>-52165.840662187344</v>
      </c>
      <c r="L1976" s="4">
        <f>IF(A1976&gt;'Yield Curve'!A2590,L1975,(1+VLOOKUP(A1976,'Yield Curve'!A1969:B2591,2,FALSE))^(1/12)-1)</f>
        <v>7.9741404289037643E-3</v>
      </c>
      <c r="M1976" s="5">
        <f t="shared" si="277"/>
        <v>-8.4915279721281788E-3</v>
      </c>
    </row>
    <row r="1977" spans="1:13" x14ac:dyDescent="0.25">
      <c r="A1977" s="4">
        <v>1969</v>
      </c>
      <c r="B1977" s="4">
        <f t="shared" si="270"/>
        <v>209</v>
      </c>
      <c r="C1977" s="4">
        <f t="shared" si="271"/>
        <v>1984</v>
      </c>
      <c r="D1977" s="4">
        <f>IF(B1977&gt;'Mortality Table'!$A$118,D1976,VLOOKUP(B1977,'Mortality Table'!$A$2:$B$118,2,FALSE))</f>
        <v>0.59733000000000003</v>
      </c>
      <c r="E1977" s="4">
        <f>IF(INT((C1977-1)/12)+1&gt;'Lapse Table'!$A$11,E1976,VLOOKUP(INT((C1977-1)/12)+1,'Lapse Table'!$A$2:$B$11,2,FALSE))/12</f>
        <v>0</v>
      </c>
      <c r="F1977" s="5">
        <f t="shared" si="278"/>
        <v>-71.699997365620277</v>
      </c>
      <c r="G1977" s="6">
        <f t="shared" si="272"/>
        <v>4.9777500000000002E-2</v>
      </c>
      <c r="H1977" s="6">
        <f t="shared" si="273"/>
        <v>0</v>
      </c>
      <c r="I1977" s="7">
        <f t="shared" si="274"/>
        <v>-2389.9999121873425</v>
      </c>
      <c r="J1977" s="8">
        <f t="shared" si="275"/>
        <v>49777.5</v>
      </c>
      <c r="K1977" s="7">
        <f t="shared" si="276"/>
        <v>-52167.499912187341</v>
      </c>
      <c r="L1977" s="4">
        <f>IF(A1977&gt;'Yield Curve'!A2591,L1976,(1+VLOOKUP(A1977,'Yield Curve'!A1970:B2592,2,FALSE))^(1/12)-1)</f>
        <v>7.9741404289037643E-3</v>
      </c>
      <c r="M1977" s="5">
        <f t="shared" si="277"/>
        <v>-8.4246189692454548E-3</v>
      </c>
    </row>
    <row r="1978" spans="1:13" x14ac:dyDescent="0.25">
      <c r="A1978" s="4">
        <v>1970</v>
      </c>
      <c r="B1978" s="4">
        <f t="shared" si="270"/>
        <v>209</v>
      </c>
      <c r="C1978" s="4">
        <f t="shared" si="271"/>
        <v>1985</v>
      </c>
      <c r="D1978" s="4">
        <f>IF(B1978&gt;'Mortality Table'!$A$118,D1977,VLOOKUP(B1978,'Mortality Table'!$A$2:$B$118,2,FALSE))</f>
        <v>0.59733000000000003</v>
      </c>
      <c r="E1978" s="4">
        <f>IF(INT((C1978-1)/12)+1&gt;'Lapse Table'!$A$11,E1977,VLOOKUP(INT((C1978-1)/12)+1,'Lapse Table'!$A$2:$B$11,2,FALSE))/12</f>
        <v>0</v>
      </c>
      <c r="F1978" s="5">
        <f t="shared" si="278"/>
        <v>-71.749774865620282</v>
      </c>
      <c r="G1978" s="6">
        <f t="shared" si="272"/>
        <v>4.9777500000000002E-2</v>
      </c>
      <c r="H1978" s="6">
        <f t="shared" si="273"/>
        <v>0</v>
      </c>
      <c r="I1978" s="7">
        <f t="shared" si="274"/>
        <v>-2391.6591621873426</v>
      </c>
      <c r="J1978" s="8">
        <f t="shared" si="275"/>
        <v>49777.5</v>
      </c>
      <c r="K1978" s="7">
        <f t="shared" si="276"/>
        <v>-52169.159162187345</v>
      </c>
      <c r="L1978" s="4">
        <f>IF(A1978&gt;'Yield Curve'!A2592,L1977,(1+VLOOKUP(A1978,'Yield Curve'!A1971:B2593,2,FALSE))^(1/12)-1)</f>
        <v>7.9741404289037643E-3</v>
      </c>
      <c r="M1978" s="5">
        <f t="shared" si="277"/>
        <v>-8.3582371674602845E-3</v>
      </c>
    </row>
    <row r="1979" spans="1:13" x14ac:dyDescent="0.25">
      <c r="A1979" s="4">
        <v>1971</v>
      </c>
      <c r="B1979" s="4">
        <f t="shared" si="270"/>
        <v>209</v>
      </c>
      <c r="C1979" s="4">
        <f t="shared" si="271"/>
        <v>1986</v>
      </c>
      <c r="D1979" s="4">
        <f>IF(B1979&gt;'Mortality Table'!$A$118,D1978,VLOOKUP(B1979,'Mortality Table'!$A$2:$B$118,2,FALSE))</f>
        <v>0.59733000000000003</v>
      </c>
      <c r="E1979" s="4">
        <f>IF(INT((C1979-1)/12)+1&gt;'Lapse Table'!$A$11,E1978,VLOOKUP(INT((C1979-1)/12)+1,'Lapse Table'!$A$2:$B$11,2,FALSE))/12</f>
        <v>0</v>
      </c>
      <c r="F1979" s="5">
        <f t="shared" si="278"/>
        <v>-71.799552365620286</v>
      </c>
      <c r="G1979" s="6">
        <f t="shared" si="272"/>
        <v>4.9777500000000002E-2</v>
      </c>
      <c r="H1979" s="6">
        <f t="shared" si="273"/>
        <v>0</v>
      </c>
      <c r="I1979" s="7">
        <f t="shared" si="274"/>
        <v>-2393.3184121873428</v>
      </c>
      <c r="J1979" s="8">
        <f t="shared" si="275"/>
        <v>49777.5</v>
      </c>
      <c r="K1979" s="7">
        <f t="shared" si="276"/>
        <v>-52170.818412187342</v>
      </c>
      <c r="L1979" s="4">
        <f>IF(A1979&gt;'Yield Curve'!A2593,L1978,(1+VLOOKUP(A1979,'Yield Curve'!A1972:B2594,2,FALSE))^(1/12)-1)</f>
        <v>7.9741404289037643E-3</v>
      </c>
      <c r="M1979" s="5">
        <f t="shared" si="277"/>
        <v>-8.2923784128248971E-3</v>
      </c>
    </row>
    <row r="1980" spans="1:13" x14ac:dyDescent="0.25">
      <c r="A1980" s="4">
        <v>1972</v>
      </c>
      <c r="B1980" s="4">
        <f t="shared" si="270"/>
        <v>209</v>
      </c>
      <c r="C1980" s="4">
        <f t="shared" si="271"/>
        <v>1987</v>
      </c>
      <c r="D1980" s="4">
        <f>IF(B1980&gt;'Mortality Table'!$A$118,D1979,VLOOKUP(B1980,'Mortality Table'!$A$2:$B$118,2,FALSE))</f>
        <v>0.59733000000000003</v>
      </c>
      <c r="E1980" s="4">
        <f>IF(INT((C1980-1)/12)+1&gt;'Lapse Table'!$A$11,E1979,VLOOKUP(INT((C1980-1)/12)+1,'Lapse Table'!$A$2:$B$11,2,FALSE))/12</f>
        <v>0</v>
      </c>
      <c r="F1980" s="5">
        <f t="shared" si="278"/>
        <v>-71.849329865620291</v>
      </c>
      <c r="G1980" s="6">
        <f t="shared" si="272"/>
        <v>4.9777500000000002E-2</v>
      </c>
      <c r="H1980" s="6">
        <f t="shared" si="273"/>
        <v>0</v>
      </c>
      <c r="I1980" s="7">
        <f t="shared" si="274"/>
        <v>-2394.977662187343</v>
      </c>
      <c r="J1980" s="8">
        <f t="shared" si="275"/>
        <v>49777.5</v>
      </c>
      <c r="K1980" s="7">
        <f t="shared" si="276"/>
        <v>-52172.477662187346</v>
      </c>
      <c r="L1980" s="4">
        <f>IF(A1980&gt;'Yield Curve'!A2594,L1979,(1+VLOOKUP(A1980,'Yield Curve'!A1973:B2595,2,FALSE))^(1/12)-1)</f>
        <v>7.9741404289037643E-3</v>
      </c>
      <c r="M1980" s="5">
        <f t="shared" si="277"/>
        <v>-8.2270385841209572E-3</v>
      </c>
    </row>
    <row r="1981" spans="1:13" x14ac:dyDescent="0.25">
      <c r="A1981" s="4">
        <v>1973</v>
      </c>
      <c r="B1981" s="4">
        <f t="shared" si="270"/>
        <v>209</v>
      </c>
      <c r="C1981" s="4">
        <f t="shared" si="271"/>
        <v>1988</v>
      </c>
      <c r="D1981" s="4">
        <f>IF(B1981&gt;'Mortality Table'!$A$118,D1980,VLOOKUP(B1981,'Mortality Table'!$A$2:$B$118,2,FALSE))</f>
        <v>0.59733000000000003</v>
      </c>
      <c r="E1981" s="4">
        <f>IF(INT((C1981-1)/12)+1&gt;'Lapse Table'!$A$11,E1980,VLOOKUP(INT((C1981-1)/12)+1,'Lapse Table'!$A$2:$B$11,2,FALSE))/12</f>
        <v>0</v>
      </c>
      <c r="F1981" s="5">
        <f t="shared" si="278"/>
        <v>-71.899107365620296</v>
      </c>
      <c r="G1981" s="6">
        <f t="shared" si="272"/>
        <v>4.9777500000000002E-2</v>
      </c>
      <c r="H1981" s="6">
        <f t="shared" si="273"/>
        <v>0</v>
      </c>
      <c r="I1981" s="7">
        <f t="shared" si="274"/>
        <v>-2396.6369121873431</v>
      </c>
      <c r="J1981" s="8">
        <f t="shared" si="275"/>
        <v>49777.5</v>
      </c>
      <c r="K1981" s="7">
        <f t="shared" si="276"/>
        <v>-52174.136912187343</v>
      </c>
      <c r="L1981" s="4">
        <f>IF(A1981&gt;'Yield Curve'!A2595,L1980,(1+VLOOKUP(A1981,'Yield Curve'!A1974:B2596,2,FALSE))^(1/12)-1)</f>
        <v>7.9741404289037643E-3</v>
      </c>
      <c r="M1981" s="5">
        <f t="shared" si="277"/>
        <v>-8.1622135926017123E-3</v>
      </c>
    </row>
    <row r="1982" spans="1:13" x14ac:dyDescent="0.25">
      <c r="A1982" s="4">
        <v>1974</v>
      </c>
      <c r="B1982" s="4">
        <f t="shared" si="270"/>
        <v>209</v>
      </c>
      <c r="C1982" s="4">
        <f t="shared" si="271"/>
        <v>1989</v>
      </c>
      <c r="D1982" s="4">
        <f>IF(B1982&gt;'Mortality Table'!$A$118,D1981,VLOOKUP(B1982,'Mortality Table'!$A$2:$B$118,2,FALSE))</f>
        <v>0.59733000000000003</v>
      </c>
      <c r="E1982" s="4">
        <f>IF(INT((C1982-1)/12)+1&gt;'Lapse Table'!$A$11,E1981,VLOOKUP(INT((C1982-1)/12)+1,'Lapse Table'!$A$2:$B$11,2,FALSE))/12</f>
        <v>0</v>
      </c>
      <c r="F1982" s="5">
        <f t="shared" si="278"/>
        <v>-71.9488848656203</v>
      </c>
      <c r="G1982" s="6">
        <f t="shared" si="272"/>
        <v>4.9777500000000002E-2</v>
      </c>
      <c r="H1982" s="6">
        <f t="shared" si="273"/>
        <v>0</v>
      </c>
      <c r="I1982" s="7">
        <f t="shared" si="274"/>
        <v>-2398.2961621873433</v>
      </c>
      <c r="J1982" s="8">
        <f t="shared" si="275"/>
        <v>49777.5</v>
      </c>
      <c r="K1982" s="7">
        <f t="shared" si="276"/>
        <v>-52175.79616218734</v>
      </c>
      <c r="L1982" s="4">
        <f>IF(A1982&gt;'Yield Curve'!A2596,L1981,(1+VLOOKUP(A1982,'Yield Curve'!A1975:B2597,2,FALSE))^(1/12)-1)</f>
        <v>7.9741404289037643E-3</v>
      </c>
      <c r="M1982" s="5">
        <f t="shared" si="277"/>
        <v>-8.0978993817361396E-3</v>
      </c>
    </row>
    <row r="1983" spans="1:13" x14ac:dyDescent="0.25">
      <c r="A1983" s="4">
        <v>1975</v>
      </c>
      <c r="B1983" s="4">
        <f t="shared" si="270"/>
        <v>209</v>
      </c>
      <c r="C1983" s="4">
        <f t="shared" si="271"/>
        <v>1990</v>
      </c>
      <c r="D1983" s="4">
        <f>IF(B1983&gt;'Mortality Table'!$A$118,D1982,VLOOKUP(B1983,'Mortality Table'!$A$2:$B$118,2,FALSE))</f>
        <v>0.59733000000000003</v>
      </c>
      <c r="E1983" s="4">
        <f>IF(INT((C1983-1)/12)+1&gt;'Lapse Table'!$A$11,E1982,VLOOKUP(INT((C1983-1)/12)+1,'Lapse Table'!$A$2:$B$11,2,FALSE))/12</f>
        <v>0</v>
      </c>
      <c r="F1983" s="5">
        <f t="shared" si="278"/>
        <v>-71.998662365620305</v>
      </c>
      <c r="G1983" s="6">
        <f t="shared" si="272"/>
        <v>4.9777500000000002E-2</v>
      </c>
      <c r="H1983" s="6">
        <f t="shared" si="273"/>
        <v>0</v>
      </c>
      <c r="I1983" s="7">
        <f t="shared" si="274"/>
        <v>-2399.9554121873434</v>
      </c>
      <c r="J1983" s="8">
        <f t="shared" si="275"/>
        <v>49777.5</v>
      </c>
      <c r="K1983" s="7">
        <f t="shared" si="276"/>
        <v>-52177.455412187344</v>
      </c>
      <c r="L1983" s="4">
        <f>IF(A1983&gt;'Yield Curve'!A2597,L1982,(1+VLOOKUP(A1983,'Yield Curve'!A1976:B2598,2,FALSE))^(1/12)-1)</f>
        <v>7.9741404289037643E-3</v>
      </c>
      <c r="M1983" s="5">
        <f t="shared" si="277"/>
        <v>-8.034091926955117E-3</v>
      </c>
    </row>
    <row r="1984" spans="1:13" x14ac:dyDescent="0.25">
      <c r="A1984" s="4">
        <v>1976</v>
      </c>
      <c r="B1984" s="4">
        <f t="shared" si="270"/>
        <v>209</v>
      </c>
      <c r="C1984" s="4">
        <f t="shared" si="271"/>
        <v>1991</v>
      </c>
      <c r="D1984" s="4">
        <f>IF(B1984&gt;'Mortality Table'!$A$118,D1983,VLOOKUP(B1984,'Mortality Table'!$A$2:$B$118,2,FALSE))</f>
        <v>0.59733000000000003</v>
      </c>
      <c r="E1984" s="4">
        <f>IF(INT((C1984-1)/12)+1&gt;'Lapse Table'!$A$11,E1983,VLOOKUP(INT((C1984-1)/12)+1,'Lapse Table'!$A$2:$B$11,2,FALSE))/12</f>
        <v>0</v>
      </c>
      <c r="F1984" s="5">
        <f t="shared" si="278"/>
        <v>-72.04843986562031</v>
      </c>
      <c r="G1984" s="6">
        <f t="shared" si="272"/>
        <v>4.9777500000000002E-2</v>
      </c>
      <c r="H1984" s="6">
        <f t="shared" si="273"/>
        <v>0</v>
      </c>
      <c r="I1984" s="7">
        <f t="shared" si="274"/>
        <v>-2401.6146621873436</v>
      </c>
      <c r="J1984" s="8">
        <f t="shared" si="275"/>
        <v>49777.5</v>
      </c>
      <c r="K1984" s="7">
        <f t="shared" si="276"/>
        <v>-52179.114662187341</v>
      </c>
      <c r="L1984" s="4">
        <f>IF(A1984&gt;'Yield Curve'!A2598,L1983,(1+VLOOKUP(A1984,'Yield Curve'!A1977:B2599,2,FALSE))^(1/12)-1)</f>
        <v>7.9741404289037643E-3</v>
      </c>
      <c r="M1984" s="5">
        <f t="shared" si="277"/>
        <v>-7.9707872353995939E-3</v>
      </c>
    </row>
    <row r="1985" spans="1:13" x14ac:dyDescent="0.25">
      <c r="A1985" s="4">
        <v>1977</v>
      </c>
      <c r="B1985" s="4">
        <f t="shared" si="270"/>
        <v>209</v>
      </c>
      <c r="C1985" s="4">
        <f t="shared" si="271"/>
        <v>1992</v>
      </c>
      <c r="D1985" s="4">
        <f>IF(B1985&gt;'Mortality Table'!$A$118,D1984,VLOOKUP(B1985,'Mortality Table'!$A$2:$B$118,2,FALSE))</f>
        <v>0.59733000000000003</v>
      </c>
      <c r="E1985" s="4">
        <f>IF(INT((C1985-1)/12)+1&gt;'Lapse Table'!$A$11,E1984,VLOOKUP(INT((C1985-1)/12)+1,'Lapse Table'!$A$2:$B$11,2,FALSE))/12</f>
        <v>0</v>
      </c>
      <c r="F1985" s="5">
        <f t="shared" si="278"/>
        <v>-72.098217365620314</v>
      </c>
      <c r="G1985" s="6">
        <f t="shared" si="272"/>
        <v>4.9777500000000002E-2</v>
      </c>
      <c r="H1985" s="6">
        <f t="shared" si="273"/>
        <v>0</v>
      </c>
      <c r="I1985" s="7">
        <f t="shared" si="274"/>
        <v>-2403.2739121873437</v>
      </c>
      <c r="J1985" s="8">
        <f t="shared" si="275"/>
        <v>49777.5</v>
      </c>
      <c r="K1985" s="7">
        <f t="shared" si="276"/>
        <v>-52180.773912187346</v>
      </c>
      <c r="L1985" s="4">
        <f>IF(A1985&gt;'Yield Curve'!A2599,L1984,(1+VLOOKUP(A1985,'Yield Curve'!A1978:B2600,2,FALSE))^(1/12)-1)</f>
        <v>7.9741404289037643E-3</v>
      </c>
      <c r="M1985" s="5">
        <f t="shared" si="277"/>
        <v>-7.9079813456707591E-3</v>
      </c>
    </row>
    <row r="1986" spans="1:13" x14ac:dyDescent="0.25">
      <c r="A1986" s="4">
        <v>1978</v>
      </c>
      <c r="B1986" s="4">
        <f t="shared" si="270"/>
        <v>209</v>
      </c>
      <c r="C1986" s="4">
        <f t="shared" si="271"/>
        <v>1993</v>
      </c>
      <c r="D1986" s="4">
        <f>IF(B1986&gt;'Mortality Table'!$A$118,D1985,VLOOKUP(B1986,'Mortality Table'!$A$2:$B$118,2,FALSE))</f>
        <v>0.59733000000000003</v>
      </c>
      <c r="E1986" s="4">
        <f>IF(INT((C1986-1)/12)+1&gt;'Lapse Table'!$A$11,E1985,VLOOKUP(INT((C1986-1)/12)+1,'Lapse Table'!$A$2:$B$11,2,FALSE))/12</f>
        <v>0</v>
      </c>
      <c r="F1986" s="5">
        <f t="shared" si="278"/>
        <v>-72.147994865620319</v>
      </c>
      <c r="G1986" s="6">
        <f t="shared" si="272"/>
        <v>4.9777500000000002E-2</v>
      </c>
      <c r="H1986" s="6">
        <f t="shared" si="273"/>
        <v>0</v>
      </c>
      <c r="I1986" s="7">
        <f t="shared" si="274"/>
        <v>-2404.9331621873439</v>
      </c>
      <c r="J1986" s="8">
        <f t="shared" si="275"/>
        <v>49777.5</v>
      </c>
      <c r="K1986" s="7">
        <f t="shared" si="276"/>
        <v>-52182.433162187343</v>
      </c>
      <c r="L1986" s="4">
        <f>IF(A1986&gt;'Yield Curve'!A2600,L1985,(1+VLOOKUP(A1986,'Yield Curve'!A1979:B2601,2,FALSE))^(1/12)-1)</f>
        <v>7.9741404289037643E-3</v>
      </c>
      <c r="M1986" s="5">
        <f t="shared" si="277"/>
        <v>-7.8456703275821497E-3</v>
      </c>
    </row>
    <row r="1987" spans="1:13" x14ac:dyDescent="0.25">
      <c r="A1987" s="4">
        <v>1979</v>
      </c>
      <c r="B1987" s="4">
        <f t="shared" si="270"/>
        <v>209</v>
      </c>
      <c r="C1987" s="4">
        <f t="shared" si="271"/>
        <v>1994</v>
      </c>
      <c r="D1987" s="4">
        <f>IF(B1987&gt;'Mortality Table'!$A$118,D1986,VLOOKUP(B1987,'Mortality Table'!$A$2:$B$118,2,FALSE))</f>
        <v>0.59733000000000003</v>
      </c>
      <c r="E1987" s="4">
        <f>IF(INT((C1987-1)/12)+1&gt;'Lapse Table'!$A$11,E1986,VLOOKUP(INT((C1987-1)/12)+1,'Lapse Table'!$A$2:$B$11,2,FALSE))/12</f>
        <v>0</v>
      </c>
      <c r="F1987" s="5">
        <f t="shared" si="278"/>
        <v>-72.197772365620324</v>
      </c>
      <c r="G1987" s="6">
        <f t="shared" si="272"/>
        <v>4.9777500000000002E-2</v>
      </c>
      <c r="H1987" s="6">
        <f t="shared" si="273"/>
        <v>0</v>
      </c>
      <c r="I1987" s="7">
        <f t="shared" si="274"/>
        <v>-2406.5924121873441</v>
      </c>
      <c r="J1987" s="8">
        <f t="shared" si="275"/>
        <v>49777.5</v>
      </c>
      <c r="K1987" s="7">
        <f t="shared" si="276"/>
        <v>-52184.092412187347</v>
      </c>
      <c r="L1987" s="4">
        <f>IF(A1987&gt;'Yield Curve'!A2601,L1986,(1+VLOOKUP(A1987,'Yield Curve'!A1980:B2602,2,FALSE))^(1/12)-1)</f>
        <v>7.9741404289037643E-3</v>
      </c>
      <c r="M1987" s="5">
        <f t="shared" si="277"/>
        <v>-7.783850281913739E-3</v>
      </c>
    </row>
    <row r="1988" spans="1:13" x14ac:dyDescent="0.25">
      <c r="A1988" s="4">
        <v>1980</v>
      </c>
      <c r="B1988" s="4">
        <f t="shared" si="270"/>
        <v>210</v>
      </c>
      <c r="C1988" s="4">
        <f t="shared" si="271"/>
        <v>1995</v>
      </c>
      <c r="D1988" s="4">
        <f>IF(B1988&gt;'Mortality Table'!$A$118,D1987,VLOOKUP(B1988,'Mortality Table'!$A$2:$B$118,2,FALSE))</f>
        <v>0.59733000000000003</v>
      </c>
      <c r="E1988" s="4">
        <f>IF(INT((C1988-1)/12)+1&gt;'Lapse Table'!$A$11,E1987,VLOOKUP(INT((C1988-1)/12)+1,'Lapse Table'!$A$2:$B$11,2,FALSE))/12</f>
        <v>0</v>
      </c>
      <c r="F1988" s="5">
        <f t="shared" si="278"/>
        <v>-72.247549865620329</v>
      </c>
      <c r="G1988" s="6">
        <f t="shared" si="272"/>
        <v>4.9777500000000002E-2</v>
      </c>
      <c r="H1988" s="6">
        <f t="shared" si="273"/>
        <v>0</v>
      </c>
      <c r="I1988" s="7">
        <f t="shared" si="274"/>
        <v>-2408.2516621873442</v>
      </c>
      <c r="J1988" s="8">
        <f t="shared" si="275"/>
        <v>49777.5</v>
      </c>
      <c r="K1988" s="7">
        <f t="shared" si="276"/>
        <v>-52185.751662187344</v>
      </c>
      <c r="L1988" s="4">
        <f>IF(A1988&gt;'Yield Curve'!A2602,L1987,(1+VLOOKUP(A1988,'Yield Curve'!A1981:B2603,2,FALSE))^(1/12)-1)</f>
        <v>7.9741404289037643E-3</v>
      </c>
      <c r="M1988" s="5">
        <f t="shared" si="277"/>
        <v>-7.7225173401679519E-3</v>
      </c>
    </row>
    <row r="1989" spans="1:13" x14ac:dyDescent="0.25">
      <c r="A1989" s="4">
        <v>1981</v>
      </c>
      <c r="B1989" s="4">
        <f t="shared" si="270"/>
        <v>210</v>
      </c>
      <c r="C1989" s="4">
        <f t="shared" si="271"/>
        <v>1996</v>
      </c>
      <c r="D1989" s="4">
        <f>IF(B1989&gt;'Mortality Table'!$A$118,D1988,VLOOKUP(B1989,'Mortality Table'!$A$2:$B$118,2,FALSE))</f>
        <v>0.59733000000000003</v>
      </c>
      <c r="E1989" s="4">
        <f>IF(INT((C1989-1)/12)+1&gt;'Lapse Table'!$A$11,E1988,VLOOKUP(INT((C1989-1)/12)+1,'Lapse Table'!$A$2:$B$11,2,FALSE))/12</f>
        <v>0</v>
      </c>
      <c r="F1989" s="5">
        <f t="shared" si="278"/>
        <v>-72.297327365620333</v>
      </c>
      <c r="G1989" s="6">
        <f t="shared" si="272"/>
        <v>4.9777500000000002E-2</v>
      </c>
      <c r="H1989" s="6">
        <f t="shared" si="273"/>
        <v>0</v>
      </c>
      <c r="I1989" s="7">
        <f t="shared" si="274"/>
        <v>-2409.9109121873444</v>
      </c>
      <c r="J1989" s="8">
        <f t="shared" si="275"/>
        <v>49777.5</v>
      </c>
      <c r="K1989" s="7">
        <f t="shared" si="276"/>
        <v>-52187.410912187348</v>
      </c>
      <c r="L1989" s="4">
        <f>IF(A1989&gt;'Yield Curve'!A2603,L1988,(1+VLOOKUP(A1989,'Yield Curve'!A1982:B2604,2,FALSE))^(1/12)-1)</f>
        <v>7.9741404289037643E-3</v>
      </c>
      <c r="M1989" s="5">
        <f t="shared" si="277"/>
        <v>-7.6616676643276012E-3</v>
      </c>
    </row>
    <row r="1990" spans="1:13" x14ac:dyDescent="0.25">
      <c r="A1990" s="4">
        <v>1982</v>
      </c>
      <c r="B1990" s="4">
        <f t="shared" si="270"/>
        <v>210</v>
      </c>
      <c r="C1990" s="4">
        <f t="shared" si="271"/>
        <v>1997</v>
      </c>
      <c r="D1990" s="4">
        <f>IF(B1990&gt;'Mortality Table'!$A$118,D1989,VLOOKUP(B1990,'Mortality Table'!$A$2:$B$118,2,FALSE))</f>
        <v>0.59733000000000003</v>
      </c>
      <c r="E1990" s="4">
        <f>IF(INT((C1990-1)/12)+1&gt;'Lapse Table'!$A$11,E1989,VLOOKUP(INT((C1990-1)/12)+1,'Lapse Table'!$A$2:$B$11,2,FALSE))/12</f>
        <v>0</v>
      </c>
      <c r="F1990" s="5">
        <f t="shared" si="278"/>
        <v>-72.347104865620338</v>
      </c>
      <c r="G1990" s="6">
        <f t="shared" si="272"/>
        <v>4.9777500000000002E-2</v>
      </c>
      <c r="H1990" s="6">
        <f t="shared" si="273"/>
        <v>0</v>
      </c>
      <c r="I1990" s="7">
        <f t="shared" si="274"/>
        <v>-2411.5701621873445</v>
      </c>
      <c r="J1990" s="8">
        <f t="shared" si="275"/>
        <v>49777.5</v>
      </c>
      <c r="K1990" s="7">
        <f t="shared" si="276"/>
        <v>-52189.070162187345</v>
      </c>
      <c r="L1990" s="4">
        <f>IF(A1990&gt;'Yield Curve'!A2604,L1989,(1+VLOOKUP(A1990,'Yield Curve'!A1983:B2605,2,FALSE))^(1/12)-1)</f>
        <v>7.9741404289037643E-3</v>
      </c>
      <c r="M1990" s="5">
        <f t="shared" si="277"/>
        <v>-7.6012974466157339E-3</v>
      </c>
    </row>
    <row r="1991" spans="1:13" x14ac:dyDescent="0.25">
      <c r="A1991" s="4">
        <v>1983</v>
      </c>
      <c r="B1991" s="4">
        <f t="shared" si="270"/>
        <v>210</v>
      </c>
      <c r="C1991" s="4">
        <f t="shared" si="271"/>
        <v>1998</v>
      </c>
      <c r="D1991" s="4">
        <f>IF(B1991&gt;'Mortality Table'!$A$118,D1990,VLOOKUP(B1991,'Mortality Table'!$A$2:$B$118,2,FALSE))</f>
        <v>0.59733000000000003</v>
      </c>
      <c r="E1991" s="4">
        <f>IF(INT((C1991-1)/12)+1&gt;'Lapse Table'!$A$11,E1990,VLOOKUP(INT((C1991-1)/12)+1,'Lapse Table'!$A$2:$B$11,2,FALSE))/12</f>
        <v>0</v>
      </c>
      <c r="F1991" s="5">
        <f t="shared" si="278"/>
        <v>-72.396882365620343</v>
      </c>
      <c r="G1991" s="6">
        <f t="shared" si="272"/>
        <v>4.9777500000000002E-2</v>
      </c>
      <c r="H1991" s="6">
        <f t="shared" si="273"/>
        <v>0</v>
      </c>
      <c r="I1991" s="7">
        <f t="shared" si="274"/>
        <v>-2413.2294121873447</v>
      </c>
      <c r="J1991" s="8">
        <f t="shared" si="275"/>
        <v>49777.5</v>
      </c>
      <c r="K1991" s="7">
        <f t="shared" si="276"/>
        <v>-52190.729412187342</v>
      </c>
      <c r="L1991" s="4">
        <f>IF(A1991&gt;'Yield Curve'!A2605,L1990,(1+VLOOKUP(A1991,'Yield Curve'!A1984:B2606,2,FALSE))^(1/12)-1)</f>
        <v>7.9741404289037643E-3</v>
      </c>
      <c r="M1991" s="5">
        <f t="shared" si="277"/>
        <v>-7.5414029092573595E-3</v>
      </c>
    </row>
    <row r="1992" spans="1:13" x14ac:dyDescent="0.25">
      <c r="A1992" s="4">
        <v>1984</v>
      </c>
      <c r="B1992" s="4">
        <f t="shared" si="270"/>
        <v>210</v>
      </c>
      <c r="C1992" s="4">
        <f t="shared" si="271"/>
        <v>1999</v>
      </c>
      <c r="D1992" s="4">
        <f>IF(B1992&gt;'Mortality Table'!$A$118,D1991,VLOOKUP(B1992,'Mortality Table'!$A$2:$B$118,2,FALSE))</f>
        <v>0.59733000000000003</v>
      </c>
      <c r="E1992" s="4">
        <f>IF(INT((C1992-1)/12)+1&gt;'Lapse Table'!$A$11,E1991,VLOOKUP(INT((C1992-1)/12)+1,'Lapse Table'!$A$2:$B$11,2,FALSE))/12</f>
        <v>0</v>
      </c>
      <c r="F1992" s="5">
        <f t="shared" si="278"/>
        <v>-72.446659865620347</v>
      </c>
      <c r="G1992" s="6">
        <f t="shared" si="272"/>
        <v>4.9777500000000002E-2</v>
      </c>
      <c r="H1992" s="6">
        <f t="shared" si="273"/>
        <v>0</v>
      </c>
      <c r="I1992" s="7">
        <f t="shared" si="274"/>
        <v>-2414.8886621873448</v>
      </c>
      <c r="J1992" s="8">
        <f t="shared" si="275"/>
        <v>49777.5</v>
      </c>
      <c r="K1992" s="7">
        <f t="shared" si="276"/>
        <v>-52192.388662187346</v>
      </c>
      <c r="L1992" s="4">
        <f>IF(A1992&gt;'Yield Curve'!A2606,L1991,(1+VLOOKUP(A1992,'Yield Curve'!A1985:B2607,2,FALSE))^(1/12)-1)</f>
        <v>7.9741404289037643E-3</v>
      </c>
      <c r="M1992" s="5">
        <f t="shared" si="277"/>
        <v>-7.4819803042430752E-3</v>
      </c>
    </row>
    <row r="1993" spans="1:13" x14ac:dyDescent="0.25">
      <c r="A1993" s="4">
        <v>1985</v>
      </c>
      <c r="B1993" s="4">
        <f t="shared" si="270"/>
        <v>210</v>
      </c>
      <c r="C1993" s="4">
        <f t="shared" si="271"/>
        <v>2000</v>
      </c>
      <c r="D1993" s="4">
        <f>IF(B1993&gt;'Mortality Table'!$A$118,D1992,VLOOKUP(B1993,'Mortality Table'!$A$2:$B$118,2,FALSE))</f>
        <v>0.59733000000000003</v>
      </c>
      <c r="E1993" s="4">
        <f>IF(INT((C1993-1)/12)+1&gt;'Lapse Table'!$A$11,E1992,VLOOKUP(INT((C1993-1)/12)+1,'Lapse Table'!$A$2:$B$11,2,FALSE))/12</f>
        <v>0</v>
      </c>
      <c r="F1993" s="5">
        <f t="shared" si="278"/>
        <v>-72.496437365620352</v>
      </c>
      <c r="G1993" s="6">
        <f t="shared" si="272"/>
        <v>4.9777500000000002E-2</v>
      </c>
      <c r="H1993" s="6">
        <f t="shared" si="273"/>
        <v>0</v>
      </c>
      <c r="I1993" s="7">
        <f t="shared" si="274"/>
        <v>-2416.547912187345</v>
      </c>
      <c r="J1993" s="8">
        <f t="shared" si="275"/>
        <v>49777.5</v>
      </c>
      <c r="K1993" s="7">
        <f t="shared" si="276"/>
        <v>-52194.047912187343</v>
      </c>
      <c r="L1993" s="4">
        <f>IF(A1993&gt;'Yield Curve'!A2607,L1992,(1+VLOOKUP(A1993,'Yield Curve'!A1986:B2608,2,FALSE))^(1/12)-1)</f>
        <v>7.9741404289037643E-3</v>
      </c>
      <c r="M1993" s="5">
        <f t="shared" si="277"/>
        <v>-7.4230259130945485E-3</v>
      </c>
    </row>
    <row r="1994" spans="1:13" x14ac:dyDescent="0.25">
      <c r="A1994" s="4">
        <v>1986</v>
      </c>
      <c r="B1994" s="4">
        <f t="shared" ref="B1994:B2057" si="279">INT($B$3+A1994/12)</f>
        <v>210</v>
      </c>
      <c r="C1994" s="4">
        <f t="shared" ref="C1994:C2057" si="280">$B$4+A1994</f>
        <v>2001</v>
      </c>
      <c r="D1994" s="4">
        <f>IF(B1994&gt;'Mortality Table'!$A$118,D1993,VLOOKUP(B1994,'Mortality Table'!$A$2:$B$118,2,FALSE))</f>
        <v>0.59733000000000003</v>
      </c>
      <c r="E1994" s="4">
        <f>IF(INT((C1994-1)/12)+1&gt;'Lapse Table'!$A$11,E1993,VLOOKUP(INT((C1994-1)/12)+1,'Lapse Table'!$A$2:$B$11,2,FALSE))/12</f>
        <v>0</v>
      </c>
      <c r="F1994" s="5">
        <f t="shared" si="278"/>
        <v>-72.546214865620357</v>
      </c>
      <c r="G1994" s="6">
        <f t="shared" ref="G1994:G2057" si="281">D1994/12*(1-0.5*E1994)</f>
        <v>4.9777500000000002E-2</v>
      </c>
      <c r="H1994" s="6">
        <f t="shared" ref="H1994:H2057" si="282">E1994*(1-0.5*D1994)</f>
        <v>0</v>
      </c>
      <c r="I1994" s="7">
        <f t="shared" ref="I1994:I2057" si="283">F1994*$B$5/12</f>
        <v>-2418.2071621873451</v>
      </c>
      <c r="J1994" s="8">
        <f t="shared" ref="J1994:J2057" si="284">$B$6*G1994</f>
        <v>49777.5</v>
      </c>
      <c r="K1994" s="7">
        <f t="shared" ref="K1994:K2057" si="285">I1994-J1994</f>
        <v>-52195.707162187347</v>
      </c>
      <c r="L1994" s="4">
        <f>IF(A1994&gt;'Yield Curve'!A2608,L1993,(1+VLOOKUP(A1994,'Yield Curve'!A1987:B2609,2,FALSE))^(1/12)-1)</f>
        <v>7.9741404289037643E-3</v>
      </c>
      <c r="M1994" s="5">
        <f t="shared" ref="M1994:M2057" si="286">K1994*(1+L1994)^-A1994</f>
        <v>-7.3645360466318257E-3</v>
      </c>
    </row>
    <row r="1995" spans="1:13" x14ac:dyDescent="0.25">
      <c r="A1995" s="4">
        <v>1987</v>
      </c>
      <c r="B1995" s="4">
        <f t="shared" si="279"/>
        <v>210</v>
      </c>
      <c r="C1995" s="4">
        <f t="shared" si="280"/>
        <v>2002</v>
      </c>
      <c r="D1995" s="4">
        <f>IF(B1995&gt;'Mortality Table'!$A$118,D1994,VLOOKUP(B1995,'Mortality Table'!$A$2:$B$118,2,FALSE))</f>
        <v>0.59733000000000003</v>
      </c>
      <c r="E1995" s="4">
        <f>IF(INT((C1995-1)/12)+1&gt;'Lapse Table'!$A$11,E1994,VLOOKUP(INT((C1995-1)/12)+1,'Lapse Table'!$A$2:$B$11,2,FALSE))/12</f>
        <v>0</v>
      </c>
      <c r="F1995" s="5">
        <f t="shared" ref="F1995:F2058" si="287">F1994-G1995-H1995</f>
        <v>-72.595992365620361</v>
      </c>
      <c r="G1995" s="6">
        <f t="shared" si="281"/>
        <v>4.9777500000000002E-2</v>
      </c>
      <c r="H1995" s="6">
        <f t="shared" si="282"/>
        <v>0</v>
      </c>
      <c r="I1995" s="7">
        <f t="shared" si="283"/>
        <v>-2419.8664121873453</v>
      </c>
      <c r="J1995" s="8">
        <f t="shared" si="284"/>
        <v>49777.5</v>
      </c>
      <c r="K1995" s="7">
        <f t="shared" si="285"/>
        <v>-52197.366412187344</v>
      </c>
      <c r="L1995" s="4">
        <f>IF(A1995&gt;'Yield Curve'!A2609,L1994,(1+VLOOKUP(A1995,'Yield Curve'!A1988:B2610,2,FALSE))^(1/12)-1)</f>
        <v>7.9741404289037643E-3</v>
      </c>
      <c r="M1995" s="5">
        <f t="shared" si="286"/>
        <v>-7.3065070447424921E-3</v>
      </c>
    </row>
    <row r="1996" spans="1:13" x14ac:dyDescent="0.25">
      <c r="A1996" s="4">
        <v>1988</v>
      </c>
      <c r="B1996" s="4">
        <f t="shared" si="279"/>
        <v>210</v>
      </c>
      <c r="C1996" s="4">
        <f t="shared" si="280"/>
        <v>2003</v>
      </c>
      <c r="D1996" s="4">
        <f>IF(B1996&gt;'Mortality Table'!$A$118,D1995,VLOOKUP(B1996,'Mortality Table'!$A$2:$B$118,2,FALSE))</f>
        <v>0.59733000000000003</v>
      </c>
      <c r="E1996" s="4">
        <f>IF(INT((C1996-1)/12)+1&gt;'Lapse Table'!$A$11,E1995,VLOOKUP(INT((C1996-1)/12)+1,'Lapse Table'!$A$2:$B$11,2,FALSE))/12</f>
        <v>0</v>
      </c>
      <c r="F1996" s="5">
        <f t="shared" si="287"/>
        <v>-72.645769865620366</v>
      </c>
      <c r="G1996" s="6">
        <f t="shared" si="281"/>
        <v>4.9777500000000002E-2</v>
      </c>
      <c r="H1996" s="6">
        <f t="shared" si="282"/>
        <v>0</v>
      </c>
      <c r="I1996" s="7">
        <f t="shared" si="283"/>
        <v>-2421.5256621873455</v>
      </c>
      <c r="J1996" s="8">
        <f t="shared" si="284"/>
        <v>49777.5</v>
      </c>
      <c r="K1996" s="7">
        <f t="shared" si="285"/>
        <v>-52199.025662187349</v>
      </c>
      <c r="L1996" s="4">
        <f>IF(A1996&gt;'Yield Curve'!A2610,L1995,(1+VLOOKUP(A1996,'Yield Curve'!A1989:B2611,2,FALSE))^(1/12)-1)</f>
        <v>7.9741404289037643E-3</v>
      </c>
      <c r="M1996" s="5">
        <f t="shared" si="286"/>
        <v>-7.2489352761526587E-3</v>
      </c>
    </row>
    <row r="1997" spans="1:13" x14ac:dyDescent="0.25">
      <c r="A1997" s="4">
        <v>1989</v>
      </c>
      <c r="B1997" s="4">
        <f t="shared" si="279"/>
        <v>210</v>
      </c>
      <c r="C1997" s="4">
        <f t="shared" si="280"/>
        <v>2004</v>
      </c>
      <c r="D1997" s="4">
        <f>IF(B1997&gt;'Mortality Table'!$A$118,D1996,VLOOKUP(B1997,'Mortality Table'!$A$2:$B$118,2,FALSE))</f>
        <v>0.59733000000000003</v>
      </c>
      <c r="E1997" s="4">
        <f>IF(INT((C1997-1)/12)+1&gt;'Lapse Table'!$A$11,E1996,VLOOKUP(INT((C1997-1)/12)+1,'Lapse Table'!$A$2:$B$11,2,FALSE))/12</f>
        <v>0</v>
      </c>
      <c r="F1997" s="5">
        <f t="shared" si="287"/>
        <v>-72.695547365620371</v>
      </c>
      <c r="G1997" s="6">
        <f t="shared" si="281"/>
        <v>4.9777500000000002E-2</v>
      </c>
      <c r="H1997" s="6">
        <f t="shared" si="282"/>
        <v>0</v>
      </c>
      <c r="I1997" s="7">
        <f t="shared" si="283"/>
        <v>-2423.1849121873456</v>
      </c>
      <c r="J1997" s="8">
        <f t="shared" si="284"/>
        <v>49777.5</v>
      </c>
      <c r="K1997" s="7">
        <f t="shared" si="285"/>
        <v>-52200.684912187346</v>
      </c>
      <c r="L1997" s="4">
        <f>IF(A1997&gt;'Yield Curve'!A2611,L1996,(1+VLOOKUP(A1997,'Yield Curve'!A1990:B2612,2,FALSE))^(1/12)-1)</f>
        <v>7.9741404289037643E-3</v>
      </c>
      <c r="M1997" s="5">
        <f t="shared" si="286"/>
        <v>-7.1918171381997412E-3</v>
      </c>
    </row>
    <row r="1998" spans="1:13" x14ac:dyDescent="0.25">
      <c r="A1998" s="4">
        <v>1990</v>
      </c>
      <c r="B1998" s="4">
        <f t="shared" si="279"/>
        <v>210</v>
      </c>
      <c r="C1998" s="4">
        <f t="shared" si="280"/>
        <v>2005</v>
      </c>
      <c r="D1998" s="4">
        <f>IF(B1998&gt;'Mortality Table'!$A$118,D1997,VLOOKUP(B1998,'Mortality Table'!$A$2:$B$118,2,FALSE))</f>
        <v>0.59733000000000003</v>
      </c>
      <c r="E1998" s="4">
        <f>IF(INT((C1998-1)/12)+1&gt;'Lapse Table'!$A$11,E1997,VLOOKUP(INT((C1998-1)/12)+1,'Lapse Table'!$A$2:$B$11,2,FALSE))/12</f>
        <v>0</v>
      </c>
      <c r="F1998" s="5">
        <f t="shared" si="287"/>
        <v>-72.745324865620375</v>
      </c>
      <c r="G1998" s="6">
        <f t="shared" si="281"/>
        <v>4.9777500000000002E-2</v>
      </c>
      <c r="H1998" s="6">
        <f t="shared" si="282"/>
        <v>0</v>
      </c>
      <c r="I1998" s="7">
        <f t="shared" si="283"/>
        <v>-2424.8441621873458</v>
      </c>
      <c r="J1998" s="8">
        <f t="shared" si="284"/>
        <v>49777.5</v>
      </c>
      <c r="K1998" s="7">
        <f t="shared" si="285"/>
        <v>-52202.344162187343</v>
      </c>
      <c r="L1998" s="4">
        <f>IF(A1998&gt;'Yield Curve'!A2612,L1997,(1+VLOOKUP(A1998,'Yield Curve'!A1991:B2613,2,FALSE))^(1/12)-1)</f>
        <v>7.9741404289037643E-3</v>
      </c>
      <c r="M1998" s="5">
        <f t="shared" si="286"/>
        <v>-7.1351490566070284E-3</v>
      </c>
    </row>
    <row r="1999" spans="1:13" x14ac:dyDescent="0.25">
      <c r="A1999" s="4">
        <v>1991</v>
      </c>
      <c r="B1999" s="4">
        <f t="shared" si="279"/>
        <v>210</v>
      </c>
      <c r="C1999" s="4">
        <f t="shared" si="280"/>
        <v>2006</v>
      </c>
      <c r="D1999" s="4">
        <f>IF(B1999&gt;'Mortality Table'!$A$118,D1998,VLOOKUP(B1999,'Mortality Table'!$A$2:$B$118,2,FALSE))</f>
        <v>0.59733000000000003</v>
      </c>
      <c r="E1999" s="4">
        <f>IF(INT((C1999-1)/12)+1&gt;'Lapse Table'!$A$11,E1998,VLOOKUP(INT((C1999-1)/12)+1,'Lapse Table'!$A$2:$B$11,2,FALSE))/12</f>
        <v>0</v>
      </c>
      <c r="F1999" s="5">
        <f t="shared" si="287"/>
        <v>-72.79510236562038</v>
      </c>
      <c r="G1999" s="6">
        <f t="shared" si="281"/>
        <v>4.9777500000000002E-2</v>
      </c>
      <c r="H1999" s="6">
        <f t="shared" si="282"/>
        <v>0</v>
      </c>
      <c r="I1999" s="7">
        <f t="shared" si="283"/>
        <v>-2426.5034121873459</v>
      </c>
      <c r="J1999" s="8">
        <f t="shared" si="284"/>
        <v>49777.5</v>
      </c>
      <c r="K1999" s="7">
        <f t="shared" si="285"/>
        <v>-52204.003412187347</v>
      </c>
      <c r="L1999" s="4">
        <f>IF(A1999&gt;'Yield Curve'!A2613,L1998,(1+VLOOKUP(A1999,'Yield Curve'!A1992:B2614,2,FALSE))^(1/12)-1)</f>
        <v>7.9741404289037643E-3</v>
      </c>
      <c r="M1999" s="5">
        <f t="shared" si="286"/>
        <v>-7.0789274852600262E-3</v>
      </c>
    </row>
    <row r="2000" spans="1:13" x14ac:dyDescent="0.25">
      <c r="A2000" s="4">
        <v>1992</v>
      </c>
      <c r="B2000" s="4">
        <f t="shared" si="279"/>
        <v>211</v>
      </c>
      <c r="C2000" s="4">
        <f t="shared" si="280"/>
        <v>2007</v>
      </c>
      <c r="D2000" s="4">
        <f>IF(B2000&gt;'Mortality Table'!$A$118,D1999,VLOOKUP(B2000,'Mortality Table'!$A$2:$B$118,2,FALSE))</f>
        <v>0.59733000000000003</v>
      </c>
      <c r="E2000" s="4">
        <f>IF(INT((C2000-1)/12)+1&gt;'Lapse Table'!$A$11,E1999,VLOOKUP(INT((C2000-1)/12)+1,'Lapse Table'!$A$2:$B$11,2,FALSE))/12</f>
        <v>0</v>
      </c>
      <c r="F2000" s="5">
        <f t="shared" si="287"/>
        <v>-72.844879865620385</v>
      </c>
      <c r="G2000" s="6">
        <f t="shared" si="281"/>
        <v>4.9777500000000002E-2</v>
      </c>
      <c r="H2000" s="6">
        <f t="shared" si="282"/>
        <v>0</v>
      </c>
      <c r="I2000" s="7">
        <f t="shared" si="283"/>
        <v>-2428.1626621873461</v>
      </c>
      <c r="J2000" s="8">
        <f t="shared" si="284"/>
        <v>49777.5</v>
      </c>
      <c r="K2000" s="7">
        <f t="shared" si="285"/>
        <v>-52205.662662187344</v>
      </c>
      <c r="L2000" s="4">
        <f>IF(A2000&gt;'Yield Curve'!A2614,L1999,(1+VLOOKUP(A2000,'Yield Curve'!A1993:B2615,2,FALSE))^(1/12)-1)</f>
        <v>7.9741404289037643E-3</v>
      </c>
      <c r="M2000" s="5">
        <f t="shared" si="286"/>
        <v>-7.0231489059845607E-3</v>
      </c>
    </row>
    <row r="2001" spans="1:13" x14ac:dyDescent="0.25">
      <c r="A2001" s="4">
        <v>1993</v>
      </c>
      <c r="B2001" s="4">
        <f t="shared" si="279"/>
        <v>211</v>
      </c>
      <c r="C2001" s="4">
        <f t="shared" si="280"/>
        <v>2008</v>
      </c>
      <c r="D2001" s="4">
        <f>IF(B2001&gt;'Mortality Table'!$A$118,D2000,VLOOKUP(B2001,'Mortality Table'!$A$2:$B$118,2,FALSE))</f>
        <v>0.59733000000000003</v>
      </c>
      <c r="E2001" s="4">
        <f>IF(INT((C2001-1)/12)+1&gt;'Lapse Table'!$A$11,E2000,VLOOKUP(INT((C2001-1)/12)+1,'Lapse Table'!$A$2:$B$11,2,FALSE))/12</f>
        <v>0</v>
      </c>
      <c r="F2001" s="5">
        <f t="shared" si="287"/>
        <v>-72.89465736562039</v>
      </c>
      <c r="G2001" s="6">
        <f t="shared" si="281"/>
        <v>4.9777500000000002E-2</v>
      </c>
      <c r="H2001" s="6">
        <f t="shared" si="282"/>
        <v>0</v>
      </c>
      <c r="I2001" s="7">
        <f t="shared" si="283"/>
        <v>-2429.8219121873462</v>
      </c>
      <c r="J2001" s="8">
        <f t="shared" si="284"/>
        <v>49777.5</v>
      </c>
      <c r="K2001" s="7">
        <f t="shared" si="285"/>
        <v>-52207.321912187348</v>
      </c>
      <c r="L2001" s="4">
        <f>IF(A2001&gt;'Yield Curve'!A2615,L2000,(1+VLOOKUP(A2001,'Yield Curve'!A1994:B2616,2,FALSE))^(1/12)-1)</f>
        <v>7.9741404289037643E-3</v>
      </c>
      <c r="M2001" s="5">
        <f t="shared" si="286"/>
        <v>-6.9678098283266678E-3</v>
      </c>
    </row>
    <row r="2002" spans="1:13" x14ac:dyDescent="0.25">
      <c r="A2002" s="4">
        <v>1994</v>
      </c>
      <c r="B2002" s="4">
        <f t="shared" si="279"/>
        <v>211</v>
      </c>
      <c r="C2002" s="4">
        <f t="shared" si="280"/>
        <v>2009</v>
      </c>
      <c r="D2002" s="4">
        <f>IF(B2002&gt;'Mortality Table'!$A$118,D2001,VLOOKUP(B2002,'Mortality Table'!$A$2:$B$118,2,FALSE))</f>
        <v>0.59733000000000003</v>
      </c>
      <c r="E2002" s="4">
        <f>IF(INT((C2002-1)/12)+1&gt;'Lapse Table'!$A$11,E2001,VLOOKUP(INT((C2002-1)/12)+1,'Lapse Table'!$A$2:$B$11,2,FALSE))/12</f>
        <v>0</v>
      </c>
      <c r="F2002" s="5">
        <f t="shared" si="287"/>
        <v>-72.944434865620394</v>
      </c>
      <c r="G2002" s="6">
        <f t="shared" si="281"/>
        <v>4.9777500000000002E-2</v>
      </c>
      <c r="H2002" s="6">
        <f t="shared" si="282"/>
        <v>0</v>
      </c>
      <c r="I2002" s="7">
        <f t="shared" si="283"/>
        <v>-2431.4811621873464</v>
      </c>
      <c r="J2002" s="8">
        <f t="shared" si="284"/>
        <v>49777.5</v>
      </c>
      <c r="K2002" s="7">
        <f t="shared" si="285"/>
        <v>-52208.981162187345</v>
      </c>
      <c r="L2002" s="4">
        <f>IF(A2002&gt;'Yield Curve'!A2616,L2001,(1+VLOOKUP(A2002,'Yield Curve'!A1995:B2617,2,FALSE))^(1/12)-1)</f>
        <v>7.9741404289037643E-3</v>
      </c>
      <c r="M2002" s="5">
        <f t="shared" si="286"/>
        <v>-6.9129067893341518E-3</v>
      </c>
    </row>
    <row r="2003" spans="1:13" x14ac:dyDescent="0.25">
      <c r="A2003" s="4">
        <v>1995</v>
      </c>
      <c r="B2003" s="4">
        <f t="shared" si="279"/>
        <v>211</v>
      </c>
      <c r="C2003" s="4">
        <f t="shared" si="280"/>
        <v>2010</v>
      </c>
      <c r="D2003" s="4">
        <f>IF(B2003&gt;'Mortality Table'!$A$118,D2002,VLOOKUP(B2003,'Mortality Table'!$A$2:$B$118,2,FALSE))</f>
        <v>0.59733000000000003</v>
      </c>
      <c r="E2003" s="4">
        <f>IF(INT((C2003-1)/12)+1&gt;'Lapse Table'!$A$11,E2002,VLOOKUP(INT((C2003-1)/12)+1,'Lapse Table'!$A$2:$B$11,2,FALSE))/12</f>
        <v>0</v>
      </c>
      <c r="F2003" s="5">
        <f t="shared" si="287"/>
        <v>-72.994212365620399</v>
      </c>
      <c r="G2003" s="6">
        <f t="shared" si="281"/>
        <v>4.9777500000000002E-2</v>
      </c>
      <c r="H2003" s="6">
        <f t="shared" si="282"/>
        <v>0</v>
      </c>
      <c r="I2003" s="7">
        <f t="shared" si="283"/>
        <v>-2433.1404121873466</v>
      </c>
      <c r="J2003" s="8">
        <f t="shared" si="284"/>
        <v>49777.5</v>
      </c>
      <c r="K2003" s="7">
        <f t="shared" si="285"/>
        <v>-52210.640412187349</v>
      </c>
      <c r="L2003" s="4">
        <f>IF(A2003&gt;'Yield Curve'!A2617,L2002,(1+VLOOKUP(A2003,'Yield Curve'!A1996:B2618,2,FALSE))^(1/12)-1)</f>
        <v>7.9741404289037643E-3</v>
      </c>
      <c r="M2003" s="5">
        <f t="shared" si="286"/>
        <v>-6.8584363533399093E-3</v>
      </c>
    </row>
    <row r="2004" spans="1:13" x14ac:dyDescent="0.25">
      <c r="A2004" s="4">
        <v>1996</v>
      </c>
      <c r="B2004" s="4">
        <f t="shared" si="279"/>
        <v>211</v>
      </c>
      <c r="C2004" s="4">
        <f t="shared" si="280"/>
        <v>2011</v>
      </c>
      <c r="D2004" s="4">
        <f>IF(B2004&gt;'Mortality Table'!$A$118,D2003,VLOOKUP(B2004,'Mortality Table'!$A$2:$B$118,2,FALSE))</f>
        <v>0.59733000000000003</v>
      </c>
      <c r="E2004" s="4">
        <f>IF(INT((C2004-1)/12)+1&gt;'Lapse Table'!$A$11,E2003,VLOOKUP(INT((C2004-1)/12)+1,'Lapse Table'!$A$2:$B$11,2,FALSE))/12</f>
        <v>0</v>
      </c>
      <c r="F2004" s="5">
        <f t="shared" si="287"/>
        <v>-73.043989865620404</v>
      </c>
      <c r="G2004" s="6">
        <f t="shared" si="281"/>
        <v>4.9777500000000002E-2</v>
      </c>
      <c r="H2004" s="6">
        <f t="shared" si="282"/>
        <v>0</v>
      </c>
      <c r="I2004" s="7">
        <f t="shared" si="283"/>
        <v>-2434.7996621873467</v>
      </c>
      <c r="J2004" s="8">
        <f t="shared" si="284"/>
        <v>49777.5</v>
      </c>
      <c r="K2004" s="7">
        <f t="shared" si="285"/>
        <v>-52212.299662187346</v>
      </c>
      <c r="L2004" s="4">
        <f>IF(A2004&gt;'Yield Curve'!A2618,L2003,(1+VLOOKUP(A2004,'Yield Curve'!A1997:B2619,2,FALSE))^(1/12)-1)</f>
        <v>7.9741404289037643E-3</v>
      </c>
      <c r="M2004" s="5">
        <f t="shared" si="286"/>
        <v>-6.8043951117469524E-3</v>
      </c>
    </row>
    <row r="2005" spans="1:13" x14ac:dyDescent="0.25">
      <c r="A2005" s="4">
        <v>1997</v>
      </c>
      <c r="B2005" s="4">
        <f t="shared" si="279"/>
        <v>211</v>
      </c>
      <c r="C2005" s="4">
        <f t="shared" si="280"/>
        <v>2012</v>
      </c>
      <c r="D2005" s="4">
        <f>IF(B2005&gt;'Mortality Table'!$A$118,D2004,VLOOKUP(B2005,'Mortality Table'!$A$2:$B$118,2,FALSE))</f>
        <v>0.59733000000000003</v>
      </c>
      <c r="E2005" s="4">
        <f>IF(INT((C2005-1)/12)+1&gt;'Lapse Table'!$A$11,E2004,VLOOKUP(INT((C2005-1)/12)+1,'Lapse Table'!$A$2:$B$11,2,FALSE))/12</f>
        <v>0</v>
      </c>
      <c r="F2005" s="5">
        <f t="shared" si="287"/>
        <v>-73.093767365620408</v>
      </c>
      <c r="G2005" s="6">
        <f t="shared" si="281"/>
        <v>4.9777500000000002E-2</v>
      </c>
      <c r="H2005" s="6">
        <f t="shared" si="282"/>
        <v>0</v>
      </c>
      <c r="I2005" s="7">
        <f t="shared" si="283"/>
        <v>-2436.4589121873469</v>
      </c>
      <c r="J2005" s="8">
        <f t="shared" si="284"/>
        <v>49777.5</v>
      </c>
      <c r="K2005" s="7">
        <f t="shared" si="285"/>
        <v>-52213.958912187343</v>
      </c>
      <c r="L2005" s="4">
        <f>IF(A2005&gt;'Yield Curve'!A2619,L2004,(1+VLOOKUP(A2005,'Yield Curve'!A1998:B2620,2,FALSE))^(1/12)-1)</f>
        <v>7.9741404289037643E-3</v>
      </c>
      <c r="M2005" s="5">
        <f t="shared" si="286"/>
        <v>-6.7507796828151223E-3</v>
      </c>
    </row>
    <row r="2006" spans="1:13" x14ac:dyDescent="0.25">
      <c r="A2006" s="4">
        <v>1998</v>
      </c>
      <c r="B2006" s="4">
        <f t="shared" si="279"/>
        <v>211</v>
      </c>
      <c r="C2006" s="4">
        <f t="shared" si="280"/>
        <v>2013</v>
      </c>
      <c r="D2006" s="4">
        <f>IF(B2006&gt;'Mortality Table'!$A$118,D2005,VLOOKUP(B2006,'Mortality Table'!$A$2:$B$118,2,FALSE))</f>
        <v>0.59733000000000003</v>
      </c>
      <c r="E2006" s="4">
        <f>IF(INT((C2006-1)/12)+1&gt;'Lapse Table'!$A$11,E2005,VLOOKUP(INT((C2006-1)/12)+1,'Lapse Table'!$A$2:$B$11,2,FALSE))/12</f>
        <v>0</v>
      </c>
      <c r="F2006" s="5">
        <f t="shared" si="287"/>
        <v>-73.143544865620413</v>
      </c>
      <c r="G2006" s="6">
        <f t="shared" si="281"/>
        <v>4.9777500000000002E-2</v>
      </c>
      <c r="H2006" s="6">
        <f t="shared" si="282"/>
        <v>0</v>
      </c>
      <c r="I2006" s="7">
        <f t="shared" si="283"/>
        <v>-2438.118162187347</v>
      </c>
      <c r="J2006" s="8">
        <f t="shared" si="284"/>
        <v>49777.5</v>
      </c>
      <c r="K2006" s="7">
        <f t="shared" si="285"/>
        <v>-52215.618162187347</v>
      </c>
      <c r="L2006" s="4">
        <f>IF(A2006&gt;'Yield Curve'!A2620,L2005,(1+VLOOKUP(A2006,'Yield Curve'!A1999:B2621,2,FALSE))^(1/12)-1)</f>
        <v>7.9741404289037643E-3</v>
      </c>
      <c r="M2006" s="5">
        <f t="shared" si="286"/>
        <v>-6.697586711449482E-3</v>
      </c>
    </row>
    <row r="2007" spans="1:13" x14ac:dyDescent="0.25">
      <c r="A2007" s="4">
        <v>1999</v>
      </c>
      <c r="B2007" s="4">
        <f t="shared" si="279"/>
        <v>211</v>
      </c>
      <c r="C2007" s="4">
        <f t="shared" si="280"/>
        <v>2014</v>
      </c>
      <c r="D2007" s="4">
        <f>IF(B2007&gt;'Mortality Table'!$A$118,D2006,VLOOKUP(B2007,'Mortality Table'!$A$2:$B$118,2,FALSE))</f>
        <v>0.59733000000000003</v>
      </c>
      <c r="E2007" s="4">
        <f>IF(INT((C2007-1)/12)+1&gt;'Lapse Table'!$A$11,E2006,VLOOKUP(INT((C2007-1)/12)+1,'Lapse Table'!$A$2:$B$11,2,FALSE))/12</f>
        <v>0</v>
      </c>
      <c r="F2007" s="5">
        <f t="shared" si="287"/>
        <v>-73.193322365620418</v>
      </c>
      <c r="G2007" s="6">
        <f t="shared" si="281"/>
        <v>4.9777500000000002E-2</v>
      </c>
      <c r="H2007" s="6">
        <f t="shared" si="282"/>
        <v>0</v>
      </c>
      <c r="I2007" s="7">
        <f t="shared" si="283"/>
        <v>-2439.7774121873472</v>
      </c>
      <c r="J2007" s="8">
        <f t="shared" si="284"/>
        <v>49777.5</v>
      </c>
      <c r="K2007" s="7">
        <f t="shared" si="285"/>
        <v>-52217.277412187344</v>
      </c>
      <c r="L2007" s="4">
        <f>IF(A2007&gt;'Yield Curve'!A2621,L2006,(1+VLOOKUP(A2007,'Yield Curve'!A2000:B2622,2,FALSE))^(1/12)-1)</f>
        <v>7.9741404289037643E-3</v>
      </c>
      <c r="M2007" s="5">
        <f t="shared" si="286"/>
        <v>-6.6448128689903813E-3</v>
      </c>
    </row>
    <row r="2008" spans="1:13" x14ac:dyDescent="0.25">
      <c r="A2008" s="4">
        <v>2000</v>
      </c>
      <c r="B2008" s="4">
        <f t="shared" si="279"/>
        <v>211</v>
      </c>
      <c r="C2008" s="4">
        <f t="shared" si="280"/>
        <v>2015</v>
      </c>
      <c r="D2008" s="4">
        <f>IF(B2008&gt;'Mortality Table'!$A$118,D2007,VLOOKUP(B2008,'Mortality Table'!$A$2:$B$118,2,FALSE))</f>
        <v>0.59733000000000003</v>
      </c>
      <c r="E2008" s="4">
        <f>IF(INT((C2008-1)/12)+1&gt;'Lapse Table'!$A$11,E2007,VLOOKUP(INT((C2008-1)/12)+1,'Lapse Table'!$A$2:$B$11,2,FALSE))/12</f>
        <v>0</v>
      </c>
      <c r="F2008" s="5">
        <f t="shared" si="287"/>
        <v>-73.243099865620422</v>
      </c>
      <c r="G2008" s="6">
        <f t="shared" si="281"/>
        <v>4.9777500000000002E-2</v>
      </c>
      <c r="H2008" s="6">
        <f t="shared" si="282"/>
        <v>0</v>
      </c>
      <c r="I2008" s="7">
        <f t="shared" si="283"/>
        <v>-2441.4366621873473</v>
      </c>
      <c r="J2008" s="8">
        <f t="shared" si="284"/>
        <v>49777.5</v>
      </c>
      <c r="K2008" s="7">
        <f t="shared" si="285"/>
        <v>-52218.936662187349</v>
      </c>
      <c r="L2008" s="4">
        <f>IF(A2008&gt;'Yield Curve'!A2622,L2007,(1+VLOOKUP(A2008,'Yield Curve'!A2001:B2623,2,FALSE))^(1/12)-1)</f>
        <v>7.9741404289037643E-3</v>
      </c>
      <c r="M2008" s="5">
        <f t="shared" si="286"/>
        <v>-6.5924548530051676E-3</v>
      </c>
    </row>
    <row r="2009" spans="1:13" x14ac:dyDescent="0.25">
      <c r="A2009" s="4">
        <v>2001</v>
      </c>
      <c r="B2009" s="4">
        <f t="shared" si="279"/>
        <v>211</v>
      </c>
      <c r="C2009" s="4">
        <f t="shared" si="280"/>
        <v>2016</v>
      </c>
      <c r="D2009" s="4">
        <f>IF(B2009&gt;'Mortality Table'!$A$118,D2008,VLOOKUP(B2009,'Mortality Table'!$A$2:$B$118,2,FALSE))</f>
        <v>0.59733000000000003</v>
      </c>
      <c r="E2009" s="4">
        <f>IF(INT((C2009-1)/12)+1&gt;'Lapse Table'!$A$11,E2008,VLOOKUP(INT((C2009-1)/12)+1,'Lapse Table'!$A$2:$B$11,2,FALSE))/12</f>
        <v>0</v>
      </c>
      <c r="F2009" s="5">
        <f t="shared" si="287"/>
        <v>-73.292877365620427</v>
      </c>
      <c r="G2009" s="6">
        <f t="shared" si="281"/>
        <v>4.9777500000000002E-2</v>
      </c>
      <c r="H2009" s="6">
        <f t="shared" si="282"/>
        <v>0</v>
      </c>
      <c r="I2009" s="7">
        <f t="shared" si="283"/>
        <v>-2443.0959121873475</v>
      </c>
      <c r="J2009" s="8">
        <f t="shared" si="284"/>
        <v>49777.5</v>
      </c>
      <c r="K2009" s="7">
        <f t="shared" si="285"/>
        <v>-52220.595912187346</v>
      </c>
      <c r="L2009" s="4">
        <f>IF(A2009&gt;'Yield Curve'!A2623,L2008,(1+VLOOKUP(A2009,'Yield Curve'!A2002:B2624,2,FALSE))^(1/12)-1)</f>
        <v>7.9741404289037643E-3</v>
      </c>
      <c r="M2009" s="5">
        <f t="shared" si="286"/>
        <v>-6.5405093870815464E-3</v>
      </c>
    </row>
    <row r="2010" spans="1:13" x14ac:dyDescent="0.25">
      <c r="A2010" s="4">
        <v>2002</v>
      </c>
      <c r="B2010" s="4">
        <f t="shared" si="279"/>
        <v>211</v>
      </c>
      <c r="C2010" s="4">
        <f t="shared" si="280"/>
        <v>2017</v>
      </c>
      <c r="D2010" s="4">
        <f>IF(B2010&gt;'Mortality Table'!$A$118,D2009,VLOOKUP(B2010,'Mortality Table'!$A$2:$B$118,2,FALSE))</f>
        <v>0.59733000000000003</v>
      </c>
      <c r="E2010" s="4">
        <f>IF(INT((C2010-1)/12)+1&gt;'Lapse Table'!$A$11,E2009,VLOOKUP(INT((C2010-1)/12)+1,'Lapse Table'!$A$2:$B$11,2,FALSE))/12</f>
        <v>0</v>
      </c>
      <c r="F2010" s="5">
        <f t="shared" si="287"/>
        <v>-73.342654865620432</v>
      </c>
      <c r="G2010" s="6">
        <f t="shared" si="281"/>
        <v>4.9777500000000002E-2</v>
      </c>
      <c r="H2010" s="6">
        <f t="shared" si="282"/>
        <v>0</v>
      </c>
      <c r="I2010" s="7">
        <f t="shared" si="283"/>
        <v>-2444.7551621873477</v>
      </c>
      <c r="J2010" s="8">
        <f t="shared" si="284"/>
        <v>49777.5</v>
      </c>
      <c r="K2010" s="7">
        <f t="shared" si="285"/>
        <v>-52222.25516218735</v>
      </c>
      <c r="L2010" s="4">
        <f>IF(A2010&gt;'Yield Curve'!A2624,L2009,(1+VLOOKUP(A2010,'Yield Curve'!A2003:B2625,2,FALSE))^(1/12)-1)</f>
        <v>7.9741404289037643E-3</v>
      </c>
      <c r="M2010" s="5">
        <f t="shared" si="286"/>
        <v>-6.4889732206225717E-3</v>
      </c>
    </row>
    <row r="2011" spans="1:13" x14ac:dyDescent="0.25">
      <c r="A2011" s="4">
        <v>2003</v>
      </c>
      <c r="B2011" s="4">
        <f t="shared" si="279"/>
        <v>211</v>
      </c>
      <c r="C2011" s="4">
        <f t="shared" si="280"/>
        <v>2018</v>
      </c>
      <c r="D2011" s="4">
        <f>IF(B2011&gt;'Mortality Table'!$A$118,D2010,VLOOKUP(B2011,'Mortality Table'!$A$2:$B$118,2,FALSE))</f>
        <v>0.59733000000000003</v>
      </c>
      <c r="E2011" s="4">
        <f>IF(INT((C2011-1)/12)+1&gt;'Lapse Table'!$A$11,E2010,VLOOKUP(INT((C2011-1)/12)+1,'Lapse Table'!$A$2:$B$11,2,FALSE))/12</f>
        <v>0</v>
      </c>
      <c r="F2011" s="5">
        <f t="shared" si="287"/>
        <v>-73.392432365620436</v>
      </c>
      <c r="G2011" s="6">
        <f t="shared" si="281"/>
        <v>4.9777500000000002E-2</v>
      </c>
      <c r="H2011" s="6">
        <f t="shared" si="282"/>
        <v>0</v>
      </c>
      <c r="I2011" s="7">
        <f t="shared" si="283"/>
        <v>-2446.4144121873478</v>
      </c>
      <c r="J2011" s="8">
        <f t="shared" si="284"/>
        <v>49777.5</v>
      </c>
      <c r="K2011" s="7">
        <f t="shared" si="285"/>
        <v>-52223.914412187347</v>
      </c>
      <c r="L2011" s="4">
        <f>IF(A2011&gt;'Yield Curve'!A2625,L2010,(1+VLOOKUP(A2011,'Yield Curve'!A2004:B2626,2,FALSE))^(1/12)-1)</f>
        <v>7.9741404289037643E-3</v>
      </c>
      <c r="M2011" s="5">
        <f t="shared" si="286"/>
        <v>-6.4378431286432319E-3</v>
      </c>
    </row>
    <row r="2012" spans="1:13" x14ac:dyDescent="0.25">
      <c r="A2012" s="4">
        <v>2004</v>
      </c>
      <c r="B2012" s="4">
        <f t="shared" si="279"/>
        <v>212</v>
      </c>
      <c r="C2012" s="4">
        <f t="shared" si="280"/>
        <v>2019</v>
      </c>
      <c r="D2012" s="4">
        <f>IF(B2012&gt;'Mortality Table'!$A$118,D2011,VLOOKUP(B2012,'Mortality Table'!$A$2:$B$118,2,FALSE))</f>
        <v>0.59733000000000003</v>
      </c>
      <c r="E2012" s="4">
        <f>IF(INT((C2012-1)/12)+1&gt;'Lapse Table'!$A$11,E2011,VLOOKUP(INT((C2012-1)/12)+1,'Lapse Table'!$A$2:$B$11,2,FALSE))/12</f>
        <v>0</v>
      </c>
      <c r="F2012" s="5">
        <f t="shared" si="287"/>
        <v>-73.442209865620441</v>
      </c>
      <c r="G2012" s="6">
        <f t="shared" si="281"/>
        <v>4.9777500000000002E-2</v>
      </c>
      <c r="H2012" s="6">
        <f t="shared" si="282"/>
        <v>0</v>
      </c>
      <c r="I2012" s="7">
        <f t="shared" si="283"/>
        <v>-2448.073662187348</v>
      </c>
      <c r="J2012" s="8">
        <f t="shared" si="284"/>
        <v>49777.5</v>
      </c>
      <c r="K2012" s="7">
        <f t="shared" si="285"/>
        <v>-52225.573662187351</v>
      </c>
      <c r="L2012" s="4">
        <f>IF(A2012&gt;'Yield Curve'!A2626,L2011,(1+VLOOKUP(A2012,'Yield Curve'!A2005:B2627,2,FALSE))^(1/12)-1)</f>
        <v>7.9741404289037643E-3</v>
      </c>
      <c r="M2012" s="5">
        <f t="shared" si="286"/>
        <v>-6.3871159115686631E-3</v>
      </c>
    </row>
    <row r="2013" spans="1:13" x14ac:dyDescent="0.25">
      <c r="A2013" s="4">
        <v>2005</v>
      </c>
      <c r="B2013" s="4">
        <f t="shared" si="279"/>
        <v>212</v>
      </c>
      <c r="C2013" s="4">
        <f t="shared" si="280"/>
        <v>2020</v>
      </c>
      <c r="D2013" s="4">
        <f>IF(B2013&gt;'Mortality Table'!$A$118,D2012,VLOOKUP(B2013,'Mortality Table'!$A$2:$B$118,2,FALSE))</f>
        <v>0.59733000000000003</v>
      </c>
      <c r="E2013" s="4">
        <f>IF(INT((C2013-1)/12)+1&gt;'Lapse Table'!$A$11,E2012,VLOOKUP(INT((C2013-1)/12)+1,'Lapse Table'!$A$2:$B$11,2,FALSE))/12</f>
        <v>0</v>
      </c>
      <c r="F2013" s="5">
        <f t="shared" si="287"/>
        <v>-73.491987365620446</v>
      </c>
      <c r="G2013" s="6">
        <f t="shared" si="281"/>
        <v>4.9777500000000002E-2</v>
      </c>
      <c r="H2013" s="6">
        <f t="shared" si="282"/>
        <v>0</v>
      </c>
      <c r="I2013" s="7">
        <f t="shared" si="283"/>
        <v>-2449.7329121873481</v>
      </c>
      <c r="J2013" s="8">
        <f t="shared" si="284"/>
        <v>49777.5</v>
      </c>
      <c r="K2013" s="7">
        <f t="shared" si="285"/>
        <v>-52227.232912187348</v>
      </c>
      <c r="L2013" s="4">
        <f>IF(A2013&gt;'Yield Curve'!A2627,L2012,(1+VLOOKUP(A2013,'Yield Curve'!A2006:B2628,2,FALSE))^(1/12)-1)</f>
        <v>7.9741404289037643E-3</v>
      </c>
      <c r="M2013" s="5">
        <f t="shared" si="286"/>
        <v>-6.3367883950339399E-3</v>
      </c>
    </row>
    <row r="2014" spans="1:13" x14ac:dyDescent="0.25">
      <c r="A2014" s="4">
        <v>2006</v>
      </c>
      <c r="B2014" s="4">
        <f t="shared" si="279"/>
        <v>212</v>
      </c>
      <c r="C2014" s="4">
        <f t="shared" si="280"/>
        <v>2021</v>
      </c>
      <c r="D2014" s="4">
        <f>IF(B2014&gt;'Mortality Table'!$A$118,D2013,VLOOKUP(B2014,'Mortality Table'!$A$2:$B$118,2,FALSE))</f>
        <v>0.59733000000000003</v>
      </c>
      <c r="E2014" s="4">
        <f>IF(INT((C2014-1)/12)+1&gt;'Lapse Table'!$A$11,E2013,VLOOKUP(INT((C2014-1)/12)+1,'Lapse Table'!$A$2:$B$11,2,FALSE))/12</f>
        <v>0</v>
      </c>
      <c r="F2014" s="5">
        <f t="shared" si="287"/>
        <v>-73.541764865620451</v>
      </c>
      <c r="G2014" s="6">
        <f t="shared" si="281"/>
        <v>4.9777500000000002E-2</v>
      </c>
      <c r="H2014" s="6">
        <f t="shared" si="282"/>
        <v>0</v>
      </c>
      <c r="I2014" s="7">
        <f t="shared" si="283"/>
        <v>-2451.3921621873483</v>
      </c>
      <c r="J2014" s="8">
        <f t="shared" si="284"/>
        <v>49777.5</v>
      </c>
      <c r="K2014" s="7">
        <f t="shared" si="285"/>
        <v>-52228.892162187345</v>
      </c>
      <c r="L2014" s="4">
        <f>IF(A2014&gt;'Yield Curve'!A2628,L2013,(1+VLOOKUP(A2014,'Yield Curve'!A2007:B2629,2,FALSE))^(1/12)-1)</f>
        <v>7.9741404289037643E-3</v>
      </c>
      <c r="M2014" s="5">
        <f t="shared" si="286"/>
        <v>-6.2868574296854546E-3</v>
      </c>
    </row>
    <row r="2015" spans="1:13" x14ac:dyDescent="0.25">
      <c r="A2015" s="4">
        <v>2007</v>
      </c>
      <c r="B2015" s="4">
        <f t="shared" si="279"/>
        <v>212</v>
      </c>
      <c r="C2015" s="4">
        <f t="shared" si="280"/>
        <v>2022</v>
      </c>
      <c r="D2015" s="4">
        <f>IF(B2015&gt;'Mortality Table'!$A$118,D2014,VLOOKUP(B2015,'Mortality Table'!$A$2:$B$118,2,FALSE))</f>
        <v>0.59733000000000003</v>
      </c>
      <c r="E2015" s="4">
        <f>IF(INT((C2015-1)/12)+1&gt;'Lapse Table'!$A$11,E2014,VLOOKUP(INT((C2015-1)/12)+1,'Lapse Table'!$A$2:$B$11,2,FALSE))/12</f>
        <v>0</v>
      </c>
      <c r="F2015" s="5">
        <f t="shared" si="287"/>
        <v>-73.591542365620455</v>
      </c>
      <c r="G2015" s="6">
        <f t="shared" si="281"/>
        <v>4.9777500000000002E-2</v>
      </c>
      <c r="H2015" s="6">
        <f t="shared" si="282"/>
        <v>0</v>
      </c>
      <c r="I2015" s="7">
        <f t="shared" si="283"/>
        <v>-2453.0514121873484</v>
      </c>
      <c r="J2015" s="8">
        <f t="shared" si="284"/>
        <v>49777.5</v>
      </c>
      <c r="K2015" s="7">
        <f t="shared" si="285"/>
        <v>-52230.551412187349</v>
      </c>
      <c r="L2015" s="4">
        <f>IF(A2015&gt;'Yield Curve'!A2629,L2014,(1+VLOOKUP(A2015,'Yield Curve'!A2008:B2630,2,FALSE))^(1/12)-1)</f>
        <v>7.9741404289037643E-3</v>
      </c>
      <c r="M2015" s="5">
        <f t="shared" si="286"/>
        <v>-6.2373198909838369E-3</v>
      </c>
    </row>
    <row r="2016" spans="1:13" x14ac:dyDescent="0.25">
      <c r="A2016" s="4">
        <v>2008</v>
      </c>
      <c r="B2016" s="4">
        <f t="shared" si="279"/>
        <v>212</v>
      </c>
      <c r="C2016" s="4">
        <f t="shared" si="280"/>
        <v>2023</v>
      </c>
      <c r="D2016" s="4">
        <f>IF(B2016&gt;'Mortality Table'!$A$118,D2015,VLOOKUP(B2016,'Mortality Table'!$A$2:$B$118,2,FALSE))</f>
        <v>0.59733000000000003</v>
      </c>
      <c r="E2016" s="4">
        <f>IF(INT((C2016-1)/12)+1&gt;'Lapse Table'!$A$11,E2015,VLOOKUP(INT((C2016-1)/12)+1,'Lapse Table'!$A$2:$B$11,2,FALSE))/12</f>
        <v>0</v>
      </c>
      <c r="F2016" s="5">
        <f t="shared" si="287"/>
        <v>-73.64131986562046</v>
      </c>
      <c r="G2016" s="6">
        <f t="shared" si="281"/>
        <v>4.9777500000000002E-2</v>
      </c>
      <c r="H2016" s="6">
        <f t="shared" si="282"/>
        <v>0</v>
      </c>
      <c r="I2016" s="7">
        <f t="shared" si="283"/>
        <v>-2454.7106621873486</v>
      </c>
      <c r="J2016" s="8">
        <f t="shared" si="284"/>
        <v>49777.5</v>
      </c>
      <c r="K2016" s="7">
        <f t="shared" si="285"/>
        <v>-52232.210662187346</v>
      </c>
      <c r="L2016" s="4">
        <f>IF(A2016&gt;'Yield Curve'!A2630,L2015,(1+VLOOKUP(A2016,'Yield Curve'!A2009:B2631,2,FALSE))^(1/12)-1)</f>
        <v>7.9741404289037643E-3</v>
      </c>
      <c r="M2016" s="5">
        <f t="shared" si="286"/>
        <v>-6.1881726790084428E-3</v>
      </c>
    </row>
    <row r="2017" spans="1:13" x14ac:dyDescent="0.25">
      <c r="A2017" s="4">
        <v>2009</v>
      </c>
      <c r="B2017" s="4">
        <f t="shared" si="279"/>
        <v>212</v>
      </c>
      <c r="C2017" s="4">
        <f t="shared" si="280"/>
        <v>2024</v>
      </c>
      <c r="D2017" s="4">
        <f>IF(B2017&gt;'Mortality Table'!$A$118,D2016,VLOOKUP(B2017,'Mortality Table'!$A$2:$B$118,2,FALSE))</f>
        <v>0.59733000000000003</v>
      </c>
      <c r="E2017" s="4">
        <f>IF(INT((C2017-1)/12)+1&gt;'Lapse Table'!$A$11,E2016,VLOOKUP(INT((C2017-1)/12)+1,'Lapse Table'!$A$2:$B$11,2,FALSE))/12</f>
        <v>0</v>
      </c>
      <c r="F2017" s="5">
        <f t="shared" si="287"/>
        <v>-73.691097365620465</v>
      </c>
      <c r="G2017" s="6">
        <f t="shared" si="281"/>
        <v>4.9777500000000002E-2</v>
      </c>
      <c r="H2017" s="6">
        <f t="shared" si="282"/>
        <v>0</v>
      </c>
      <c r="I2017" s="7">
        <f t="shared" si="283"/>
        <v>-2456.3699121873487</v>
      </c>
      <c r="J2017" s="8">
        <f t="shared" si="284"/>
        <v>49777.5</v>
      </c>
      <c r="K2017" s="7">
        <f t="shared" si="285"/>
        <v>-52233.869912187351</v>
      </c>
      <c r="L2017" s="4">
        <f>IF(A2017&gt;'Yield Curve'!A2631,L2016,(1+VLOOKUP(A2017,'Yield Curve'!A2010:B2632,2,FALSE))^(1/12)-1)</f>
        <v>7.9741404289037643E-3</v>
      </c>
      <c r="M2017" s="5">
        <f t="shared" si="286"/>
        <v>-6.1394127182634014E-3</v>
      </c>
    </row>
    <row r="2018" spans="1:13" x14ac:dyDescent="0.25">
      <c r="A2018" s="4">
        <v>2010</v>
      </c>
      <c r="B2018" s="4">
        <f t="shared" si="279"/>
        <v>212</v>
      </c>
      <c r="C2018" s="4">
        <f t="shared" si="280"/>
        <v>2025</v>
      </c>
      <c r="D2018" s="4">
        <f>IF(B2018&gt;'Mortality Table'!$A$118,D2017,VLOOKUP(B2018,'Mortality Table'!$A$2:$B$118,2,FALSE))</f>
        <v>0.59733000000000003</v>
      </c>
      <c r="E2018" s="4">
        <f>IF(INT((C2018-1)/12)+1&gt;'Lapse Table'!$A$11,E2017,VLOOKUP(INT((C2018-1)/12)+1,'Lapse Table'!$A$2:$B$11,2,FALSE))/12</f>
        <v>0</v>
      </c>
      <c r="F2018" s="5">
        <f t="shared" si="287"/>
        <v>-73.740874865620469</v>
      </c>
      <c r="G2018" s="6">
        <f t="shared" si="281"/>
        <v>4.9777500000000002E-2</v>
      </c>
      <c r="H2018" s="6">
        <f t="shared" si="282"/>
        <v>0</v>
      </c>
      <c r="I2018" s="7">
        <f t="shared" si="283"/>
        <v>-2458.0291621873489</v>
      </c>
      <c r="J2018" s="8">
        <f t="shared" si="284"/>
        <v>49777.5</v>
      </c>
      <c r="K2018" s="7">
        <f t="shared" si="285"/>
        <v>-52235.529162187348</v>
      </c>
      <c r="L2018" s="4">
        <f>IF(A2018&gt;'Yield Curve'!A2632,L2017,(1+VLOOKUP(A2018,'Yield Curve'!A2011:B2633,2,FALSE))^(1/12)-1)</f>
        <v>7.9741404289037643E-3</v>
      </c>
      <c r="M2018" s="5">
        <f t="shared" si="286"/>
        <v>-6.0910369574851521E-3</v>
      </c>
    </row>
    <row r="2019" spans="1:13" x14ac:dyDescent="0.25">
      <c r="A2019" s="4">
        <v>2011</v>
      </c>
      <c r="B2019" s="4">
        <f t="shared" si="279"/>
        <v>212</v>
      </c>
      <c r="C2019" s="4">
        <f t="shared" si="280"/>
        <v>2026</v>
      </c>
      <c r="D2019" s="4">
        <f>IF(B2019&gt;'Mortality Table'!$A$118,D2018,VLOOKUP(B2019,'Mortality Table'!$A$2:$B$118,2,FALSE))</f>
        <v>0.59733000000000003</v>
      </c>
      <c r="E2019" s="4">
        <f>IF(INT((C2019-1)/12)+1&gt;'Lapse Table'!$A$11,E2018,VLOOKUP(INT((C2019-1)/12)+1,'Lapse Table'!$A$2:$B$11,2,FALSE))/12</f>
        <v>0</v>
      </c>
      <c r="F2019" s="5">
        <f t="shared" si="287"/>
        <v>-73.790652365620474</v>
      </c>
      <c r="G2019" s="6">
        <f t="shared" si="281"/>
        <v>4.9777500000000002E-2</v>
      </c>
      <c r="H2019" s="6">
        <f t="shared" si="282"/>
        <v>0</v>
      </c>
      <c r="I2019" s="7">
        <f t="shared" si="283"/>
        <v>-2459.6884121873491</v>
      </c>
      <c r="J2019" s="8">
        <f t="shared" si="284"/>
        <v>49777.5</v>
      </c>
      <c r="K2019" s="7">
        <f t="shared" si="285"/>
        <v>-52237.188412187352</v>
      </c>
      <c r="L2019" s="4">
        <f>IF(A2019&gt;'Yield Curve'!A2633,L2018,(1+VLOOKUP(A2019,'Yield Curve'!A2012:B2634,2,FALSE))^(1/12)-1)</f>
        <v>7.9741404289037643E-3</v>
      </c>
      <c r="M2019" s="5">
        <f t="shared" si="286"/>
        <v>-6.0430423694515286E-3</v>
      </c>
    </row>
    <row r="2020" spans="1:13" x14ac:dyDescent="0.25">
      <c r="A2020" s="4">
        <v>2012</v>
      </c>
      <c r="B2020" s="4">
        <f t="shared" si="279"/>
        <v>212</v>
      </c>
      <c r="C2020" s="4">
        <f t="shared" si="280"/>
        <v>2027</v>
      </c>
      <c r="D2020" s="4">
        <f>IF(B2020&gt;'Mortality Table'!$A$118,D2019,VLOOKUP(B2020,'Mortality Table'!$A$2:$B$118,2,FALSE))</f>
        <v>0.59733000000000003</v>
      </c>
      <c r="E2020" s="4">
        <f>IF(INT((C2020-1)/12)+1&gt;'Lapse Table'!$A$11,E2019,VLOOKUP(INT((C2020-1)/12)+1,'Lapse Table'!$A$2:$B$11,2,FALSE))/12</f>
        <v>0</v>
      </c>
      <c r="F2020" s="5">
        <f t="shared" si="287"/>
        <v>-73.840429865620479</v>
      </c>
      <c r="G2020" s="6">
        <f t="shared" si="281"/>
        <v>4.9777500000000002E-2</v>
      </c>
      <c r="H2020" s="6">
        <f t="shared" si="282"/>
        <v>0</v>
      </c>
      <c r="I2020" s="7">
        <f t="shared" si="283"/>
        <v>-2461.3476621873492</v>
      </c>
      <c r="J2020" s="8">
        <f t="shared" si="284"/>
        <v>49777.5</v>
      </c>
      <c r="K2020" s="7">
        <f t="shared" si="285"/>
        <v>-52238.847662187349</v>
      </c>
      <c r="L2020" s="4">
        <f>IF(A2020&gt;'Yield Curve'!A2634,L2019,(1+VLOOKUP(A2020,'Yield Curve'!A2013:B2635,2,FALSE))^(1/12)-1)</f>
        <v>7.9741404289037643E-3</v>
      </c>
      <c r="M2020" s="5">
        <f t="shared" si="286"/>
        <v>-5.9954259507923229E-3</v>
      </c>
    </row>
    <row r="2021" spans="1:13" x14ac:dyDescent="0.25">
      <c r="A2021" s="4">
        <v>2013</v>
      </c>
      <c r="B2021" s="4">
        <f t="shared" si="279"/>
        <v>212</v>
      </c>
      <c r="C2021" s="4">
        <f t="shared" si="280"/>
        <v>2028</v>
      </c>
      <c r="D2021" s="4">
        <f>IF(B2021&gt;'Mortality Table'!$A$118,D2020,VLOOKUP(B2021,'Mortality Table'!$A$2:$B$118,2,FALSE))</f>
        <v>0.59733000000000003</v>
      </c>
      <c r="E2021" s="4">
        <f>IF(INT((C2021-1)/12)+1&gt;'Lapse Table'!$A$11,E2020,VLOOKUP(INT((C2021-1)/12)+1,'Lapse Table'!$A$2:$B$11,2,FALSE))/12</f>
        <v>0</v>
      </c>
      <c r="F2021" s="5">
        <f t="shared" si="287"/>
        <v>-73.890207365620483</v>
      </c>
      <c r="G2021" s="6">
        <f t="shared" si="281"/>
        <v>4.9777500000000002E-2</v>
      </c>
      <c r="H2021" s="6">
        <f t="shared" si="282"/>
        <v>0</v>
      </c>
      <c r="I2021" s="7">
        <f t="shared" si="283"/>
        <v>-2463.0069121873494</v>
      </c>
      <c r="J2021" s="8">
        <f t="shared" si="284"/>
        <v>49777.5</v>
      </c>
      <c r="K2021" s="7">
        <f t="shared" si="285"/>
        <v>-52240.506912187353</v>
      </c>
      <c r="L2021" s="4">
        <f>IF(A2021&gt;'Yield Curve'!A2635,L2020,(1+VLOOKUP(A2021,'Yield Curve'!A2014:B2636,2,FALSE))^(1/12)-1)</f>
        <v>7.9741404289037643E-3</v>
      </c>
      <c r="M2021" s="5">
        <f t="shared" si="286"/>
        <v>-5.9481847218013769E-3</v>
      </c>
    </row>
    <row r="2022" spans="1:13" x14ac:dyDescent="0.25">
      <c r="A2022" s="4">
        <v>2014</v>
      </c>
      <c r="B2022" s="4">
        <f t="shared" si="279"/>
        <v>212</v>
      </c>
      <c r="C2022" s="4">
        <f t="shared" si="280"/>
        <v>2029</v>
      </c>
      <c r="D2022" s="4">
        <f>IF(B2022&gt;'Mortality Table'!$A$118,D2021,VLOOKUP(B2022,'Mortality Table'!$A$2:$B$118,2,FALSE))</f>
        <v>0.59733000000000003</v>
      </c>
      <c r="E2022" s="4">
        <f>IF(INT((C2022-1)/12)+1&gt;'Lapse Table'!$A$11,E2021,VLOOKUP(INT((C2022-1)/12)+1,'Lapse Table'!$A$2:$B$11,2,FALSE))/12</f>
        <v>0</v>
      </c>
      <c r="F2022" s="5">
        <f t="shared" si="287"/>
        <v>-73.939984865620488</v>
      </c>
      <c r="G2022" s="6">
        <f t="shared" si="281"/>
        <v>4.9777500000000002E-2</v>
      </c>
      <c r="H2022" s="6">
        <f t="shared" si="282"/>
        <v>0</v>
      </c>
      <c r="I2022" s="7">
        <f t="shared" si="283"/>
        <v>-2464.6661621873495</v>
      </c>
      <c r="J2022" s="8">
        <f t="shared" si="284"/>
        <v>49777.5</v>
      </c>
      <c r="K2022" s="7">
        <f t="shared" si="285"/>
        <v>-52242.16616218735</v>
      </c>
      <c r="L2022" s="4">
        <f>IF(A2022&gt;'Yield Curve'!A2636,L2021,(1+VLOOKUP(A2022,'Yield Curve'!A2015:B2637,2,FALSE))^(1/12)-1)</f>
        <v>7.9741404289037643E-3</v>
      </c>
      <c r="M2022" s="5">
        <f t="shared" si="286"/>
        <v>-5.9013157262501103E-3</v>
      </c>
    </row>
    <row r="2023" spans="1:13" x14ac:dyDescent="0.25">
      <c r="A2023" s="4">
        <v>2015</v>
      </c>
      <c r="B2023" s="4">
        <f t="shared" si="279"/>
        <v>212</v>
      </c>
      <c r="C2023" s="4">
        <f t="shared" si="280"/>
        <v>2030</v>
      </c>
      <c r="D2023" s="4">
        <f>IF(B2023&gt;'Mortality Table'!$A$118,D2022,VLOOKUP(B2023,'Mortality Table'!$A$2:$B$118,2,FALSE))</f>
        <v>0.59733000000000003</v>
      </c>
      <c r="E2023" s="4">
        <f>IF(INT((C2023-1)/12)+1&gt;'Lapse Table'!$A$11,E2022,VLOOKUP(INT((C2023-1)/12)+1,'Lapse Table'!$A$2:$B$11,2,FALSE))/12</f>
        <v>0</v>
      </c>
      <c r="F2023" s="5">
        <f t="shared" si="287"/>
        <v>-73.989762365620493</v>
      </c>
      <c r="G2023" s="6">
        <f t="shared" si="281"/>
        <v>4.9777500000000002E-2</v>
      </c>
      <c r="H2023" s="6">
        <f t="shared" si="282"/>
        <v>0</v>
      </c>
      <c r="I2023" s="7">
        <f t="shared" si="283"/>
        <v>-2466.3254121873497</v>
      </c>
      <c r="J2023" s="8">
        <f t="shared" si="284"/>
        <v>49777.5</v>
      </c>
      <c r="K2023" s="7">
        <f t="shared" si="285"/>
        <v>-52243.825412187347</v>
      </c>
      <c r="L2023" s="4">
        <f>IF(A2023&gt;'Yield Curve'!A2637,L2022,(1+VLOOKUP(A2023,'Yield Curve'!A2016:B2638,2,FALSE))^(1/12)-1)</f>
        <v>7.9741404289037643E-3</v>
      </c>
      <c r="M2023" s="5">
        <f t="shared" si="286"/>
        <v>-5.8548160312025515E-3</v>
      </c>
    </row>
    <row r="2024" spans="1:13" x14ac:dyDescent="0.25">
      <c r="A2024" s="4">
        <v>2016</v>
      </c>
      <c r="B2024" s="4">
        <f t="shared" si="279"/>
        <v>213</v>
      </c>
      <c r="C2024" s="4">
        <f t="shared" si="280"/>
        <v>2031</v>
      </c>
      <c r="D2024" s="4">
        <f>IF(B2024&gt;'Mortality Table'!$A$118,D2023,VLOOKUP(B2024,'Mortality Table'!$A$2:$B$118,2,FALSE))</f>
        <v>0.59733000000000003</v>
      </c>
      <c r="E2024" s="4">
        <f>IF(INT((C2024-1)/12)+1&gt;'Lapse Table'!$A$11,E2023,VLOOKUP(INT((C2024-1)/12)+1,'Lapse Table'!$A$2:$B$11,2,FALSE))/12</f>
        <v>0</v>
      </c>
      <c r="F2024" s="5">
        <f t="shared" si="287"/>
        <v>-74.039539865620497</v>
      </c>
      <c r="G2024" s="6">
        <f t="shared" si="281"/>
        <v>4.9777500000000002E-2</v>
      </c>
      <c r="H2024" s="6">
        <f t="shared" si="282"/>
        <v>0</v>
      </c>
      <c r="I2024" s="7">
        <f t="shared" si="283"/>
        <v>-2467.9846621873498</v>
      </c>
      <c r="J2024" s="8">
        <f t="shared" si="284"/>
        <v>49777.5</v>
      </c>
      <c r="K2024" s="7">
        <f t="shared" si="285"/>
        <v>-52245.484662187351</v>
      </c>
      <c r="L2024" s="4">
        <f>IF(A2024&gt;'Yield Curve'!A2638,L2023,(1+VLOOKUP(A2024,'Yield Curve'!A2017:B2639,2,FALSE))^(1/12)-1)</f>
        <v>7.9741404289037643E-3</v>
      </c>
      <c r="M2024" s="5">
        <f t="shared" si="286"/>
        <v>-5.8086827268318143E-3</v>
      </c>
    </row>
    <row r="2025" spans="1:13" x14ac:dyDescent="0.25">
      <c r="A2025" s="4">
        <v>2017</v>
      </c>
      <c r="B2025" s="4">
        <f t="shared" si="279"/>
        <v>213</v>
      </c>
      <c r="C2025" s="4">
        <f t="shared" si="280"/>
        <v>2032</v>
      </c>
      <c r="D2025" s="4">
        <f>IF(B2025&gt;'Mortality Table'!$A$118,D2024,VLOOKUP(B2025,'Mortality Table'!$A$2:$B$118,2,FALSE))</f>
        <v>0.59733000000000003</v>
      </c>
      <c r="E2025" s="4">
        <f>IF(INT((C2025-1)/12)+1&gt;'Lapse Table'!$A$11,E2024,VLOOKUP(INT((C2025-1)/12)+1,'Lapse Table'!$A$2:$B$11,2,FALSE))/12</f>
        <v>0</v>
      </c>
      <c r="F2025" s="5">
        <f t="shared" si="287"/>
        <v>-74.089317365620502</v>
      </c>
      <c r="G2025" s="6">
        <f t="shared" si="281"/>
        <v>4.9777500000000002E-2</v>
      </c>
      <c r="H2025" s="6">
        <f t="shared" si="282"/>
        <v>0</v>
      </c>
      <c r="I2025" s="7">
        <f t="shared" si="283"/>
        <v>-2469.64391218735</v>
      </c>
      <c r="J2025" s="8">
        <f t="shared" si="284"/>
        <v>49777.5</v>
      </c>
      <c r="K2025" s="7">
        <f t="shared" si="285"/>
        <v>-52247.143912187348</v>
      </c>
      <c r="L2025" s="4">
        <f>IF(A2025&gt;'Yield Curve'!A2639,L2024,(1+VLOOKUP(A2025,'Yield Curve'!A2018:B2640,2,FALSE))^(1/12)-1)</f>
        <v>7.9741404289037643E-3</v>
      </c>
      <c r="M2025" s="5">
        <f t="shared" si="286"/>
        <v>-5.7629129262380171E-3</v>
      </c>
    </row>
    <row r="2026" spans="1:13" x14ac:dyDescent="0.25">
      <c r="A2026" s="4">
        <v>2018</v>
      </c>
      <c r="B2026" s="4">
        <f t="shared" si="279"/>
        <v>213</v>
      </c>
      <c r="C2026" s="4">
        <f t="shared" si="280"/>
        <v>2033</v>
      </c>
      <c r="D2026" s="4">
        <f>IF(B2026&gt;'Mortality Table'!$A$118,D2025,VLOOKUP(B2026,'Mortality Table'!$A$2:$B$118,2,FALSE))</f>
        <v>0.59733000000000003</v>
      </c>
      <c r="E2026" s="4">
        <f>IF(INT((C2026-1)/12)+1&gt;'Lapse Table'!$A$11,E2025,VLOOKUP(INT((C2026-1)/12)+1,'Lapse Table'!$A$2:$B$11,2,FALSE))/12</f>
        <v>0</v>
      </c>
      <c r="F2026" s="5">
        <f t="shared" si="287"/>
        <v>-74.139094865620507</v>
      </c>
      <c r="G2026" s="6">
        <f t="shared" si="281"/>
        <v>4.9777500000000002E-2</v>
      </c>
      <c r="H2026" s="6">
        <f t="shared" si="282"/>
        <v>0</v>
      </c>
      <c r="I2026" s="7">
        <f t="shared" si="283"/>
        <v>-2471.3031621873502</v>
      </c>
      <c r="J2026" s="8">
        <f t="shared" si="284"/>
        <v>49777.5</v>
      </c>
      <c r="K2026" s="7">
        <f t="shared" si="285"/>
        <v>-52248.803162187352</v>
      </c>
      <c r="L2026" s="4">
        <f>IF(A2026&gt;'Yield Curve'!A2640,L2025,(1+VLOOKUP(A2026,'Yield Curve'!A2019:B2641,2,FALSE))^(1/12)-1)</f>
        <v>7.9741404289037643E-3</v>
      </c>
      <c r="M2026" s="5">
        <f t="shared" si="286"/>
        <v>-5.7175037652676449E-3</v>
      </c>
    </row>
    <row r="2027" spans="1:13" x14ac:dyDescent="0.25">
      <c r="A2027" s="4">
        <v>2019</v>
      </c>
      <c r="B2027" s="4">
        <f t="shared" si="279"/>
        <v>213</v>
      </c>
      <c r="C2027" s="4">
        <f t="shared" si="280"/>
        <v>2034</v>
      </c>
      <c r="D2027" s="4">
        <f>IF(B2027&gt;'Mortality Table'!$A$118,D2026,VLOOKUP(B2027,'Mortality Table'!$A$2:$B$118,2,FALSE))</f>
        <v>0.59733000000000003</v>
      </c>
      <c r="E2027" s="4">
        <f>IF(INT((C2027-1)/12)+1&gt;'Lapse Table'!$A$11,E2026,VLOOKUP(INT((C2027-1)/12)+1,'Lapse Table'!$A$2:$B$11,2,FALSE))/12</f>
        <v>0</v>
      </c>
      <c r="F2027" s="5">
        <f t="shared" si="287"/>
        <v>-74.188872365620512</v>
      </c>
      <c r="G2027" s="6">
        <f t="shared" si="281"/>
        <v>4.9777500000000002E-2</v>
      </c>
      <c r="H2027" s="6">
        <f t="shared" si="282"/>
        <v>0</v>
      </c>
      <c r="I2027" s="7">
        <f t="shared" si="283"/>
        <v>-2472.9624121873503</v>
      </c>
      <c r="J2027" s="8">
        <f t="shared" si="284"/>
        <v>49777.5</v>
      </c>
      <c r="K2027" s="7">
        <f t="shared" si="285"/>
        <v>-52250.462412187349</v>
      </c>
      <c r="L2027" s="4">
        <f>IF(A2027&gt;'Yield Curve'!A2641,L2026,(1+VLOOKUP(A2027,'Yield Curve'!A2020:B2642,2,FALSE))^(1/12)-1)</f>
        <v>7.9741404289037643E-3</v>
      </c>
      <c r="M2027" s="5">
        <f t="shared" si="286"/>
        <v>-5.6724524023343235E-3</v>
      </c>
    </row>
    <row r="2028" spans="1:13" x14ac:dyDescent="0.25">
      <c r="A2028" s="4">
        <v>2020</v>
      </c>
      <c r="B2028" s="4">
        <f t="shared" si="279"/>
        <v>213</v>
      </c>
      <c r="C2028" s="4">
        <f t="shared" si="280"/>
        <v>2035</v>
      </c>
      <c r="D2028" s="4">
        <f>IF(B2028&gt;'Mortality Table'!$A$118,D2027,VLOOKUP(B2028,'Mortality Table'!$A$2:$B$118,2,FALSE))</f>
        <v>0.59733000000000003</v>
      </c>
      <c r="E2028" s="4">
        <f>IF(INT((C2028-1)/12)+1&gt;'Lapse Table'!$A$11,E2027,VLOOKUP(INT((C2028-1)/12)+1,'Lapse Table'!$A$2:$B$11,2,FALSE))/12</f>
        <v>0</v>
      </c>
      <c r="F2028" s="5">
        <f t="shared" si="287"/>
        <v>-74.238649865620516</v>
      </c>
      <c r="G2028" s="6">
        <f t="shared" si="281"/>
        <v>4.9777500000000002E-2</v>
      </c>
      <c r="H2028" s="6">
        <f t="shared" si="282"/>
        <v>0</v>
      </c>
      <c r="I2028" s="7">
        <f t="shared" si="283"/>
        <v>-2474.6216621873505</v>
      </c>
      <c r="J2028" s="8">
        <f t="shared" si="284"/>
        <v>49777.5</v>
      </c>
      <c r="K2028" s="7">
        <f t="shared" si="285"/>
        <v>-52252.121662187354</v>
      </c>
      <c r="L2028" s="4">
        <f>IF(A2028&gt;'Yield Curve'!A2642,L2027,(1+VLOOKUP(A2028,'Yield Curve'!A2021:B2643,2,FALSE))^(1/12)-1)</f>
        <v>7.9741404289037643E-3</v>
      </c>
      <c r="M2028" s="5">
        <f t="shared" si="286"/>
        <v>-5.6277560182410114E-3</v>
      </c>
    </row>
    <row r="2029" spans="1:13" x14ac:dyDescent="0.25">
      <c r="A2029" s="4">
        <v>2021</v>
      </c>
      <c r="B2029" s="4">
        <f t="shared" si="279"/>
        <v>213</v>
      </c>
      <c r="C2029" s="4">
        <f t="shared" si="280"/>
        <v>2036</v>
      </c>
      <c r="D2029" s="4">
        <f>IF(B2029&gt;'Mortality Table'!$A$118,D2028,VLOOKUP(B2029,'Mortality Table'!$A$2:$B$118,2,FALSE))</f>
        <v>0.59733000000000003</v>
      </c>
      <c r="E2029" s="4">
        <f>IF(INT((C2029-1)/12)+1&gt;'Lapse Table'!$A$11,E2028,VLOOKUP(INT((C2029-1)/12)+1,'Lapse Table'!$A$2:$B$11,2,FALSE))/12</f>
        <v>0</v>
      </c>
      <c r="F2029" s="5">
        <f t="shared" si="287"/>
        <v>-74.288427365620521</v>
      </c>
      <c r="G2029" s="6">
        <f t="shared" si="281"/>
        <v>4.9777500000000002E-2</v>
      </c>
      <c r="H2029" s="6">
        <f t="shared" si="282"/>
        <v>0</v>
      </c>
      <c r="I2029" s="7">
        <f t="shared" si="283"/>
        <v>-2476.2809121873506</v>
      </c>
      <c r="J2029" s="8">
        <f t="shared" si="284"/>
        <v>49777.5</v>
      </c>
      <c r="K2029" s="7">
        <f t="shared" si="285"/>
        <v>-52253.780912187351</v>
      </c>
      <c r="L2029" s="4">
        <f>IF(A2029&gt;'Yield Curve'!A2643,L2028,(1+VLOOKUP(A2029,'Yield Curve'!A2022:B2644,2,FALSE))^(1/12)-1)</f>
        <v>7.9741404289037643E-3</v>
      </c>
      <c r="M2029" s="5">
        <f t="shared" si="286"/>
        <v>-5.5834118160036075E-3</v>
      </c>
    </row>
    <row r="2030" spans="1:13" x14ac:dyDescent="0.25">
      <c r="A2030" s="4">
        <v>2022</v>
      </c>
      <c r="B2030" s="4">
        <f t="shared" si="279"/>
        <v>213</v>
      </c>
      <c r="C2030" s="4">
        <f t="shared" si="280"/>
        <v>2037</v>
      </c>
      <c r="D2030" s="4">
        <f>IF(B2030&gt;'Mortality Table'!$A$118,D2029,VLOOKUP(B2030,'Mortality Table'!$A$2:$B$118,2,FALSE))</f>
        <v>0.59733000000000003</v>
      </c>
      <c r="E2030" s="4">
        <f>IF(INT((C2030-1)/12)+1&gt;'Lapse Table'!$A$11,E2029,VLOOKUP(INT((C2030-1)/12)+1,'Lapse Table'!$A$2:$B$11,2,FALSE))/12</f>
        <v>0</v>
      </c>
      <c r="F2030" s="5">
        <f t="shared" si="287"/>
        <v>-74.338204865620526</v>
      </c>
      <c r="G2030" s="6">
        <f t="shared" si="281"/>
        <v>4.9777500000000002E-2</v>
      </c>
      <c r="H2030" s="6">
        <f t="shared" si="282"/>
        <v>0</v>
      </c>
      <c r="I2030" s="7">
        <f t="shared" si="283"/>
        <v>-2477.9401621873508</v>
      </c>
      <c r="J2030" s="8">
        <f t="shared" si="284"/>
        <v>49777.5</v>
      </c>
      <c r="K2030" s="7">
        <f t="shared" si="285"/>
        <v>-52255.440162187348</v>
      </c>
      <c r="L2030" s="4">
        <f>IF(A2030&gt;'Yield Curve'!A2644,L2029,(1+VLOOKUP(A2030,'Yield Curve'!A2023:B2645,2,FALSE))^(1/12)-1)</f>
        <v>7.9741404289037643E-3</v>
      </c>
      <c r="M2030" s="5">
        <f t="shared" si="286"/>
        <v>-5.5394170206759137E-3</v>
      </c>
    </row>
    <row r="2031" spans="1:13" x14ac:dyDescent="0.25">
      <c r="A2031" s="4">
        <v>2023</v>
      </c>
      <c r="B2031" s="4">
        <f t="shared" si="279"/>
        <v>213</v>
      </c>
      <c r="C2031" s="4">
        <f t="shared" si="280"/>
        <v>2038</v>
      </c>
      <c r="D2031" s="4">
        <f>IF(B2031&gt;'Mortality Table'!$A$118,D2030,VLOOKUP(B2031,'Mortality Table'!$A$2:$B$118,2,FALSE))</f>
        <v>0.59733000000000003</v>
      </c>
      <c r="E2031" s="4">
        <f>IF(INT((C2031-1)/12)+1&gt;'Lapse Table'!$A$11,E2030,VLOOKUP(INT((C2031-1)/12)+1,'Lapse Table'!$A$2:$B$11,2,FALSE))/12</f>
        <v>0</v>
      </c>
      <c r="F2031" s="5">
        <f t="shared" si="287"/>
        <v>-74.38798236562053</v>
      </c>
      <c r="G2031" s="6">
        <f t="shared" si="281"/>
        <v>4.9777500000000002E-2</v>
      </c>
      <c r="H2031" s="6">
        <f t="shared" si="282"/>
        <v>0</v>
      </c>
      <c r="I2031" s="7">
        <f t="shared" si="283"/>
        <v>-2479.5994121873509</v>
      </c>
      <c r="J2031" s="8">
        <f t="shared" si="284"/>
        <v>49777.5</v>
      </c>
      <c r="K2031" s="7">
        <f t="shared" si="285"/>
        <v>-52257.099412187352</v>
      </c>
      <c r="L2031" s="4">
        <f>IF(A2031&gt;'Yield Curve'!A2645,L2030,(1+VLOOKUP(A2031,'Yield Curve'!A2024:B2646,2,FALSE))^(1/12)-1)</f>
        <v>7.9741404289037643E-3</v>
      </c>
      <c r="M2031" s="5">
        <f t="shared" si="286"/>
        <v>-5.4957688791760183E-3</v>
      </c>
    </row>
    <row r="2032" spans="1:13" x14ac:dyDescent="0.25">
      <c r="A2032" s="4">
        <v>2024</v>
      </c>
      <c r="B2032" s="4">
        <f t="shared" si="279"/>
        <v>213</v>
      </c>
      <c r="C2032" s="4">
        <f t="shared" si="280"/>
        <v>2039</v>
      </c>
      <c r="D2032" s="4">
        <f>IF(B2032&gt;'Mortality Table'!$A$118,D2031,VLOOKUP(B2032,'Mortality Table'!$A$2:$B$118,2,FALSE))</f>
        <v>0.59733000000000003</v>
      </c>
      <c r="E2032" s="4">
        <f>IF(INT((C2032-1)/12)+1&gt;'Lapse Table'!$A$11,E2031,VLOOKUP(INT((C2032-1)/12)+1,'Lapse Table'!$A$2:$B$11,2,FALSE))/12</f>
        <v>0</v>
      </c>
      <c r="F2032" s="5">
        <f t="shared" si="287"/>
        <v>-74.437759865620535</v>
      </c>
      <c r="G2032" s="6">
        <f t="shared" si="281"/>
        <v>4.9777500000000002E-2</v>
      </c>
      <c r="H2032" s="6">
        <f t="shared" si="282"/>
        <v>0</v>
      </c>
      <c r="I2032" s="7">
        <f t="shared" si="283"/>
        <v>-2481.2586621873511</v>
      </c>
      <c r="J2032" s="8">
        <f t="shared" si="284"/>
        <v>49777.5</v>
      </c>
      <c r="K2032" s="7">
        <f t="shared" si="285"/>
        <v>-52258.758662187349</v>
      </c>
      <c r="L2032" s="4">
        <f>IF(A2032&gt;'Yield Curve'!A2646,L2031,(1+VLOOKUP(A2032,'Yield Curve'!A2025:B2647,2,FALSE))^(1/12)-1)</f>
        <v>7.9741404289037643E-3</v>
      </c>
      <c r="M2032" s="5">
        <f t="shared" si="286"/>
        <v>-5.4524646601140031E-3</v>
      </c>
    </row>
    <row r="2033" spans="1:13" x14ac:dyDescent="0.25">
      <c r="A2033" s="4">
        <v>2025</v>
      </c>
      <c r="B2033" s="4">
        <f t="shared" si="279"/>
        <v>213</v>
      </c>
      <c r="C2033" s="4">
        <f t="shared" si="280"/>
        <v>2040</v>
      </c>
      <c r="D2033" s="4">
        <f>IF(B2033&gt;'Mortality Table'!$A$118,D2032,VLOOKUP(B2033,'Mortality Table'!$A$2:$B$118,2,FALSE))</f>
        <v>0.59733000000000003</v>
      </c>
      <c r="E2033" s="4">
        <f>IF(INT((C2033-1)/12)+1&gt;'Lapse Table'!$A$11,E2032,VLOOKUP(INT((C2033-1)/12)+1,'Lapse Table'!$A$2:$B$11,2,FALSE))/12</f>
        <v>0</v>
      </c>
      <c r="F2033" s="5">
        <f t="shared" si="287"/>
        <v>-74.48753736562054</v>
      </c>
      <c r="G2033" s="6">
        <f t="shared" si="281"/>
        <v>4.9777500000000002E-2</v>
      </c>
      <c r="H2033" s="6">
        <f t="shared" si="282"/>
        <v>0</v>
      </c>
      <c r="I2033" s="7">
        <f t="shared" si="283"/>
        <v>-2482.9179121873512</v>
      </c>
      <c r="J2033" s="8">
        <f t="shared" si="284"/>
        <v>49777.5</v>
      </c>
      <c r="K2033" s="7">
        <f t="shared" si="285"/>
        <v>-52260.417912187353</v>
      </c>
      <c r="L2033" s="4">
        <f>IF(A2033&gt;'Yield Curve'!A2647,L2032,(1+VLOOKUP(A2033,'Yield Curve'!A2026:B2648,2,FALSE))^(1/12)-1)</f>
        <v>7.9741404289037643E-3</v>
      </c>
      <c r="M2033" s="5">
        <f t="shared" si="286"/>
        <v>-5.409501653621058E-3</v>
      </c>
    </row>
    <row r="2034" spans="1:13" x14ac:dyDescent="0.25">
      <c r="A2034" s="4">
        <v>2026</v>
      </c>
      <c r="B2034" s="4">
        <f t="shared" si="279"/>
        <v>213</v>
      </c>
      <c r="C2034" s="4">
        <f t="shared" si="280"/>
        <v>2041</v>
      </c>
      <c r="D2034" s="4">
        <f>IF(B2034&gt;'Mortality Table'!$A$118,D2033,VLOOKUP(B2034,'Mortality Table'!$A$2:$B$118,2,FALSE))</f>
        <v>0.59733000000000003</v>
      </c>
      <c r="E2034" s="4">
        <f>IF(INT((C2034-1)/12)+1&gt;'Lapse Table'!$A$11,E2033,VLOOKUP(INT((C2034-1)/12)+1,'Lapse Table'!$A$2:$B$11,2,FALSE))/12</f>
        <v>0</v>
      </c>
      <c r="F2034" s="5">
        <f t="shared" si="287"/>
        <v>-74.537314865620544</v>
      </c>
      <c r="G2034" s="6">
        <f t="shared" si="281"/>
        <v>4.9777500000000002E-2</v>
      </c>
      <c r="H2034" s="6">
        <f t="shared" si="282"/>
        <v>0</v>
      </c>
      <c r="I2034" s="7">
        <f t="shared" si="283"/>
        <v>-2484.5771621873514</v>
      </c>
      <c r="J2034" s="8">
        <f t="shared" si="284"/>
        <v>49777.5</v>
      </c>
      <c r="K2034" s="7">
        <f t="shared" si="285"/>
        <v>-52262.07716218735</v>
      </c>
      <c r="L2034" s="4">
        <f>IF(A2034&gt;'Yield Curve'!A2648,L2033,(1+VLOOKUP(A2034,'Yield Curve'!A2027:B2649,2,FALSE))^(1/12)-1)</f>
        <v>7.9741404289037643E-3</v>
      </c>
      <c r="M2034" s="5">
        <f t="shared" si="286"/>
        <v>-5.3668771711798896E-3</v>
      </c>
    </row>
    <row r="2035" spans="1:13" x14ac:dyDescent="0.25">
      <c r="A2035" s="4">
        <v>2027</v>
      </c>
      <c r="B2035" s="4">
        <f t="shared" si="279"/>
        <v>213</v>
      </c>
      <c r="C2035" s="4">
        <f t="shared" si="280"/>
        <v>2042</v>
      </c>
      <c r="D2035" s="4">
        <f>IF(B2035&gt;'Mortality Table'!$A$118,D2034,VLOOKUP(B2035,'Mortality Table'!$A$2:$B$118,2,FALSE))</f>
        <v>0.59733000000000003</v>
      </c>
      <c r="E2035" s="4">
        <f>IF(INT((C2035-1)/12)+1&gt;'Lapse Table'!$A$11,E2034,VLOOKUP(INT((C2035-1)/12)+1,'Lapse Table'!$A$2:$B$11,2,FALSE))/12</f>
        <v>0</v>
      </c>
      <c r="F2035" s="5">
        <f t="shared" si="287"/>
        <v>-74.587092365620549</v>
      </c>
      <c r="G2035" s="6">
        <f t="shared" si="281"/>
        <v>4.9777500000000002E-2</v>
      </c>
      <c r="H2035" s="6">
        <f t="shared" si="282"/>
        <v>0</v>
      </c>
      <c r="I2035" s="7">
        <f t="shared" si="283"/>
        <v>-2486.2364121873516</v>
      </c>
      <c r="J2035" s="8">
        <f t="shared" si="284"/>
        <v>49777.5</v>
      </c>
      <c r="K2035" s="7">
        <f t="shared" si="285"/>
        <v>-52263.736412187354</v>
      </c>
      <c r="L2035" s="4">
        <f>IF(A2035&gt;'Yield Curve'!A2649,L2034,(1+VLOOKUP(A2035,'Yield Curve'!A2028:B2650,2,FALSE))^(1/12)-1)</f>
        <v>7.9741404289037643E-3</v>
      </c>
      <c r="M2035" s="5">
        <f t="shared" si="286"/>
        <v>-5.3245885454565132E-3</v>
      </c>
    </row>
    <row r="2036" spans="1:13" x14ac:dyDescent="0.25">
      <c r="A2036" s="4">
        <v>2028</v>
      </c>
      <c r="B2036" s="4">
        <f t="shared" si="279"/>
        <v>214</v>
      </c>
      <c r="C2036" s="4">
        <f t="shared" si="280"/>
        <v>2043</v>
      </c>
      <c r="D2036" s="4">
        <f>IF(B2036&gt;'Mortality Table'!$A$118,D2035,VLOOKUP(B2036,'Mortality Table'!$A$2:$B$118,2,FALSE))</f>
        <v>0.59733000000000003</v>
      </c>
      <c r="E2036" s="4">
        <f>IF(INT((C2036-1)/12)+1&gt;'Lapse Table'!$A$11,E2035,VLOOKUP(INT((C2036-1)/12)+1,'Lapse Table'!$A$2:$B$11,2,FALSE))/12</f>
        <v>0</v>
      </c>
      <c r="F2036" s="5">
        <f t="shared" si="287"/>
        <v>-74.636869865620554</v>
      </c>
      <c r="G2036" s="6">
        <f t="shared" si="281"/>
        <v>4.9777500000000002E-2</v>
      </c>
      <c r="H2036" s="6">
        <f t="shared" si="282"/>
        <v>0</v>
      </c>
      <c r="I2036" s="7">
        <f t="shared" si="283"/>
        <v>-2487.8956621873517</v>
      </c>
      <c r="J2036" s="8">
        <f t="shared" si="284"/>
        <v>49777.5</v>
      </c>
      <c r="K2036" s="7">
        <f t="shared" si="285"/>
        <v>-52265.395662187351</v>
      </c>
      <c r="L2036" s="4">
        <f>IF(A2036&gt;'Yield Curve'!A2650,L2035,(1+VLOOKUP(A2036,'Yield Curve'!A2029:B2651,2,FALSE))^(1/12)-1)</f>
        <v>7.9741404289037643E-3</v>
      </c>
      <c r="M2036" s="5">
        <f t="shared" si="286"/>
        <v>-5.2826331301333278E-3</v>
      </c>
    </row>
    <row r="2037" spans="1:13" x14ac:dyDescent="0.25">
      <c r="A2037" s="4">
        <v>2029</v>
      </c>
      <c r="B2037" s="4">
        <f t="shared" si="279"/>
        <v>214</v>
      </c>
      <c r="C2037" s="4">
        <f t="shared" si="280"/>
        <v>2044</v>
      </c>
      <c r="D2037" s="4">
        <f>IF(B2037&gt;'Mortality Table'!$A$118,D2036,VLOOKUP(B2037,'Mortality Table'!$A$2:$B$118,2,FALSE))</f>
        <v>0.59733000000000003</v>
      </c>
      <c r="E2037" s="4">
        <f>IF(INT((C2037-1)/12)+1&gt;'Lapse Table'!$A$11,E2036,VLOOKUP(INT((C2037-1)/12)+1,'Lapse Table'!$A$2:$B$11,2,FALSE))/12</f>
        <v>0</v>
      </c>
      <c r="F2037" s="5">
        <f t="shared" si="287"/>
        <v>-74.686647365620559</v>
      </c>
      <c r="G2037" s="6">
        <f t="shared" si="281"/>
        <v>4.9777500000000002E-2</v>
      </c>
      <c r="H2037" s="6">
        <f t="shared" si="282"/>
        <v>0</v>
      </c>
      <c r="I2037" s="7">
        <f t="shared" si="283"/>
        <v>-2489.5549121873519</v>
      </c>
      <c r="J2037" s="8">
        <f t="shared" si="284"/>
        <v>49777.5</v>
      </c>
      <c r="K2037" s="7">
        <f t="shared" si="285"/>
        <v>-52267.054912187348</v>
      </c>
      <c r="L2037" s="4">
        <f>IF(A2037&gt;'Yield Curve'!A2651,L2036,(1+VLOOKUP(A2037,'Yield Curve'!A2030:B2652,2,FALSE))^(1/12)-1)</f>
        <v>7.9741404289037643E-3</v>
      </c>
      <c r="M2037" s="5">
        <f t="shared" si="286"/>
        <v>-5.2410082997435513E-3</v>
      </c>
    </row>
    <row r="2038" spans="1:13" x14ac:dyDescent="0.25">
      <c r="A2038" s="4">
        <v>2030</v>
      </c>
      <c r="B2038" s="4">
        <f t="shared" si="279"/>
        <v>214</v>
      </c>
      <c r="C2038" s="4">
        <f t="shared" si="280"/>
        <v>2045</v>
      </c>
      <c r="D2038" s="4">
        <f>IF(B2038&gt;'Mortality Table'!$A$118,D2037,VLOOKUP(B2038,'Mortality Table'!$A$2:$B$118,2,FALSE))</f>
        <v>0.59733000000000003</v>
      </c>
      <c r="E2038" s="4">
        <f>IF(INT((C2038-1)/12)+1&gt;'Lapse Table'!$A$11,E2037,VLOOKUP(INT((C2038-1)/12)+1,'Lapse Table'!$A$2:$B$11,2,FALSE))/12</f>
        <v>0</v>
      </c>
      <c r="F2038" s="5">
        <f t="shared" si="287"/>
        <v>-74.736424865620563</v>
      </c>
      <c r="G2038" s="6">
        <f t="shared" si="281"/>
        <v>4.9777500000000002E-2</v>
      </c>
      <c r="H2038" s="6">
        <f t="shared" si="282"/>
        <v>0</v>
      </c>
      <c r="I2038" s="7">
        <f t="shared" si="283"/>
        <v>-2491.214162187352</v>
      </c>
      <c r="J2038" s="8">
        <f t="shared" si="284"/>
        <v>49777.5</v>
      </c>
      <c r="K2038" s="7">
        <f t="shared" si="285"/>
        <v>-52268.714162187352</v>
      </c>
      <c r="L2038" s="4">
        <f>IF(A2038&gt;'Yield Curve'!A2652,L2037,(1+VLOOKUP(A2038,'Yield Curve'!A2031:B2653,2,FALSE))^(1/12)-1)</f>
        <v>7.9741404289037643E-3</v>
      </c>
      <c r="M2038" s="5">
        <f t="shared" si="286"/>
        <v>-5.1997114495069136E-3</v>
      </c>
    </row>
    <row r="2039" spans="1:13" x14ac:dyDescent="0.25">
      <c r="A2039" s="4">
        <v>2031</v>
      </c>
      <c r="B2039" s="4">
        <f t="shared" si="279"/>
        <v>214</v>
      </c>
      <c r="C2039" s="4">
        <f t="shared" si="280"/>
        <v>2046</v>
      </c>
      <c r="D2039" s="4">
        <f>IF(B2039&gt;'Mortality Table'!$A$118,D2038,VLOOKUP(B2039,'Mortality Table'!$A$2:$B$118,2,FALSE))</f>
        <v>0.59733000000000003</v>
      </c>
      <c r="E2039" s="4">
        <f>IF(INT((C2039-1)/12)+1&gt;'Lapse Table'!$A$11,E2038,VLOOKUP(INT((C2039-1)/12)+1,'Lapse Table'!$A$2:$B$11,2,FALSE))/12</f>
        <v>0</v>
      </c>
      <c r="F2039" s="5">
        <f t="shared" si="287"/>
        <v>-74.786202365620568</v>
      </c>
      <c r="G2039" s="6">
        <f t="shared" si="281"/>
        <v>4.9777500000000002E-2</v>
      </c>
      <c r="H2039" s="6">
        <f t="shared" si="282"/>
        <v>0</v>
      </c>
      <c r="I2039" s="7">
        <f t="shared" si="283"/>
        <v>-2492.8734121873522</v>
      </c>
      <c r="J2039" s="8">
        <f t="shared" si="284"/>
        <v>49777.5</v>
      </c>
      <c r="K2039" s="7">
        <f t="shared" si="285"/>
        <v>-52270.373412187349</v>
      </c>
      <c r="L2039" s="4">
        <f>IF(A2039&gt;'Yield Curve'!A2653,L2038,(1+VLOOKUP(A2039,'Yield Curve'!A2032:B2654,2,FALSE))^(1/12)-1)</f>
        <v>7.9741404289037643E-3</v>
      </c>
      <c r="M2039" s="5">
        <f t="shared" si="286"/>
        <v>-5.1587399951666729E-3</v>
      </c>
    </row>
    <row r="2040" spans="1:13" x14ac:dyDescent="0.25">
      <c r="A2040" s="4">
        <v>2032</v>
      </c>
      <c r="B2040" s="4">
        <f t="shared" si="279"/>
        <v>214</v>
      </c>
      <c r="C2040" s="4">
        <f t="shared" si="280"/>
        <v>2047</v>
      </c>
      <c r="D2040" s="4">
        <f>IF(B2040&gt;'Mortality Table'!$A$118,D2039,VLOOKUP(B2040,'Mortality Table'!$A$2:$B$118,2,FALSE))</f>
        <v>0.59733000000000003</v>
      </c>
      <c r="E2040" s="4">
        <f>IF(INT((C2040-1)/12)+1&gt;'Lapse Table'!$A$11,E2039,VLOOKUP(INT((C2040-1)/12)+1,'Lapse Table'!$A$2:$B$11,2,FALSE))/12</f>
        <v>0</v>
      </c>
      <c r="F2040" s="5">
        <f t="shared" si="287"/>
        <v>-74.835979865620573</v>
      </c>
      <c r="G2040" s="6">
        <f t="shared" si="281"/>
        <v>4.9777500000000002E-2</v>
      </c>
      <c r="H2040" s="6">
        <f t="shared" si="282"/>
        <v>0</v>
      </c>
      <c r="I2040" s="7">
        <f t="shared" si="283"/>
        <v>-2494.5326621873523</v>
      </c>
      <c r="J2040" s="8">
        <f t="shared" si="284"/>
        <v>49777.5</v>
      </c>
      <c r="K2040" s="7">
        <f t="shared" si="285"/>
        <v>-52272.032662187354</v>
      </c>
      <c r="L2040" s="4">
        <f>IF(A2040&gt;'Yield Curve'!A2654,L2039,(1+VLOOKUP(A2040,'Yield Curve'!A2033:B2655,2,FALSE))^(1/12)-1)</f>
        <v>7.9741404289037643E-3</v>
      </c>
      <c r="M2040" s="5">
        <f t="shared" si="286"/>
        <v>-5.1180913728279187E-3</v>
      </c>
    </row>
    <row r="2041" spans="1:13" x14ac:dyDescent="0.25">
      <c r="A2041" s="4">
        <v>2033</v>
      </c>
      <c r="B2041" s="4">
        <f t="shared" si="279"/>
        <v>214</v>
      </c>
      <c r="C2041" s="4">
        <f t="shared" si="280"/>
        <v>2048</v>
      </c>
      <c r="D2041" s="4">
        <f>IF(B2041&gt;'Mortality Table'!$A$118,D2040,VLOOKUP(B2041,'Mortality Table'!$A$2:$B$118,2,FALSE))</f>
        <v>0.59733000000000003</v>
      </c>
      <c r="E2041" s="4">
        <f>IF(INT((C2041-1)/12)+1&gt;'Lapse Table'!$A$11,E2040,VLOOKUP(INT((C2041-1)/12)+1,'Lapse Table'!$A$2:$B$11,2,FALSE))/12</f>
        <v>0</v>
      </c>
      <c r="F2041" s="5">
        <f t="shared" si="287"/>
        <v>-74.885757365620577</v>
      </c>
      <c r="G2041" s="6">
        <f t="shared" si="281"/>
        <v>4.9777500000000002E-2</v>
      </c>
      <c r="H2041" s="6">
        <f t="shared" si="282"/>
        <v>0</v>
      </c>
      <c r="I2041" s="7">
        <f t="shared" si="283"/>
        <v>-2496.1919121873525</v>
      </c>
      <c r="J2041" s="8">
        <f t="shared" si="284"/>
        <v>49777.5</v>
      </c>
      <c r="K2041" s="7">
        <f t="shared" si="285"/>
        <v>-52273.691912187351</v>
      </c>
      <c r="L2041" s="4">
        <f>IF(A2041&gt;'Yield Curve'!A2655,L2040,(1+VLOOKUP(A2041,'Yield Curve'!A2034:B2656,2,FALSE))^(1/12)-1)</f>
        <v>7.9741404289037643E-3</v>
      </c>
      <c r="M2041" s="5">
        <f t="shared" si="286"/>
        <v>-5.0777630387971329E-3</v>
      </c>
    </row>
    <row r="2042" spans="1:13" x14ac:dyDescent="0.25">
      <c r="A2042" s="4">
        <v>2034</v>
      </c>
      <c r="B2042" s="4">
        <f t="shared" si="279"/>
        <v>214</v>
      </c>
      <c r="C2042" s="4">
        <f t="shared" si="280"/>
        <v>2049</v>
      </c>
      <c r="D2042" s="4">
        <f>IF(B2042&gt;'Mortality Table'!$A$118,D2041,VLOOKUP(B2042,'Mortality Table'!$A$2:$B$118,2,FALSE))</f>
        <v>0.59733000000000003</v>
      </c>
      <c r="E2042" s="4">
        <f>IF(INT((C2042-1)/12)+1&gt;'Lapse Table'!$A$11,E2041,VLOOKUP(INT((C2042-1)/12)+1,'Lapse Table'!$A$2:$B$11,2,FALSE))/12</f>
        <v>0</v>
      </c>
      <c r="F2042" s="5">
        <f t="shared" si="287"/>
        <v>-74.935534865620582</v>
      </c>
      <c r="G2042" s="6">
        <f t="shared" si="281"/>
        <v>4.9777500000000002E-2</v>
      </c>
      <c r="H2042" s="6">
        <f t="shared" si="282"/>
        <v>0</v>
      </c>
      <c r="I2042" s="7">
        <f t="shared" si="283"/>
        <v>-2497.8511621873527</v>
      </c>
      <c r="J2042" s="8">
        <f t="shared" si="284"/>
        <v>49777.5</v>
      </c>
      <c r="K2042" s="7">
        <f t="shared" si="285"/>
        <v>-52275.351162187355</v>
      </c>
      <c r="L2042" s="4">
        <f>IF(A2042&gt;'Yield Curve'!A2656,L2041,(1+VLOOKUP(A2042,'Yield Curve'!A2035:B2657,2,FALSE))^(1/12)-1)</f>
        <v>7.9741404289037643E-3</v>
      </c>
      <c r="M2042" s="5">
        <f t="shared" si="286"/>
        <v>-5.0377524694230217E-3</v>
      </c>
    </row>
    <row r="2043" spans="1:13" x14ac:dyDescent="0.25">
      <c r="A2043" s="4">
        <v>2035</v>
      </c>
      <c r="B2043" s="4">
        <f t="shared" si="279"/>
        <v>214</v>
      </c>
      <c r="C2043" s="4">
        <f t="shared" si="280"/>
        <v>2050</v>
      </c>
      <c r="D2043" s="4">
        <f>IF(B2043&gt;'Mortality Table'!$A$118,D2042,VLOOKUP(B2043,'Mortality Table'!$A$2:$B$118,2,FALSE))</f>
        <v>0.59733000000000003</v>
      </c>
      <c r="E2043" s="4">
        <f>IF(INT((C2043-1)/12)+1&gt;'Lapse Table'!$A$11,E2042,VLOOKUP(INT((C2043-1)/12)+1,'Lapse Table'!$A$2:$B$11,2,FALSE))/12</f>
        <v>0</v>
      </c>
      <c r="F2043" s="5">
        <f t="shared" si="287"/>
        <v>-74.985312365620587</v>
      </c>
      <c r="G2043" s="6">
        <f t="shared" si="281"/>
        <v>4.9777500000000002E-2</v>
      </c>
      <c r="H2043" s="6">
        <f t="shared" si="282"/>
        <v>0</v>
      </c>
      <c r="I2043" s="7">
        <f t="shared" si="283"/>
        <v>-2499.5104121873528</v>
      </c>
      <c r="J2043" s="8">
        <f t="shared" si="284"/>
        <v>49777.5</v>
      </c>
      <c r="K2043" s="7">
        <f t="shared" si="285"/>
        <v>-52277.010412187352</v>
      </c>
      <c r="L2043" s="4">
        <f>IF(A2043&gt;'Yield Curve'!A2657,L2042,(1+VLOOKUP(A2043,'Yield Curve'!A2036:B2658,2,FALSE))^(1/12)-1)</f>
        <v>7.9741404289037643E-3</v>
      </c>
      <c r="M2043" s="5">
        <f t="shared" si="286"/>
        <v>-4.998057160938602E-3</v>
      </c>
    </row>
    <row r="2044" spans="1:13" x14ac:dyDescent="0.25">
      <c r="A2044" s="4">
        <v>2036</v>
      </c>
      <c r="B2044" s="4">
        <f t="shared" si="279"/>
        <v>214</v>
      </c>
      <c r="C2044" s="4">
        <f t="shared" si="280"/>
        <v>2051</v>
      </c>
      <c r="D2044" s="4">
        <f>IF(B2044&gt;'Mortality Table'!$A$118,D2043,VLOOKUP(B2044,'Mortality Table'!$A$2:$B$118,2,FALSE))</f>
        <v>0.59733000000000003</v>
      </c>
      <c r="E2044" s="4">
        <f>IF(INT((C2044-1)/12)+1&gt;'Lapse Table'!$A$11,E2043,VLOOKUP(INT((C2044-1)/12)+1,'Lapse Table'!$A$2:$B$11,2,FALSE))/12</f>
        <v>0</v>
      </c>
      <c r="F2044" s="5">
        <f t="shared" si="287"/>
        <v>-75.035089865620591</v>
      </c>
      <c r="G2044" s="6">
        <f t="shared" si="281"/>
        <v>4.9777500000000002E-2</v>
      </c>
      <c r="H2044" s="6">
        <f t="shared" si="282"/>
        <v>0</v>
      </c>
      <c r="I2044" s="7">
        <f t="shared" si="283"/>
        <v>-2501.169662187353</v>
      </c>
      <c r="J2044" s="8">
        <f t="shared" si="284"/>
        <v>49777.5</v>
      </c>
      <c r="K2044" s="7">
        <f t="shared" si="285"/>
        <v>-52278.669662187356</v>
      </c>
      <c r="L2044" s="4">
        <f>IF(A2044&gt;'Yield Curve'!A2658,L2043,(1+VLOOKUP(A2044,'Yield Curve'!A2037:B2659,2,FALSE))^(1/12)-1)</f>
        <v>7.9741404289037643E-3</v>
      </c>
      <c r="M2044" s="5">
        <f t="shared" si="286"/>
        <v>-4.9586746293045327E-3</v>
      </c>
    </row>
    <row r="2045" spans="1:13" x14ac:dyDescent="0.25">
      <c r="A2045" s="4">
        <v>2037</v>
      </c>
      <c r="B2045" s="4">
        <f t="shared" si="279"/>
        <v>214</v>
      </c>
      <c r="C2045" s="4">
        <f t="shared" si="280"/>
        <v>2052</v>
      </c>
      <c r="D2045" s="4">
        <f>IF(B2045&gt;'Mortality Table'!$A$118,D2044,VLOOKUP(B2045,'Mortality Table'!$A$2:$B$118,2,FALSE))</f>
        <v>0.59733000000000003</v>
      </c>
      <c r="E2045" s="4">
        <f>IF(INT((C2045-1)/12)+1&gt;'Lapse Table'!$A$11,E2044,VLOOKUP(INT((C2045-1)/12)+1,'Lapse Table'!$A$2:$B$11,2,FALSE))/12</f>
        <v>0</v>
      </c>
      <c r="F2045" s="5">
        <f t="shared" si="287"/>
        <v>-75.084867365620596</v>
      </c>
      <c r="G2045" s="6">
        <f t="shared" si="281"/>
        <v>4.9777500000000002E-2</v>
      </c>
      <c r="H2045" s="6">
        <f t="shared" si="282"/>
        <v>0</v>
      </c>
      <c r="I2045" s="7">
        <f t="shared" si="283"/>
        <v>-2502.8289121873531</v>
      </c>
      <c r="J2045" s="8">
        <f t="shared" si="284"/>
        <v>49777.5</v>
      </c>
      <c r="K2045" s="7">
        <f t="shared" si="285"/>
        <v>-52280.328912187353</v>
      </c>
      <c r="L2045" s="4">
        <f>IF(A2045&gt;'Yield Curve'!A2659,L2044,(1+VLOOKUP(A2045,'Yield Curve'!A2038:B2660,2,FALSE))^(1/12)-1)</f>
        <v>7.9741404289037643E-3</v>
      </c>
      <c r="M2045" s="5">
        <f t="shared" si="286"/>
        <v>-4.9196024100536754E-3</v>
      </c>
    </row>
    <row r="2046" spans="1:13" x14ac:dyDescent="0.25">
      <c r="A2046" s="4">
        <v>2038</v>
      </c>
      <c r="B2046" s="4">
        <f t="shared" si="279"/>
        <v>214</v>
      </c>
      <c r="C2046" s="4">
        <f t="shared" si="280"/>
        <v>2053</v>
      </c>
      <c r="D2046" s="4">
        <f>IF(B2046&gt;'Mortality Table'!$A$118,D2045,VLOOKUP(B2046,'Mortality Table'!$A$2:$B$118,2,FALSE))</f>
        <v>0.59733000000000003</v>
      </c>
      <c r="E2046" s="4">
        <f>IF(INT((C2046-1)/12)+1&gt;'Lapse Table'!$A$11,E2045,VLOOKUP(INT((C2046-1)/12)+1,'Lapse Table'!$A$2:$B$11,2,FALSE))/12</f>
        <v>0</v>
      </c>
      <c r="F2046" s="5">
        <f t="shared" si="287"/>
        <v>-75.134644865620601</v>
      </c>
      <c r="G2046" s="6">
        <f t="shared" si="281"/>
        <v>4.9777500000000002E-2</v>
      </c>
      <c r="H2046" s="6">
        <f t="shared" si="282"/>
        <v>0</v>
      </c>
      <c r="I2046" s="7">
        <f t="shared" si="283"/>
        <v>-2504.4881621873533</v>
      </c>
      <c r="J2046" s="8">
        <f t="shared" si="284"/>
        <v>49777.5</v>
      </c>
      <c r="K2046" s="7">
        <f t="shared" si="285"/>
        <v>-52281.98816218735</v>
      </c>
      <c r="L2046" s="4">
        <f>IF(A2046&gt;'Yield Curve'!A2660,L2045,(1+VLOOKUP(A2046,'Yield Curve'!A2039:B2661,2,FALSE))^(1/12)-1)</f>
        <v>7.9741404289037643E-3</v>
      </c>
      <c r="M2046" s="5">
        <f t="shared" si="286"/>
        <v>-4.8808380581369E-3</v>
      </c>
    </row>
    <row r="2047" spans="1:13" x14ac:dyDescent="0.25">
      <c r="A2047" s="4">
        <v>2039</v>
      </c>
      <c r="B2047" s="4">
        <f t="shared" si="279"/>
        <v>214</v>
      </c>
      <c r="C2047" s="4">
        <f t="shared" si="280"/>
        <v>2054</v>
      </c>
      <c r="D2047" s="4">
        <f>IF(B2047&gt;'Mortality Table'!$A$118,D2046,VLOOKUP(B2047,'Mortality Table'!$A$2:$B$118,2,FALSE))</f>
        <v>0.59733000000000003</v>
      </c>
      <c r="E2047" s="4">
        <f>IF(INT((C2047-1)/12)+1&gt;'Lapse Table'!$A$11,E2046,VLOOKUP(INT((C2047-1)/12)+1,'Lapse Table'!$A$2:$B$11,2,FALSE))/12</f>
        <v>0</v>
      </c>
      <c r="F2047" s="5">
        <f t="shared" si="287"/>
        <v>-75.184422365620605</v>
      </c>
      <c r="G2047" s="6">
        <f t="shared" si="281"/>
        <v>4.9777500000000002E-2</v>
      </c>
      <c r="H2047" s="6">
        <f t="shared" si="282"/>
        <v>0</v>
      </c>
      <c r="I2047" s="7">
        <f t="shared" si="283"/>
        <v>-2506.1474121873534</v>
      </c>
      <c r="J2047" s="8">
        <f t="shared" si="284"/>
        <v>49777.5</v>
      </c>
      <c r="K2047" s="7">
        <f t="shared" si="285"/>
        <v>-52283.647412187354</v>
      </c>
      <c r="L2047" s="4">
        <f>IF(A2047&gt;'Yield Curve'!A2661,L2046,(1+VLOOKUP(A2047,'Yield Curve'!A2040:B2662,2,FALSE))^(1/12)-1)</f>
        <v>7.9741404289037643E-3</v>
      </c>
      <c r="M2047" s="5">
        <f t="shared" si="286"/>
        <v>-4.8423791477700644E-3</v>
      </c>
    </row>
    <row r="2048" spans="1:13" x14ac:dyDescent="0.25">
      <c r="A2048" s="4">
        <v>2040</v>
      </c>
      <c r="B2048" s="4">
        <f t="shared" si="279"/>
        <v>215</v>
      </c>
      <c r="C2048" s="4">
        <f t="shared" si="280"/>
        <v>2055</v>
      </c>
      <c r="D2048" s="4">
        <f>IF(B2048&gt;'Mortality Table'!$A$118,D2047,VLOOKUP(B2048,'Mortality Table'!$A$2:$B$118,2,FALSE))</f>
        <v>0.59733000000000003</v>
      </c>
      <c r="E2048" s="4">
        <f>IF(INT((C2048-1)/12)+1&gt;'Lapse Table'!$A$11,E2047,VLOOKUP(INT((C2048-1)/12)+1,'Lapse Table'!$A$2:$B$11,2,FALSE))/12</f>
        <v>0</v>
      </c>
      <c r="F2048" s="5">
        <f t="shared" si="287"/>
        <v>-75.23419986562061</v>
      </c>
      <c r="G2048" s="6">
        <f t="shared" si="281"/>
        <v>4.9777500000000002E-2</v>
      </c>
      <c r="H2048" s="6">
        <f t="shared" si="282"/>
        <v>0</v>
      </c>
      <c r="I2048" s="7">
        <f t="shared" si="283"/>
        <v>-2507.8066621873536</v>
      </c>
      <c r="J2048" s="8">
        <f t="shared" si="284"/>
        <v>49777.5</v>
      </c>
      <c r="K2048" s="7">
        <f t="shared" si="285"/>
        <v>-52285.306662187351</v>
      </c>
      <c r="L2048" s="4">
        <f>IF(A2048&gt;'Yield Curve'!A2662,L2047,(1+VLOOKUP(A2048,'Yield Curve'!A2041:B2663,2,FALSE))^(1/12)-1)</f>
        <v>7.9741404289037643E-3</v>
      </c>
      <c r="M2048" s="5">
        <f t="shared" si="286"/>
        <v>-4.8042232722822391E-3</v>
      </c>
    </row>
    <row r="2049" spans="1:13" x14ac:dyDescent="0.25">
      <c r="A2049" s="4">
        <v>2041</v>
      </c>
      <c r="B2049" s="4">
        <f t="shared" si="279"/>
        <v>215</v>
      </c>
      <c r="C2049" s="4">
        <f t="shared" si="280"/>
        <v>2056</v>
      </c>
      <c r="D2049" s="4">
        <f>IF(B2049&gt;'Mortality Table'!$A$118,D2048,VLOOKUP(B2049,'Mortality Table'!$A$2:$B$118,2,FALSE))</f>
        <v>0.59733000000000003</v>
      </c>
      <c r="E2049" s="4">
        <f>IF(INT((C2049-1)/12)+1&gt;'Lapse Table'!$A$11,E2048,VLOOKUP(INT((C2049-1)/12)+1,'Lapse Table'!$A$2:$B$11,2,FALSE))/12</f>
        <v>0</v>
      </c>
      <c r="F2049" s="5">
        <f t="shared" si="287"/>
        <v>-75.283977365620615</v>
      </c>
      <c r="G2049" s="6">
        <f t="shared" si="281"/>
        <v>4.9777500000000002E-2</v>
      </c>
      <c r="H2049" s="6">
        <f t="shared" si="282"/>
        <v>0</v>
      </c>
      <c r="I2049" s="7">
        <f t="shared" si="283"/>
        <v>-2509.4659121873538</v>
      </c>
      <c r="J2049" s="8">
        <f t="shared" si="284"/>
        <v>49777.5</v>
      </c>
      <c r="K2049" s="7">
        <f t="shared" si="285"/>
        <v>-52286.965912187356</v>
      </c>
      <c r="L2049" s="4">
        <f>IF(A2049&gt;'Yield Curve'!A2663,L2048,(1+VLOOKUP(A2049,'Yield Curve'!A2042:B2664,2,FALSE))^(1/12)-1)</f>
        <v>7.9741404289037643E-3</v>
      </c>
      <c r="M2049" s="5">
        <f t="shared" si="286"/>
        <v>-4.7663680439651215E-3</v>
      </c>
    </row>
    <row r="2050" spans="1:13" x14ac:dyDescent="0.25">
      <c r="A2050" s="4">
        <v>2042</v>
      </c>
      <c r="B2050" s="4">
        <f t="shared" si="279"/>
        <v>215</v>
      </c>
      <c r="C2050" s="4">
        <f t="shared" si="280"/>
        <v>2057</v>
      </c>
      <c r="D2050" s="4">
        <f>IF(B2050&gt;'Mortality Table'!$A$118,D2049,VLOOKUP(B2050,'Mortality Table'!$A$2:$B$118,2,FALSE))</f>
        <v>0.59733000000000003</v>
      </c>
      <c r="E2050" s="4">
        <f>IF(INT((C2050-1)/12)+1&gt;'Lapse Table'!$A$11,E2049,VLOOKUP(INT((C2050-1)/12)+1,'Lapse Table'!$A$2:$B$11,2,FALSE))/12</f>
        <v>0</v>
      </c>
      <c r="F2050" s="5">
        <f t="shared" si="287"/>
        <v>-75.33375486562062</v>
      </c>
      <c r="G2050" s="6">
        <f t="shared" si="281"/>
        <v>4.9777500000000002E-2</v>
      </c>
      <c r="H2050" s="6">
        <f t="shared" si="282"/>
        <v>0</v>
      </c>
      <c r="I2050" s="7">
        <f t="shared" si="283"/>
        <v>-2511.1251621873539</v>
      </c>
      <c r="J2050" s="8">
        <f t="shared" si="284"/>
        <v>49777.5</v>
      </c>
      <c r="K2050" s="7">
        <f t="shared" si="285"/>
        <v>-52288.625162187353</v>
      </c>
      <c r="L2050" s="4">
        <f>IF(A2050&gt;'Yield Curve'!A2664,L2049,(1+VLOOKUP(A2050,'Yield Curve'!A2043:B2665,2,FALSE))^(1/12)-1)</f>
        <v>7.9741404289037643E-3</v>
      </c>
      <c r="M2050" s="5">
        <f t="shared" si="286"/>
        <v>-4.7288110939236044E-3</v>
      </c>
    </row>
    <row r="2051" spans="1:13" x14ac:dyDescent="0.25">
      <c r="A2051" s="4">
        <v>2043</v>
      </c>
      <c r="B2051" s="4">
        <f t="shared" si="279"/>
        <v>215</v>
      </c>
      <c r="C2051" s="4">
        <f t="shared" si="280"/>
        <v>2058</v>
      </c>
      <c r="D2051" s="4">
        <f>IF(B2051&gt;'Mortality Table'!$A$118,D2050,VLOOKUP(B2051,'Mortality Table'!$A$2:$B$118,2,FALSE))</f>
        <v>0.59733000000000003</v>
      </c>
      <c r="E2051" s="4">
        <f>IF(INT((C2051-1)/12)+1&gt;'Lapse Table'!$A$11,E2050,VLOOKUP(INT((C2051-1)/12)+1,'Lapse Table'!$A$2:$B$11,2,FALSE))/12</f>
        <v>0</v>
      </c>
      <c r="F2051" s="5">
        <f t="shared" si="287"/>
        <v>-75.383532365620624</v>
      </c>
      <c r="G2051" s="6">
        <f t="shared" si="281"/>
        <v>4.9777500000000002E-2</v>
      </c>
      <c r="H2051" s="6">
        <f t="shared" si="282"/>
        <v>0</v>
      </c>
      <c r="I2051" s="7">
        <f t="shared" si="283"/>
        <v>-2512.7844121873541</v>
      </c>
      <c r="J2051" s="8">
        <f t="shared" si="284"/>
        <v>49777.5</v>
      </c>
      <c r="K2051" s="7">
        <f t="shared" si="285"/>
        <v>-52290.284412187357</v>
      </c>
      <c r="L2051" s="4">
        <f>IF(A2051&gt;'Yield Curve'!A2665,L2050,(1+VLOOKUP(A2051,'Yield Curve'!A2044:B2666,2,FALSE))^(1/12)-1)</f>
        <v>7.9741404289037643E-3</v>
      </c>
      <c r="M2051" s="5">
        <f t="shared" si="286"/>
        <v>-4.6915500719275673E-3</v>
      </c>
    </row>
    <row r="2052" spans="1:13" x14ac:dyDescent="0.25">
      <c r="A2052" s="4">
        <v>2044</v>
      </c>
      <c r="B2052" s="4">
        <f t="shared" si="279"/>
        <v>215</v>
      </c>
      <c r="C2052" s="4">
        <f t="shared" si="280"/>
        <v>2059</v>
      </c>
      <c r="D2052" s="4">
        <f>IF(B2052&gt;'Mortality Table'!$A$118,D2051,VLOOKUP(B2052,'Mortality Table'!$A$2:$B$118,2,FALSE))</f>
        <v>0.59733000000000003</v>
      </c>
      <c r="E2052" s="4">
        <f>IF(INT((C2052-1)/12)+1&gt;'Lapse Table'!$A$11,E2051,VLOOKUP(INT((C2052-1)/12)+1,'Lapse Table'!$A$2:$B$11,2,FALSE))/12</f>
        <v>0</v>
      </c>
      <c r="F2052" s="5">
        <f t="shared" si="287"/>
        <v>-75.433309865620629</v>
      </c>
      <c r="G2052" s="6">
        <f t="shared" si="281"/>
        <v>4.9777500000000002E-2</v>
      </c>
      <c r="H2052" s="6">
        <f t="shared" si="282"/>
        <v>0</v>
      </c>
      <c r="I2052" s="7">
        <f t="shared" si="283"/>
        <v>-2514.4436621873542</v>
      </c>
      <c r="J2052" s="8">
        <f t="shared" si="284"/>
        <v>49777.5</v>
      </c>
      <c r="K2052" s="7">
        <f t="shared" si="285"/>
        <v>-52291.943662187354</v>
      </c>
      <c r="L2052" s="4">
        <f>IF(A2052&gt;'Yield Curve'!A2666,L2051,(1+VLOOKUP(A2052,'Yield Curve'!A2045:B2667,2,FALSE))^(1/12)-1)</f>
        <v>7.9741404289037643E-3</v>
      </c>
      <c r="M2052" s="5">
        <f t="shared" si="286"/>
        <v>-4.6545826462648021E-3</v>
      </c>
    </row>
    <row r="2053" spans="1:13" x14ac:dyDescent="0.25">
      <c r="A2053" s="4">
        <v>2045</v>
      </c>
      <c r="B2053" s="4">
        <f t="shared" si="279"/>
        <v>215</v>
      </c>
      <c r="C2053" s="4">
        <f t="shared" si="280"/>
        <v>2060</v>
      </c>
      <c r="D2053" s="4">
        <f>IF(B2053&gt;'Mortality Table'!$A$118,D2052,VLOOKUP(B2053,'Mortality Table'!$A$2:$B$118,2,FALSE))</f>
        <v>0.59733000000000003</v>
      </c>
      <c r="E2053" s="4">
        <f>IF(INT((C2053-1)/12)+1&gt;'Lapse Table'!$A$11,E2052,VLOOKUP(INT((C2053-1)/12)+1,'Lapse Table'!$A$2:$B$11,2,FALSE))/12</f>
        <v>0</v>
      </c>
      <c r="F2053" s="5">
        <f t="shared" si="287"/>
        <v>-75.483087365620634</v>
      </c>
      <c r="G2053" s="6">
        <f t="shared" si="281"/>
        <v>4.9777500000000002E-2</v>
      </c>
      <c r="H2053" s="6">
        <f t="shared" si="282"/>
        <v>0</v>
      </c>
      <c r="I2053" s="7">
        <f t="shared" si="283"/>
        <v>-2516.1029121873544</v>
      </c>
      <c r="J2053" s="8">
        <f t="shared" si="284"/>
        <v>49777.5</v>
      </c>
      <c r="K2053" s="7">
        <f t="shared" si="285"/>
        <v>-52293.602912187358</v>
      </c>
      <c r="L2053" s="4">
        <f>IF(A2053&gt;'Yield Curve'!A2667,L2052,(1+VLOOKUP(A2053,'Yield Curve'!A2046:B2668,2,FALSE))^(1/12)-1)</f>
        <v>7.9741404289037643E-3</v>
      </c>
      <c r="M2053" s="5">
        <f t="shared" si="286"/>
        <v>-4.6179065035951141E-3</v>
      </c>
    </row>
    <row r="2054" spans="1:13" x14ac:dyDescent="0.25">
      <c r="A2054" s="4">
        <v>2046</v>
      </c>
      <c r="B2054" s="4">
        <f t="shared" si="279"/>
        <v>215</v>
      </c>
      <c r="C2054" s="4">
        <f t="shared" si="280"/>
        <v>2061</v>
      </c>
      <c r="D2054" s="4">
        <f>IF(B2054&gt;'Mortality Table'!$A$118,D2053,VLOOKUP(B2054,'Mortality Table'!$A$2:$B$118,2,FALSE))</f>
        <v>0.59733000000000003</v>
      </c>
      <c r="E2054" s="4">
        <f>IF(INT((C2054-1)/12)+1&gt;'Lapse Table'!$A$11,E2053,VLOOKUP(INT((C2054-1)/12)+1,'Lapse Table'!$A$2:$B$11,2,FALSE))/12</f>
        <v>0</v>
      </c>
      <c r="F2054" s="5">
        <f t="shared" si="287"/>
        <v>-75.532864865620638</v>
      </c>
      <c r="G2054" s="6">
        <f t="shared" si="281"/>
        <v>4.9777500000000002E-2</v>
      </c>
      <c r="H2054" s="6">
        <f t="shared" si="282"/>
        <v>0</v>
      </c>
      <c r="I2054" s="7">
        <f t="shared" si="283"/>
        <v>-2517.7621621873545</v>
      </c>
      <c r="J2054" s="8">
        <f t="shared" si="284"/>
        <v>49777.5</v>
      </c>
      <c r="K2054" s="7">
        <f t="shared" si="285"/>
        <v>-52295.262162187355</v>
      </c>
      <c r="L2054" s="4">
        <f>IF(A2054&gt;'Yield Curve'!A2668,L2053,(1+VLOOKUP(A2054,'Yield Curve'!A2047:B2669,2,FALSE))^(1/12)-1)</f>
        <v>7.9741404289037643E-3</v>
      </c>
      <c r="M2054" s="5">
        <f t="shared" si="286"/>
        <v>-4.5815193488055678E-3</v>
      </c>
    </row>
    <row r="2055" spans="1:13" x14ac:dyDescent="0.25">
      <c r="A2055" s="4">
        <v>2047</v>
      </c>
      <c r="B2055" s="4">
        <f t="shared" si="279"/>
        <v>215</v>
      </c>
      <c r="C2055" s="4">
        <f t="shared" si="280"/>
        <v>2062</v>
      </c>
      <c r="D2055" s="4">
        <f>IF(B2055&gt;'Mortality Table'!$A$118,D2054,VLOOKUP(B2055,'Mortality Table'!$A$2:$B$118,2,FALSE))</f>
        <v>0.59733000000000003</v>
      </c>
      <c r="E2055" s="4">
        <f>IF(INT((C2055-1)/12)+1&gt;'Lapse Table'!$A$11,E2054,VLOOKUP(INT((C2055-1)/12)+1,'Lapse Table'!$A$2:$B$11,2,FALSE))/12</f>
        <v>0</v>
      </c>
      <c r="F2055" s="5">
        <f t="shared" si="287"/>
        <v>-75.582642365620643</v>
      </c>
      <c r="G2055" s="6">
        <f t="shared" si="281"/>
        <v>4.9777500000000002E-2</v>
      </c>
      <c r="H2055" s="6">
        <f t="shared" si="282"/>
        <v>0</v>
      </c>
      <c r="I2055" s="7">
        <f t="shared" si="283"/>
        <v>-2519.4214121873547</v>
      </c>
      <c r="J2055" s="8">
        <f t="shared" si="284"/>
        <v>49777.5</v>
      </c>
      <c r="K2055" s="7">
        <f t="shared" si="285"/>
        <v>-52296.921412187352</v>
      </c>
      <c r="L2055" s="4">
        <f>IF(A2055&gt;'Yield Curve'!A2669,L2054,(1+VLOOKUP(A2055,'Yield Curve'!A2048:B2670,2,FALSE))^(1/12)-1)</f>
        <v>7.9741404289037643E-3</v>
      </c>
      <c r="M2055" s="5">
        <f t="shared" si="286"/>
        <v>-4.5454189048668662E-3</v>
      </c>
    </row>
    <row r="2056" spans="1:13" x14ac:dyDescent="0.25">
      <c r="A2056" s="4">
        <v>2048</v>
      </c>
      <c r="B2056" s="4">
        <f t="shared" si="279"/>
        <v>215</v>
      </c>
      <c r="C2056" s="4">
        <f t="shared" si="280"/>
        <v>2063</v>
      </c>
      <c r="D2056" s="4">
        <f>IF(B2056&gt;'Mortality Table'!$A$118,D2055,VLOOKUP(B2056,'Mortality Table'!$A$2:$B$118,2,FALSE))</f>
        <v>0.59733000000000003</v>
      </c>
      <c r="E2056" s="4">
        <f>IF(INT((C2056-1)/12)+1&gt;'Lapse Table'!$A$11,E2055,VLOOKUP(INT((C2056-1)/12)+1,'Lapse Table'!$A$2:$B$11,2,FALSE))/12</f>
        <v>0</v>
      </c>
      <c r="F2056" s="5">
        <f t="shared" si="287"/>
        <v>-75.632419865620648</v>
      </c>
      <c r="G2056" s="6">
        <f t="shared" si="281"/>
        <v>4.9777500000000002E-2</v>
      </c>
      <c r="H2056" s="6">
        <f t="shared" si="282"/>
        <v>0</v>
      </c>
      <c r="I2056" s="7">
        <f t="shared" si="283"/>
        <v>-2521.0806621873548</v>
      </c>
      <c r="J2056" s="8">
        <f t="shared" si="284"/>
        <v>49777.5</v>
      </c>
      <c r="K2056" s="7">
        <f t="shared" si="285"/>
        <v>-52298.580662187356</v>
      </c>
      <c r="L2056" s="4">
        <f>IF(A2056&gt;'Yield Curve'!A2670,L2055,(1+VLOOKUP(A2056,'Yield Curve'!A2049:B2671,2,FALSE))^(1/12)-1)</f>
        <v>7.9741404289037643E-3</v>
      </c>
      <c r="M2056" s="5">
        <f t="shared" si="286"/>
        <v>-4.5096029126908818E-3</v>
      </c>
    </row>
    <row r="2057" spans="1:13" x14ac:dyDescent="0.25">
      <c r="A2057" s="4">
        <v>2049</v>
      </c>
      <c r="B2057" s="4">
        <f t="shared" si="279"/>
        <v>215</v>
      </c>
      <c r="C2057" s="4">
        <f t="shared" si="280"/>
        <v>2064</v>
      </c>
      <c r="D2057" s="4">
        <f>IF(B2057&gt;'Mortality Table'!$A$118,D2056,VLOOKUP(B2057,'Mortality Table'!$A$2:$B$118,2,FALSE))</f>
        <v>0.59733000000000003</v>
      </c>
      <c r="E2057" s="4">
        <f>IF(INT((C2057-1)/12)+1&gt;'Lapse Table'!$A$11,E2056,VLOOKUP(INT((C2057-1)/12)+1,'Lapse Table'!$A$2:$B$11,2,FALSE))/12</f>
        <v>0</v>
      </c>
      <c r="F2057" s="5">
        <f t="shared" si="287"/>
        <v>-75.682197365620652</v>
      </c>
      <c r="G2057" s="6">
        <f t="shared" si="281"/>
        <v>4.9777500000000002E-2</v>
      </c>
      <c r="H2057" s="6">
        <f t="shared" si="282"/>
        <v>0</v>
      </c>
      <c r="I2057" s="7">
        <f t="shared" si="283"/>
        <v>-2522.739912187355</v>
      </c>
      <c r="J2057" s="8">
        <f t="shared" si="284"/>
        <v>49777.5</v>
      </c>
      <c r="K2057" s="7">
        <f t="shared" si="285"/>
        <v>-52300.239912187353</v>
      </c>
      <c r="L2057" s="4">
        <f>IF(A2057&gt;'Yield Curve'!A2671,L2056,(1+VLOOKUP(A2057,'Yield Curve'!A2050:B2672,2,FALSE))^(1/12)-1)</f>
        <v>7.9741404289037643E-3</v>
      </c>
      <c r="M2057" s="5">
        <f t="shared" si="286"/>
        <v>-4.4740691309892826E-3</v>
      </c>
    </row>
    <row r="2058" spans="1:13" x14ac:dyDescent="0.25">
      <c r="A2058" s="4">
        <v>2050</v>
      </c>
      <c r="B2058" s="4">
        <f t="shared" ref="B2058:B2121" si="288">INT($B$3+A2058/12)</f>
        <v>215</v>
      </c>
      <c r="C2058" s="4">
        <f t="shared" ref="C2058:C2121" si="289">$B$4+A2058</f>
        <v>2065</v>
      </c>
      <c r="D2058" s="4">
        <f>IF(B2058&gt;'Mortality Table'!$A$118,D2057,VLOOKUP(B2058,'Mortality Table'!$A$2:$B$118,2,FALSE))</f>
        <v>0.59733000000000003</v>
      </c>
      <c r="E2058" s="4">
        <f>IF(INT((C2058-1)/12)+1&gt;'Lapse Table'!$A$11,E2057,VLOOKUP(INT((C2058-1)/12)+1,'Lapse Table'!$A$2:$B$11,2,FALSE))/12</f>
        <v>0</v>
      </c>
      <c r="F2058" s="5">
        <f t="shared" si="287"/>
        <v>-75.731974865620657</v>
      </c>
      <c r="G2058" s="6">
        <f t="shared" ref="G2058:G2121" si="290">D2058/12*(1-0.5*E2058)</f>
        <v>4.9777500000000002E-2</v>
      </c>
      <c r="H2058" s="6">
        <f t="shared" ref="H2058:H2121" si="291">E2058*(1-0.5*D2058)</f>
        <v>0</v>
      </c>
      <c r="I2058" s="7">
        <f t="shared" ref="I2058:I2121" si="292">F2058*$B$5/12</f>
        <v>-2524.3991621873552</v>
      </c>
      <c r="J2058" s="8">
        <f t="shared" ref="J2058:J2121" si="293">$B$6*G2058</f>
        <v>49777.5</v>
      </c>
      <c r="K2058" s="7">
        <f t="shared" ref="K2058:K2121" si="294">I2058-J2058</f>
        <v>-52301.899162187357</v>
      </c>
      <c r="L2058" s="4">
        <f>IF(A2058&gt;'Yield Curve'!A2672,L2057,(1+VLOOKUP(A2058,'Yield Curve'!A2051:B2673,2,FALSE))^(1/12)-1)</f>
        <v>7.9741404289037643E-3</v>
      </c>
      <c r="M2058" s="5">
        <f t="shared" ref="M2058:M2121" si="295">K2058*(1+L2058)^-A2058</f>
        <v>-4.4388153361332979E-3</v>
      </c>
    </row>
    <row r="2059" spans="1:13" x14ac:dyDescent="0.25">
      <c r="A2059" s="4">
        <v>2051</v>
      </c>
      <c r="B2059" s="4">
        <f t="shared" si="288"/>
        <v>215</v>
      </c>
      <c r="C2059" s="4">
        <f t="shared" si="289"/>
        <v>2066</v>
      </c>
      <c r="D2059" s="4">
        <f>IF(B2059&gt;'Mortality Table'!$A$118,D2058,VLOOKUP(B2059,'Mortality Table'!$A$2:$B$118,2,FALSE))</f>
        <v>0.59733000000000003</v>
      </c>
      <c r="E2059" s="4">
        <f>IF(INT((C2059-1)/12)+1&gt;'Lapse Table'!$A$11,E2058,VLOOKUP(INT((C2059-1)/12)+1,'Lapse Table'!$A$2:$B$11,2,FALSE))/12</f>
        <v>0</v>
      </c>
      <c r="F2059" s="5">
        <f t="shared" ref="F2059:F2122" si="296">F2058-G2059-H2059</f>
        <v>-75.781752365620662</v>
      </c>
      <c r="G2059" s="6">
        <f t="shared" si="290"/>
        <v>4.9777500000000002E-2</v>
      </c>
      <c r="H2059" s="6">
        <f t="shared" si="291"/>
        <v>0</v>
      </c>
      <c r="I2059" s="7">
        <f t="shared" si="292"/>
        <v>-2526.0584121873553</v>
      </c>
      <c r="J2059" s="8">
        <f t="shared" si="293"/>
        <v>49777.5</v>
      </c>
      <c r="K2059" s="7">
        <f t="shared" si="294"/>
        <v>-52303.558412187354</v>
      </c>
      <c r="L2059" s="4">
        <f>IF(A2059&gt;'Yield Curve'!A2673,L2058,(1+VLOOKUP(A2059,'Yield Curve'!A2052:B2674,2,FALSE))^(1/12)-1)</f>
        <v>7.9741404289037643E-3</v>
      </c>
      <c r="M2059" s="5">
        <f t="shared" si="295"/>
        <v>-4.4038393220145683E-3</v>
      </c>
    </row>
    <row r="2060" spans="1:13" x14ac:dyDescent="0.25">
      <c r="A2060" s="4">
        <v>2052</v>
      </c>
      <c r="B2060" s="4">
        <f t="shared" si="288"/>
        <v>216</v>
      </c>
      <c r="C2060" s="4">
        <f t="shared" si="289"/>
        <v>2067</v>
      </c>
      <c r="D2060" s="4">
        <f>IF(B2060&gt;'Mortality Table'!$A$118,D2059,VLOOKUP(B2060,'Mortality Table'!$A$2:$B$118,2,FALSE))</f>
        <v>0.59733000000000003</v>
      </c>
      <c r="E2060" s="4">
        <f>IF(INT((C2060-1)/12)+1&gt;'Lapse Table'!$A$11,E2059,VLOOKUP(INT((C2060-1)/12)+1,'Lapse Table'!$A$2:$B$11,2,FALSE))/12</f>
        <v>0</v>
      </c>
      <c r="F2060" s="5">
        <f t="shared" si="296"/>
        <v>-75.831529865620666</v>
      </c>
      <c r="G2060" s="6">
        <f t="shared" si="290"/>
        <v>4.9777500000000002E-2</v>
      </c>
      <c r="H2060" s="6">
        <f t="shared" si="291"/>
        <v>0</v>
      </c>
      <c r="I2060" s="7">
        <f t="shared" si="292"/>
        <v>-2527.7176621873555</v>
      </c>
      <c r="J2060" s="8">
        <f t="shared" si="293"/>
        <v>49777.5</v>
      </c>
      <c r="K2060" s="7">
        <f t="shared" si="294"/>
        <v>-52305.217662187359</v>
      </c>
      <c r="L2060" s="4">
        <f>IF(A2060&gt;'Yield Curve'!A2674,L2059,(1+VLOOKUP(A2060,'Yield Curve'!A2053:B2675,2,FALSE))^(1/12)-1)</f>
        <v>7.9741404289037643E-3</v>
      </c>
      <c r="M2060" s="5">
        <f t="shared" si="295"/>
        <v>-4.3691388999071079E-3</v>
      </c>
    </row>
    <row r="2061" spans="1:13" x14ac:dyDescent="0.25">
      <c r="A2061" s="4">
        <v>2053</v>
      </c>
      <c r="B2061" s="4">
        <f t="shared" si="288"/>
        <v>216</v>
      </c>
      <c r="C2061" s="4">
        <f t="shared" si="289"/>
        <v>2068</v>
      </c>
      <c r="D2061" s="4">
        <f>IF(B2061&gt;'Mortality Table'!$A$118,D2060,VLOOKUP(B2061,'Mortality Table'!$A$2:$B$118,2,FALSE))</f>
        <v>0.59733000000000003</v>
      </c>
      <c r="E2061" s="4">
        <f>IF(INT((C2061-1)/12)+1&gt;'Lapse Table'!$A$11,E2060,VLOOKUP(INT((C2061-1)/12)+1,'Lapse Table'!$A$2:$B$11,2,FALSE))/12</f>
        <v>0</v>
      </c>
      <c r="F2061" s="5">
        <f t="shared" si="296"/>
        <v>-75.881307365620671</v>
      </c>
      <c r="G2061" s="6">
        <f t="shared" si="290"/>
        <v>4.9777500000000002E-2</v>
      </c>
      <c r="H2061" s="6">
        <f t="shared" si="291"/>
        <v>0</v>
      </c>
      <c r="I2061" s="7">
        <f t="shared" si="292"/>
        <v>-2529.3769121873556</v>
      </c>
      <c r="J2061" s="8">
        <f t="shared" si="293"/>
        <v>49777.5</v>
      </c>
      <c r="K2061" s="7">
        <f t="shared" si="294"/>
        <v>-52306.876912187356</v>
      </c>
      <c r="L2061" s="4">
        <f>IF(A2061&gt;'Yield Curve'!A2675,L2060,(1+VLOOKUP(A2061,'Yield Curve'!A2054:B2676,2,FALSE))^(1/12)-1)</f>
        <v>7.9741404289037643E-3</v>
      </c>
      <c r="M2061" s="5">
        <f t="shared" si="295"/>
        <v>-4.334711898330343E-3</v>
      </c>
    </row>
    <row r="2062" spans="1:13" x14ac:dyDescent="0.25">
      <c r="A2062" s="4">
        <v>2054</v>
      </c>
      <c r="B2062" s="4">
        <f t="shared" si="288"/>
        <v>216</v>
      </c>
      <c r="C2062" s="4">
        <f t="shared" si="289"/>
        <v>2069</v>
      </c>
      <c r="D2062" s="4">
        <f>IF(B2062&gt;'Mortality Table'!$A$118,D2061,VLOOKUP(B2062,'Mortality Table'!$A$2:$B$118,2,FALSE))</f>
        <v>0.59733000000000003</v>
      </c>
      <c r="E2062" s="4">
        <f>IF(INT((C2062-1)/12)+1&gt;'Lapse Table'!$A$11,E2061,VLOOKUP(INT((C2062-1)/12)+1,'Lapse Table'!$A$2:$B$11,2,FALSE))/12</f>
        <v>0</v>
      </c>
      <c r="F2062" s="5">
        <f t="shared" si="296"/>
        <v>-75.931084865620676</v>
      </c>
      <c r="G2062" s="6">
        <f t="shared" si="290"/>
        <v>4.9777500000000002E-2</v>
      </c>
      <c r="H2062" s="6">
        <f t="shared" si="291"/>
        <v>0</v>
      </c>
      <c r="I2062" s="7">
        <f t="shared" si="292"/>
        <v>-2531.0361621873558</v>
      </c>
      <c r="J2062" s="8">
        <f t="shared" si="293"/>
        <v>49777.5</v>
      </c>
      <c r="K2062" s="7">
        <f t="shared" si="294"/>
        <v>-52308.536162187353</v>
      </c>
      <c r="L2062" s="4">
        <f>IF(A2062&gt;'Yield Curve'!A2676,L2061,(1+VLOOKUP(A2062,'Yield Curve'!A2055:B2677,2,FALSE))^(1/12)-1)</f>
        <v>7.9741404289037643E-3</v>
      </c>
      <c r="M2062" s="5">
        <f t="shared" si="295"/>
        <v>-4.300556162913239E-3</v>
      </c>
    </row>
    <row r="2063" spans="1:13" x14ac:dyDescent="0.25">
      <c r="A2063" s="4">
        <v>2055</v>
      </c>
      <c r="B2063" s="4">
        <f t="shared" si="288"/>
        <v>216</v>
      </c>
      <c r="C2063" s="4">
        <f t="shared" si="289"/>
        <v>2070</v>
      </c>
      <c r="D2063" s="4">
        <f>IF(B2063&gt;'Mortality Table'!$A$118,D2062,VLOOKUP(B2063,'Mortality Table'!$A$2:$B$118,2,FALSE))</f>
        <v>0.59733000000000003</v>
      </c>
      <c r="E2063" s="4">
        <f>IF(INT((C2063-1)/12)+1&gt;'Lapse Table'!$A$11,E2062,VLOOKUP(INT((C2063-1)/12)+1,'Lapse Table'!$A$2:$B$11,2,FALSE))/12</f>
        <v>0</v>
      </c>
      <c r="F2063" s="5">
        <f t="shared" si="296"/>
        <v>-75.980862365620681</v>
      </c>
      <c r="G2063" s="6">
        <f t="shared" si="290"/>
        <v>4.9777500000000002E-2</v>
      </c>
      <c r="H2063" s="6">
        <f t="shared" si="291"/>
        <v>0</v>
      </c>
      <c r="I2063" s="7">
        <f t="shared" si="292"/>
        <v>-2532.6954121873559</v>
      </c>
      <c r="J2063" s="8">
        <f t="shared" si="293"/>
        <v>49777.5</v>
      </c>
      <c r="K2063" s="7">
        <f t="shared" si="294"/>
        <v>-52310.195412187357</v>
      </c>
      <c r="L2063" s="4">
        <f>IF(A2063&gt;'Yield Curve'!A2677,L2062,(1+VLOOKUP(A2063,'Yield Curve'!A2056:B2678,2,FALSE))^(1/12)-1)</f>
        <v>7.9741404289037643E-3</v>
      </c>
      <c r="M2063" s="5">
        <f t="shared" si="295"/>
        <v>-4.2666695562594854E-3</v>
      </c>
    </row>
    <row r="2064" spans="1:13" x14ac:dyDescent="0.25">
      <c r="A2064" s="4">
        <v>2056</v>
      </c>
      <c r="B2064" s="4">
        <f t="shared" si="288"/>
        <v>216</v>
      </c>
      <c r="C2064" s="4">
        <f t="shared" si="289"/>
        <v>2071</v>
      </c>
      <c r="D2064" s="4">
        <f>IF(B2064&gt;'Mortality Table'!$A$118,D2063,VLOOKUP(B2064,'Mortality Table'!$A$2:$B$118,2,FALSE))</f>
        <v>0.59733000000000003</v>
      </c>
      <c r="E2064" s="4">
        <f>IF(INT((C2064-1)/12)+1&gt;'Lapse Table'!$A$11,E2063,VLOOKUP(INT((C2064-1)/12)+1,'Lapse Table'!$A$2:$B$11,2,FALSE))/12</f>
        <v>0</v>
      </c>
      <c r="F2064" s="5">
        <f t="shared" si="296"/>
        <v>-76.030639865620685</v>
      </c>
      <c r="G2064" s="6">
        <f t="shared" si="290"/>
        <v>4.9777500000000002E-2</v>
      </c>
      <c r="H2064" s="6">
        <f t="shared" si="291"/>
        <v>0</v>
      </c>
      <c r="I2064" s="7">
        <f t="shared" si="292"/>
        <v>-2534.3546621873561</v>
      </c>
      <c r="J2064" s="8">
        <f t="shared" si="293"/>
        <v>49777.5</v>
      </c>
      <c r="K2064" s="7">
        <f t="shared" si="294"/>
        <v>-52311.854662187354</v>
      </c>
      <c r="L2064" s="4">
        <f>IF(A2064&gt;'Yield Curve'!A2678,L2063,(1+VLOOKUP(A2064,'Yield Curve'!A2057:B2679,2,FALSE))^(1/12)-1)</f>
        <v>7.9741404289037643E-3</v>
      </c>
      <c r="M2064" s="5">
        <f t="shared" si="295"/>
        <v>-4.2330499578137571E-3</v>
      </c>
    </row>
    <row r="2065" spans="1:13" x14ac:dyDescent="0.25">
      <c r="A2065" s="4">
        <v>2057</v>
      </c>
      <c r="B2065" s="4">
        <f t="shared" si="288"/>
        <v>216</v>
      </c>
      <c r="C2065" s="4">
        <f t="shared" si="289"/>
        <v>2072</v>
      </c>
      <c r="D2065" s="4">
        <f>IF(B2065&gt;'Mortality Table'!$A$118,D2064,VLOOKUP(B2065,'Mortality Table'!$A$2:$B$118,2,FALSE))</f>
        <v>0.59733000000000003</v>
      </c>
      <c r="E2065" s="4">
        <f>IF(INT((C2065-1)/12)+1&gt;'Lapse Table'!$A$11,E2064,VLOOKUP(INT((C2065-1)/12)+1,'Lapse Table'!$A$2:$B$11,2,FALSE))/12</f>
        <v>0</v>
      </c>
      <c r="F2065" s="5">
        <f t="shared" si="296"/>
        <v>-76.08041736562069</v>
      </c>
      <c r="G2065" s="6">
        <f t="shared" si="290"/>
        <v>4.9777500000000002E-2</v>
      </c>
      <c r="H2065" s="6">
        <f t="shared" si="291"/>
        <v>0</v>
      </c>
      <c r="I2065" s="7">
        <f t="shared" si="292"/>
        <v>-2536.0139121873563</v>
      </c>
      <c r="J2065" s="8">
        <f t="shared" si="293"/>
        <v>49777.5</v>
      </c>
      <c r="K2065" s="7">
        <f t="shared" si="294"/>
        <v>-52313.513912187358</v>
      </c>
      <c r="L2065" s="4">
        <f>IF(A2065&gt;'Yield Curve'!A2679,L2064,(1+VLOOKUP(A2065,'Yield Curve'!A2058:B2680,2,FALSE))^(1/12)-1)</f>
        <v>7.9741404289037643E-3</v>
      </c>
      <c r="M2065" s="5">
        <f t="shared" si="295"/>
        <v>-4.1996952637290228E-3</v>
      </c>
    </row>
    <row r="2066" spans="1:13" x14ac:dyDescent="0.25">
      <c r="A2066" s="4">
        <v>2058</v>
      </c>
      <c r="B2066" s="4">
        <f t="shared" si="288"/>
        <v>216</v>
      </c>
      <c r="C2066" s="4">
        <f t="shared" si="289"/>
        <v>2073</v>
      </c>
      <c r="D2066" s="4">
        <f>IF(B2066&gt;'Mortality Table'!$A$118,D2065,VLOOKUP(B2066,'Mortality Table'!$A$2:$B$118,2,FALSE))</f>
        <v>0.59733000000000003</v>
      </c>
      <c r="E2066" s="4">
        <f>IF(INT((C2066-1)/12)+1&gt;'Lapse Table'!$A$11,E2065,VLOOKUP(INT((C2066-1)/12)+1,'Lapse Table'!$A$2:$B$11,2,FALSE))/12</f>
        <v>0</v>
      </c>
      <c r="F2066" s="5">
        <f t="shared" si="296"/>
        <v>-76.130194865620695</v>
      </c>
      <c r="G2066" s="6">
        <f t="shared" si="290"/>
        <v>4.9777500000000002E-2</v>
      </c>
      <c r="H2066" s="6">
        <f t="shared" si="291"/>
        <v>0</v>
      </c>
      <c r="I2066" s="7">
        <f t="shared" si="292"/>
        <v>-2537.6731621873564</v>
      </c>
      <c r="J2066" s="8">
        <f t="shared" si="293"/>
        <v>49777.5</v>
      </c>
      <c r="K2066" s="7">
        <f t="shared" si="294"/>
        <v>-52315.173162187355</v>
      </c>
      <c r="L2066" s="4">
        <f>IF(A2066&gt;'Yield Curve'!A2680,L2065,(1+VLOOKUP(A2066,'Yield Curve'!A2059:B2681,2,FALSE))^(1/12)-1)</f>
        <v>7.9741404289037643E-3</v>
      </c>
      <c r="M2066" s="5">
        <f t="shared" si="295"/>
        <v>-4.1666033867348963E-3</v>
      </c>
    </row>
    <row r="2067" spans="1:13" x14ac:dyDescent="0.25">
      <c r="A2067" s="4">
        <v>2059</v>
      </c>
      <c r="B2067" s="4">
        <f t="shared" si="288"/>
        <v>216</v>
      </c>
      <c r="C2067" s="4">
        <f t="shared" si="289"/>
        <v>2074</v>
      </c>
      <c r="D2067" s="4">
        <f>IF(B2067&gt;'Mortality Table'!$A$118,D2066,VLOOKUP(B2067,'Mortality Table'!$A$2:$B$118,2,FALSE))</f>
        <v>0.59733000000000003</v>
      </c>
      <c r="E2067" s="4">
        <f>IF(INT((C2067-1)/12)+1&gt;'Lapse Table'!$A$11,E2066,VLOOKUP(INT((C2067-1)/12)+1,'Lapse Table'!$A$2:$B$11,2,FALSE))/12</f>
        <v>0</v>
      </c>
      <c r="F2067" s="5">
        <f t="shared" si="296"/>
        <v>-76.179972365620699</v>
      </c>
      <c r="G2067" s="6">
        <f t="shared" si="290"/>
        <v>4.9777500000000002E-2</v>
      </c>
      <c r="H2067" s="6">
        <f t="shared" si="291"/>
        <v>0</v>
      </c>
      <c r="I2067" s="7">
        <f t="shared" si="292"/>
        <v>-2539.3324121873566</v>
      </c>
      <c r="J2067" s="8">
        <f t="shared" si="293"/>
        <v>49777.5</v>
      </c>
      <c r="K2067" s="7">
        <f t="shared" si="294"/>
        <v>-52316.832412187359</v>
      </c>
      <c r="L2067" s="4">
        <f>IF(A2067&gt;'Yield Curve'!A2681,L2066,(1+VLOOKUP(A2067,'Yield Curve'!A2060:B2682,2,FALSE))^(1/12)-1)</f>
        <v>7.9741404289037643E-3</v>
      </c>
      <c r="M2067" s="5">
        <f t="shared" si="295"/>
        <v>-4.1337722560070289E-3</v>
      </c>
    </row>
    <row r="2068" spans="1:13" x14ac:dyDescent="0.25">
      <c r="A2068" s="4">
        <v>2060</v>
      </c>
      <c r="B2068" s="4">
        <f t="shared" si="288"/>
        <v>216</v>
      </c>
      <c r="C2068" s="4">
        <f t="shared" si="289"/>
        <v>2075</v>
      </c>
      <c r="D2068" s="4">
        <f>IF(B2068&gt;'Mortality Table'!$A$118,D2067,VLOOKUP(B2068,'Mortality Table'!$A$2:$B$118,2,FALSE))</f>
        <v>0.59733000000000003</v>
      </c>
      <c r="E2068" s="4">
        <f>IF(INT((C2068-1)/12)+1&gt;'Lapse Table'!$A$11,E2067,VLOOKUP(INT((C2068-1)/12)+1,'Lapse Table'!$A$2:$B$11,2,FALSE))/12</f>
        <v>0</v>
      </c>
      <c r="F2068" s="5">
        <f t="shared" si="296"/>
        <v>-76.229749865620704</v>
      </c>
      <c r="G2068" s="6">
        <f t="shared" si="290"/>
        <v>4.9777500000000002E-2</v>
      </c>
      <c r="H2068" s="6">
        <f t="shared" si="291"/>
        <v>0</v>
      </c>
      <c r="I2068" s="7">
        <f t="shared" si="292"/>
        <v>-2540.9916621873567</v>
      </c>
      <c r="J2068" s="8">
        <f t="shared" si="293"/>
        <v>49777.5</v>
      </c>
      <c r="K2068" s="7">
        <f t="shared" si="294"/>
        <v>-52318.491662187356</v>
      </c>
      <c r="L2068" s="4">
        <f>IF(A2068&gt;'Yield Curve'!A2682,L2067,(1+VLOOKUP(A2068,'Yield Curve'!A2061:B2683,2,FALSE))^(1/12)-1)</f>
        <v>7.9741404289037643E-3</v>
      </c>
      <c r="M2068" s="5">
        <f t="shared" si="295"/>
        <v>-4.1011998170375269E-3</v>
      </c>
    </row>
    <row r="2069" spans="1:13" x14ac:dyDescent="0.25">
      <c r="A2069" s="4">
        <v>2061</v>
      </c>
      <c r="B2069" s="4">
        <f t="shared" si="288"/>
        <v>216</v>
      </c>
      <c r="C2069" s="4">
        <f t="shared" si="289"/>
        <v>2076</v>
      </c>
      <c r="D2069" s="4">
        <f>IF(B2069&gt;'Mortality Table'!$A$118,D2068,VLOOKUP(B2069,'Mortality Table'!$A$2:$B$118,2,FALSE))</f>
        <v>0.59733000000000003</v>
      </c>
      <c r="E2069" s="4">
        <f>IF(INT((C2069-1)/12)+1&gt;'Lapse Table'!$A$11,E2068,VLOOKUP(INT((C2069-1)/12)+1,'Lapse Table'!$A$2:$B$11,2,FALSE))/12</f>
        <v>0</v>
      </c>
      <c r="F2069" s="5">
        <f t="shared" si="296"/>
        <v>-76.279527365620709</v>
      </c>
      <c r="G2069" s="6">
        <f t="shared" si="290"/>
        <v>4.9777500000000002E-2</v>
      </c>
      <c r="H2069" s="6">
        <f t="shared" si="291"/>
        <v>0</v>
      </c>
      <c r="I2069" s="7">
        <f t="shared" si="292"/>
        <v>-2542.6509121873569</v>
      </c>
      <c r="J2069" s="8">
        <f t="shared" si="293"/>
        <v>49777.5</v>
      </c>
      <c r="K2069" s="7">
        <f t="shared" si="294"/>
        <v>-52320.150912187353</v>
      </c>
      <c r="L2069" s="4">
        <f>IF(A2069&gt;'Yield Curve'!A2683,L2068,(1+VLOOKUP(A2069,'Yield Curve'!A2062:B2684,2,FALSE))^(1/12)-1)</f>
        <v>7.9741404289037643E-3</v>
      </c>
      <c r="M2069" s="5">
        <f t="shared" si="295"/>
        <v>-4.0688840315064008E-3</v>
      </c>
    </row>
    <row r="2070" spans="1:13" x14ac:dyDescent="0.25">
      <c r="A2070" s="4">
        <v>2062</v>
      </c>
      <c r="B2070" s="4">
        <f t="shared" si="288"/>
        <v>216</v>
      </c>
      <c r="C2070" s="4">
        <f t="shared" si="289"/>
        <v>2077</v>
      </c>
      <c r="D2070" s="4">
        <f>IF(B2070&gt;'Mortality Table'!$A$118,D2069,VLOOKUP(B2070,'Mortality Table'!$A$2:$B$118,2,FALSE))</f>
        <v>0.59733000000000003</v>
      </c>
      <c r="E2070" s="4">
        <f>IF(INT((C2070-1)/12)+1&gt;'Lapse Table'!$A$11,E2069,VLOOKUP(INT((C2070-1)/12)+1,'Lapse Table'!$A$2:$B$11,2,FALSE))/12</f>
        <v>0</v>
      </c>
      <c r="F2070" s="5">
        <f t="shared" si="296"/>
        <v>-76.329304865620713</v>
      </c>
      <c r="G2070" s="6">
        <f t="shared" si="290"/>
        <v>4.9777500000000002E-2</v>
      </c>
      <c r="H2070" s="6">
        <f t="shared" si="291"/>
        <v>0</v>
      </c>
      <c r="I2070" s="7">
        <f t="shared" si="292"/>
        <v>-2544.310162187357</v>
      </c>
      <c r="J2070" s="8">
        <f t="shared" si="293"/>
        <v>49777.5</v>
      </c>
      <c r="K2070" s="7">
        <f t="shared" si="294"/>
        <v>-52321.810162187357</v>
      </c>
      <c r="L2070" s="4">
        <f>IF(A2070&gt;'Yield Curve'!A2684,L2069,(1+VLOOKUP(A2070,'Yield Curve'!A2063:B2685,2,FALSE))^(1/12)-1)</f>
        <v>7.9741404289037643E-3</v>
      </c>
      <c r="M2070" s="5">
        <f t="shared" si="295"/>
        <v>-4.0368228771540124E-3</v>
      </c>
    </row>
    <row r="2071" spans="1:13" x14ac:dyDescent="0.25">
      <c r="A2071" s="4">
        <v>2063</v>
      </c>
      <c r="B2071" s="4">
        <f t="shared" si="288"/>
        <v>216</v>
      </c>
      <c r="C2071" s="4">
        <f t="shared" si="289"/>
        <v>2078</v>
      </c>
      <c r="D2071" s="4">
        <f>IF(B2071&gt;'Mortality Table'!$A$118,D2070,VLOOKUP(B2071,'Mortality Table'!$A$2:$B$118,2,FALSE))</f>
        <v>0.59733000000000003</v>
      </c>
      <c r="E2071" s="4">
        <f>IF(INT((C2071-1)/12)+1&gt;'Lapse Table'!$A$11,E2070,VLOOKUP(INT((C2071-1)/12)+1,'Lapse Table'!$A$2:$B$11,2,FALSE))/12</f>
        <v>0</v>
      </c>
      <c r="F2071" s="5">
        <f t="shared" si="296"/>
        <v>-76.379082365620718</v>
      </c>
      <c r="G2071" s="6">
        <f t="shared" si="290"/>
        <v>4.9777500000000002E-2</v>
      </c>
      <c r="H2071" s="6">
        <f t="shared" si="291"/>
        <v>0</v>
      </c>
      <c r="I2071" s="7">
        <f t="shared" si="292"/>
        <v>-2545.9694121873572</v>
      </c>
      <c r="J2071" s="8">
        <f t="shared" si="293"/>
        <v>49777.5</v>
      </c>
      <c r="K2071" s="7">
        <f t="shared" si="294"/>
        <v>-52323.469412187354</v>
      </c>
      <c r="L2071" s="4">
        <f>IF(A2071&gt;'Yield Curve'!A2685,L2070,(1+VLOOKUP(A2071,'Yield Curve'!A2064:B2686,2,FALSE))^(1/12)-1)</f>
        <v>7.9741404289037643E-3</v>
      </c>
      <c r="M2071" s="5">
        <f t="shared" si="295"/>
        <v>-4.005014347654534E-3</v>
      </c>
    </row>
    <row r="2072" spans="1:13" x14ac:dyDescent="0.25">
      <c r="A2072" s="4">
        <v>2064</v>
      </c>
      <c r="B2072" s="4">
        <f t="shared" si="288"/>
        <v>217</v>
      </c>
      <c r="C2072" s="4">
        <f t="shared" si="289"/>
        <v>2079</v>
      </c>
      <c r="D2072" s="4">
        <f>IF(B2072&gt;'Mortality Table'!$A$118,D2071,VLOOKUP(B2072,'Mortality Table'!$A$2:$B$118,2,FALSE))</f>
        <v>0.59733000000000003</v>
      </c>
      <c r="E2072" s="4">
        <f>IF(INT((C2072-1)/12)+1&gt;'Lapse Table'!$A$11,E2071,VLOOKUP(INT((C2072-1)/12)+1,'Lapse Table'!$A$2:$B$11,2,FALSE))/12</f>
        <v>0</v>
      </c>
      <c r="F2072" s="5">
        <f t="shared" si="296"/>
        <v>-76.428859865620723</v>
      </c>
      <c r="G2072" s="6">
        <f t="shared" si="290"/>
        <v>4.9777500000000002E-2</v>
      </c>
      <c r="H2072" s="6">
        <f t="shared" si="291"/>
        <v>0</v>
      </c>
      <c r="I2072" s="7">
        <f t="shared" si="292"/>
        <v>-2547.6286621873573</v>
      </c>
      <c r="J2072" s="8">
        <f t="shared" si="293"/>
        <v>49777.5</v>
      </c>
      <c r="K2072" s="7">
        <f t="shared" si="294"/>
        <v>-52325.128662187359</v>
      </c>
      <c r="L2072" s="4">
        <f>IF(A2072&gt;'Yield Curve'!A2686,L2071,(1+VLOOKUP(A2072,'Yield Curve'!A2065:B2687,2,FALSE))^(1/12)-1)</f>
        <v>7.9741404289037643E-3</v>
      </c>
      <c r="M2072" s="5">
        <f t="shared" si="295"/>
        <v>-3.9734564524904099E-3</v>
      </c>
    </row>
    <row r="2073" spans="1:13" x14ac:dyDescent="0.25">
      <c r="A2073" s="4">
        <v>2065</v>
      </c>
      <c r="B2073" s="4">
        <f t="shared" si="288"/>
        <v>217</v>
      </c>
      <c r="C2073" s="4">
        <f t="shared" si="289"/>
        <v>2080</v>
      </c>
      <c r="D2073" s="4">
        <f>IF(B2073&gt;'Mortality Table'!$A$118,D2072,VLOOKUP(B2073,'Mortality Table'!$A$2:$B$118,2,FALSE))</f>
        <v>0.59733000000000003</v>
      </c>
      <c r="E2073" s="4">
        <f>IF(INT((C2073-1)/12)+1&gt;'Lapse Table'!$A$11,E2072,VLOOKUP(INT((C2073-1)/12)+1,'Lapse Table'!$A$2:$B$11,2,FALSE))/12</f>
        <v>0</v>
      </c>
      <c r="F2073" s="5">
        <f t="shared" si="296"/>
        <v>-76.478637365620727</v>
      </c>
      <c r="G2073" s="6">
        <f t="shared" si="290"/>
        <v>4.9777500000000002E-2</v>
      </c>
      <c r="H2073" s="6">
        <f t="shared" si="291"/>
        <v>0</v>
      </c>
      <c r="I2073" s="7">
        <f t="shared" si="292"/>
        <v>-2549.2879121873575</v>
      </c>
      <c r="J2073" s="8">
        <f t="shared" si="293"/>
        <v>49777.5</v>
      </c>
      <c r="K2073" s="7">
        <f t="shared" si="294"/>
        <v>-52326.787912187356</v>
      </c>
      <c r="L2073" s="4">
        <f>IF(A2073&gt;'Yield Curve'!A2687,L2072,(1+VLOOKUP(A2073,'Yield Curve'!A2066:B2688,2,FALSE))^(1/12)-1)</f>
        <v>7.9741404289037643E-3</v>
      </c>
      <c r="M2073" s="5">
        <f t="shared" si="295"/>
        <v>-3.9421472168277962E-3</v>
      </c>
    </row>
    <row r="2074" spans="1:13" x14ac:dyDescent="0.25">
      <c r="A2074" s="4">
        <v>2066</v>
      </c>
      <c r="B2074" s="4">
        <f t="shared" si="288"/>
        <v>217</v>
      </c>
      <c r="C2074" s="4">
        <f t="shared" si="289"/>
        <v>2081</v>
      </c>
      <c r="D2074" s="4">
        <f>IF(B2074&gt;'Mortality Table'!$A$118,D2073,VLOOKUP(B2074,'Mortality Table'!$A$2:$B$118,2,FALSE))</f>
        <v>0.59733000000000003</v>
      </c>
      <c r="E2074" s="4">
        <f>IF(INT((C2074-1)/12)+1&gt;'Lapse Table'!$A$11,E2073,VLOOKUP(INT((C2074-1)/12)+1,'Lapse Table'!$A$2:$B$11,2,FALSE))/12</f>
        <v>0</v>
      </c>
      <c r="F2074" s="5">
        <f t="shared" si="296"/>
        <v>-76.528414865620732</v>
      </c>
      <c r="G2074" s="6">
        <f t="shared" si="290"/>
        <v>4.9777500000000002E-2</v>
      </c>
      <c r="H2074" s="6">
        <f t="shared" si="291"/>
        <v>0</v>
      </c>
      <c r="I2074" s="7">
        <f t="shared" si="292"/>
        <v>-2550.9471621873577</v>
      </c>
      <c r="J2074" s="8">
        <f t="shared" si="293"/>
        <v>49777.5</v>
      </c>
      <c r="K2074" s="7">
        <f t="shared" si="294"/>
        <v>-52328.44716218736</v>
      </c>
      <c r="L2074" s="4">
        <f>IF(A2074&gt;'Yield Curve'!A2688,L2073,(1+VLOOKUP(A2074,'Yield Curve'!A2067:B2689,2,FALSE))^(1/12)-1)</f>
        <v>7.9741404289037643E-3</v>
      </c>
      <c r="M2074" s="5">
        <f t="shared" si="295"/>
        <v>-3.9110846813929919E-3</v>
      </c>
    </row>
    <row r="2075" spans="1:13" x14ac:dyDescent="0.25">
      <c r="A2075" s="4">
        <v>2067</v>
      </c>
      <c r="B2075" s="4">
        <f t="shared" si="288"/>
        <v>217</v>
      </c>
      <c r="C2075" s="4">
        <f t="shared" si="289"/>
        <v>2082</v>
      </c>
      <c r="D2075" s="4">
        <f>IF(B2075&gt;'Mortality Table'!$A$118,D2074,VLOOKUP(B2075,'Mortality Table'!$A$2:$B$118,2,FALSE))</f>
        <v>0.59733000000000003</v>
      </c>
      <c r="E2075" s="4">
        <f>IF(INT((C2075-1)/12)+1&gt;'Lapse Table'!$A$11,E2074,VLOOKUP(INT((C2075-1)/12)+1,'Lapse Table'!$A$2:$B$11,2,FALSE))/12</f>
        <v>0</v>
      </c>
      <c r="F2075" s="5">
        <f t="shared" si="296"/>
        <v>-76.578192365620737</v>
      </c>
      <c r="G2075" s="6">
        <f t="shared" si="290"/>
        <v>4.9777500000000002E-2</v>
      </c>
      <c r="H2075" s="6">
        <f t="shared" si="291"/>
        <v>0</v>
      </c>
      <c r="I2075" s="7">
        <f t="shared" si="292"/>
        <v>-2552.6064121873578</v>
      </c>
      <c r="J2075" s="8">
        <f t="shared" si="293"/>
        <v>49777.5</v>
      </c>
      <c r="K2075" s="7">
        <f t="shared" si="294"/>
        <v>-52330.106412187357</v>
      </c>
      <c r="L2075" s="4">
        <f>IF(A2075&gt;'Yield Curve'!A2689,L2074,(1+VLOOKUP(A2075,'Yield Curve'!A2068:B2690,2,FALSE))^(1/12)-1)</f>
        <v>7.9741404289037643E-3</v>
      </c>
      <c r="M2075" s="5">
        <f t="shared" si="295"/>
        <v>-3.880266902349834E-3</v>
      </c>
    </row>
    <row r="2076" spans="1:13" x14ac:dyDescent="0.25">
      <c r="A2076" s="4">
        <v>2068</v>
      </c>
      <c r="B2076" s="4">
        <f t="shared" si="288"/>
        <v>217</v>
      </c>
      <c r="C2076" s="4">
        <f t="shared" si="289"/>
        <v>2083</v>
      </c>
      <c r="D2076" s="4">
        <f>IF(B2076&gt;'Mortality Table'!$A$118,D2075,VLOOKUP(B2076,'Mortality Table'!$A$2:$B$118,2,FALSE))</f>
        <v>0.59733000000000003</v>
      </c>
      <c r="E2076" s="4">
        <f>IF(INT((C2076-1)/12)+1&gt;'Lapse Table'!$A$11,E2075,VLOOKUP(INT((C2076-1)/12)+1,'Lapse Table'!$A$2:$B$11,2,FALSE))/12</f>
        <v>0</v>
      </c>
      <c r="F2076" s="5">
        <f t="shared" si="296"/>
        <v>-76.627969865620742</v>
      </c>
      <c r="G2076" s="6">
        <f t="shared" si="290"/>
        <v>4.9777500000000002E-2</v>
      </c>
      <c r="H2076" s="6">
        <f t="shared" si="291"/>
        <v>0</v>
      </c>
      <c r="I2076" s="7">
        <f t="shared" si="292"/>
        <v>-2554.265662187358</v>
      </c>
      <c r="J2076" s="8">
        <f t="shared" si="293"/>
        <v>49777.5</v>
      </c>
      <c r="K2076" s="7">
        <f t="shared" si="294"/>
        <v>-52331.765662187361</v>
      </c>
      <c r="L2076" s="4">
        <f>IF(A2076&gt;'Yield Curve'!A2690,L2075,(1+VLOOKUP(A2076,'Yield Curve'!A2069:B2691,2,FALSE))^(1/12)-1)</f>
        <v>7.9741404289037643E-3</v>
      </c>
      <c r="M2076" s="5">
        <f t="shared" si="295"/>
        <v>-3.8496919511780692E-3</v>
      </c>
    </row>
    <row r="2077" spans="1:13" x14ac:dyDescent="0.25">
      <c r="A2077" s="4">
        <v>2069</v>
      </c>
      <c r="B2077" s="4">
        <f t="shared" si="288"/>
        <v>217</v>
      </c>
      <c r="C2077" s="4">
        <f t="shared" si="289"/>
        <v>2084</v>
      </c>
      <c r="D2077" s="4">
        <f>IF(B2077&gt;'Mortality Table'!$A$118,D2076,VLOOKUP(B2077,'Mortality Table'!$A$2:$B$118,2,FALSE))</f>
        <v>0.59733000000000003</v>
      </c>
      <c r="E2077" s="4">
        <f>IF(INT((C2077-1)/12)+1&gt;'Lapse Table'!$A$11,E2076,VLOOKUP(INT((C2077-1)/12)+1,'Lapse Table'!$A$2:$B$11,2,FALSE))/12</f>
        <v>0</v>
      </c>
      <c r="F2077" s="5">
        <f t="shared" si="296"/>
        <v>-76.677747365620746</v>
      </c>
      <c r="G2077" s="6">
        <f t="shared" si="290"/>
        <v>4.9777500000000002E-2</v>
      </c>
      <c r="H2077" s="6">
        <f t="shared" si="291"/>
        <v>0</v>
      </c>
      <c r="I2077" s="7">
        <f t="shared" si="292"/>
        <v>-2555.9249121873581</v>
      </c>
      <c r="J2077" s="8">
        <f t="shared" si="293"/>
        <v>49777.5</v>
      </c>
      <c r="K2077" s="7">
        <f t="shared" si="294"/>
        <v>-52333.424912187358</v>
      </c>
      <c r="L2077" s="4">
        <f>IF(A2077&gt;'Yield Curve'!A2691,L2076,(1+VLOOKUP(A2077,'Yield Curve'!A2070:B2692,2,FALSE))^(1/12)-1)</f>
        <v>7.9741404289037643E-3</v>
      </c>
      <c r="M2077" s="5">
        <f t="shared" si="295"/>
        <v>-3.8193579145526738E-3</v>
      </c>
    </row>
    <row r="2078" spans="1:13" x14ac:dyDescent="0.25">
      <c r="A2078" s="4">
        <v>2070</v>
      </c>
      <c r="B2078" s="4">
        <f t="shared" si="288"/>
        <v>217</v>
      </c>
      <c r="C2078" s="4">
        <f t="shared" si="289"/>
        <v>2085</v>
      </c>
      <c r="D2078" s="4">
        <f>IF(B2078&gt;'Mortality Table'!$A$118,D2077,VLOOKUP(B2078,'Mortality Table'!$A$2:$B$118,2,FALSE))</f>
        <v>0.59733000000000003</v>
      </c>
      <c r="E2078" s="4">
        <f>IF(INT((C2078-1)/12)+1&gt;'Lapse Table'!$A$11,E2077,VLOOKUP(INT((C2078-1)/12)+1,'Lapse Table'!$A$2:$B$11,2,FALSE))/12</f>
        <v>0</v>
      </c>
      <c r="F2078" s="5">
        <f t="shared" si="296"/>
        <v>-76.727524865620751</v>
      </c>
      <c r="G2078" s="6">
        <f t="shared" si="290"/>
        <v>4.9777500000000002E-2</v>
      </c>
      <c r="H2078" s="6">
        <f t="shared" si="291"/>
        <v>0</v>
      </c>
      <c r="I2078" s="7">
        <f t="shared" si="292"/>
        <v>-2557.5841621873583</v>
      </c>
      <c r="J2078" s="8">
        <f t="shared" si="293"/>
        <v>49777.5</v>
      </c>
      <c r="K2078" s="7">
        <f t="shared" si="294"/>
        <v>-52335.084162187355</v>
      </c>
      <c r="L2078" s="4">
        <f>IF(A2078&gt;'Yield Curve'!A2692,L2077,(1+VLOOKUP(A2078,'Yield Curve'!A2071:B2693,2,FALSE))^(1/12)-1)</f>
        <v>7.9741404289037643E-3</v>
      </c>
      <c r="M2078" s="5">
        <f t="shared" si="295"/>
        <v>-3.7892628942241364E-3</v>
      </c>
    </row>
    <row r="2079" spans="1:13" x14ac:dyDescent="0.25">
      <c r="A2079" s="4">
        <v>2071</v>
      </c>
      <c r="B2079" s="4">
        <f t="shared" si="288"/>
        <v>217</v>
      </c>
      <c r="C2079" s="4">
        <f t="shared" si="289"/>
        <v>2086</v>
      </c>
      <c r="D2079" s="4">
        <f>IF(B2079&gt;'Mortality Table'!$A$118,D2078,VLOOKUP(B2079,'Mortality Table'!$A$2:$B$118,2,FALSE))</f>
        <v>0.59733000000000003</v>
      </c>
      <c r="E2079" s="4">
        <f>IF(INT((C2079-1)/12)+1&gt;'Lapse Table'!$A$11,E2078,VLOOKUP(INT((C2079-1)/12)+1,'Lapse Table'!$A$2:$B$11,2,FALSE))/12</f>
        <v>0</v>
      </c>
      <c r="F2079" s="5">
        <f t="shared" si="296"/>
        <v>-76.777302365620756</v>
      </c>
      <c r="G2079" s="6">
        <f t="shared" si="290"/>
        <v>4.9777500000000002E-2</v>
      </c>
      <c r="H2079" s="6">
        <f t="shared" si="291"/>
        <v>0</v>
      </c>
      <c r="I2079" s="7">
        <f t="shared" si="292"/>
        <v>-2559.2434121873584</v>
      </c>
      <c r="J2079" s="8">
        <f t="shared" si="293"/>
        <v>49777.5</v>
      </c>
      <c r="K2079" s="7">
        <f t="shared" si="294"/>
        <v>-52336.743412187359</v>
      </c>
      <c r="L2079" s="4">
        <f>IF(A2079&gt;'Yield Curve'!A2693,L2078,(1+VLOOKUP(A2079,'Yield Curve'!A2072:B2694,2,FALSE))^(1/12)-1)</f>
        <v>7.9741404289037643E-3</v>
      </c>
      <c r="M2079" s="5">
        <f t="shared" si="295"/>
        <v>-3.7594050068996653E-3</v>
      </c>
    </row>
    <row r="2080" spans="1:13" x14ac:dyDescent="0.25">
      <c r="A2080" s="4">
        <v>2072</v>
      </c>
      <c r="B2080" s="4">
        <f t="shared" si="288"/>
        <v>217</v>
      </c>
      <c r="C2080" s="4">
        <f t="shared" si="289"/>
        <v>2087</v>
      </c>
      <c r="D2080" s="4">
        <f>IF(B2080&gt;'Mortality Table'!$A$118,D2079,VLOOKUP(B2080,'Mortality Table'!$A$2:$B$118,2,FALSE))</f>
        <v>0.59733000000000003</v>
      </c>
      <c r="E2080" s="4">
        <f>IF(INT((C2080-1)/12)+1&gt;'Lapse Table'!$A$11,E2079,VLOOKUP(INT((C2080-1)/12)+1,'Lapse Table'!$A$2:$B$11,2,FALSE))/12</f>
        <v>0</v>
      </c>
      <c r="F2080" s="5">
        <f t="shared" si="296"/>
        <v>-76.82707986562076</v>
      </c>
      <c r="G2080" s="6">
        <f t="shared" si="290"/>
        <v>4.9777500000000002E-2</v>
      </c>
      <c r="H2080" s="6">
        <f t="shared" si="291"/>
        <v>0</v>
      </c>
      <c r="I2080" s="7">
        <f t="shared" si="292"/>
        <v>-2560.9026621873586</v>
      </c>
      <c r="J2080" s="8">
        <f t="shared" si="293"/>
        <v>49777.5</v>
      </c>
      <c r="K2080" s="7">
        <f t="shared" si="294"/>
        <v>-52338.402662187356</v>
      </c>
      <c r="L2080" s="4">
        <f>IF(A2080&gt;'Yield Curve'!A2694,L2079,(1+VLOOKUP(A2080,'Yield Curve'!A2073:B2695,2,FALSE))^(1/12)-1)</f>
        <v>7.9741404289037643E-3</v>
      </c>
      <c r="M2080" s="5">
        <f t="shared" si="295"/>
        <v>-3.7297823841253522E-3</v>
      </c>
    </row>
    <row r="2081" spans="1:13" x14ac:dyDescent="0.25">
      <c r="A2081" s="4">
        <v>2073</v>
      </c>
      <c r="B2081" s="4">
        <f t="shared" si="288"/>
        <v>217</v>
      </c>
      <c r="C2081" s="4">
        <f t="shared" si="289"/>
        <v>2088</v>
      </c>
      <c r="D2081" s="4">
        <f>IF(B2081&gt;'Mortality Table'!$A$118,D2080,VLOOKUP(B2081,'Mortality Table'!$A$2:$B$118,2,FALSE))</f>
        <v>0.59733000000000003</v>
      </c>
      <c r="E2081" s="4">
        <f>IF(INT((C2081-1)/12)+1&gt;'Lapse Table'!$A$11,E2080,VLOOKUP(INT((C2081-1)/12)+1,'Lapse Table'!$A$2:$B$11,2,FALSE))/12</f>
        <v>0</v>
      </c>
      <c r="F2081" s="5">
        <f t="shared" si="296"/>
        <v>-76.876857365620765</v>
      </c>
      <c r="G2081" s="6">
        <f t="shared" si="290"/>
        <v>4.9777500000000002E-2</v>
      </c>
      <c r="H2081" s="6">
        <f t="shared" si="291"/>
        <v>0</v>
      </c>
      <c r="I2081" s="7">
        <f t="shared" si="292"/>
        <v>-2562.5619121873588</v>
      </c>
      <c r="J2081" s="8">
        <f t="shared" si="293"/>
        <v>49777.5</v>
      </c>
      <c r="K2081" s="7">
        <f t="shared" si="294"/>
        <v>-52340.061912187361</v>
      </c>
      <c r="L2081" s="4">
        <f>IF(A2081&gt;'Yield Curve'!A2695,L2080,(1+VLOOKUP(A2081,'Yield Curve'!A2074:B2696,2,FALSE))^(1/12)-1)</f>
        <v>7.9741404289037643E-3</v>
      </c>
      <c r="M2081" s="5">
        <f t="shared" si="295"/>
        <v>-3.7003931721692552E-3</v>
      </c>
    </row>
    <row r="2082" spans="1:13" x14ac:dyDescent="0.25">
      <c r="A2082" s="4">
        <v>2074</v>
      </c>
      <c r="B2082" s="4">
        <f t="shared" si="288"/>
        <v>217</v>
      </c>
      <c r="C2082" s="4">
        <f t="shared" si="289"/>
        <v>2089</v>
      </c>
      <c r="D2082" s="4">
        <f>IF(B2082&gt;'Mortality Table'!$A$118,D2081,VLOOKUP(B2082,'Mortality Table'!$A$2:$B$118,2,FALSE))</f>
        <v>0.59733000000000003</v>
      </c>
      <c r="E2082" s="4">
        <f>IF(INT((C2082-1)/12)+1&gt;'Lapse Table'!$A$11,E2081,VLOOKUP(INT((C2082-1)/12)+1,'Lapse Table'!$A$2:$B$11,2,FALSE))/12</f>
        <v>0</v>
      </c>
      <c r="F2082" s="5">
        <f t="shared" si="296"/>
        <v>-76.92663486562077</v>
      </c>
      <c r="G2082" s="6">
        <f t="shared" si="290"/>
        <v>4.9777500000000002E-2</v>
      </c>
      <c r="H2082" s="6">
        <f t="shared" si="291"/>
        <v>0</v>
      </c>
      <c r="I2082" s="7">
        <f t="shared" si="292"/>
        <v>-2564.2211621873589</v>
      </c>
      <c r="J2082" s="8">
        <f t="shared" si="293"/>
        <v>49777.5</v>
      </c>
      <c r="K2082" s="7">
        <f t="shared" si="294"/>
        <v>-52341.721162187358</v>
      </c>
      <c r="L2082" s="4">
        <f>IF(A2082&gt;'Yield Curve'!A2696,L2081,(1+VLOOKUP(A2082,'Yield Curve'!A2075:B2697,2,FALSE))^(1/12)-1)</f>
        <v>7.9741404289037643E-3</v>
      </c>
      <c r="M2082" s="5">
        <f t="shared" si="295"/>
        <v>-3.6712355319053957E-3</v>
      </c>
    </row>
    <row r="2083" spans="1:13" x14ac:dyDescent="0.25">
      <c r="A2083" s="4">
        <v>2075</v>
      </c>
      <c r="B2083" s="4">
        <f t="shared" si="288"/>
        <v>217</v>
      </c>
      <c r="C2083" s="4">
        <f t="shared" si="289"/>
        <v>2090</v>
      </c>
      <c r="D2083" s="4">
        <f>IF(B2083&gt;'Mortality Table'!$A$118,D2082,VLOOKUP(B2083,'Mortality Table'!$A$2:$B$118,2,FALSE))</f>
        <v>0.59733000000000003</v>
      </c>
      <c r="E2083" s="4">
        <f>IF(INT((C2083-1)/12)+1&gt;'Lapse Table'!$A$11,E2082,VLOOKUP(INT((C2083-1)/12)+1,'Lapse Table'!$A$2:$B$11,2,FALSE))/12</f>
        <v>0</v>
      </c>
      <c r="F2083" s="5">
        <f t="shared" si="296"/>
        <v>-76.976412365620774</v>
      </c>
      <c r="G2083" s="6">
        <f t="shared" si="290"/>
        <v>4.9777500000000002E-2</v>
      </c>
      <c r="H2083" s="6">
        <f t="shared" si="291"/>
        <v>0</v>
      </c>
      <c r="I2083" s="7">
        <f t="shared" si="292"/>
        <v>-2565.8804121873591</v>
      </c>
      <c r="J2083" s="8">
        <f t="shared" si="293"/>
        <v>49777.5</v>
      </c>
      <c r="K2083" s="7">
        <f t="shared" si="294"/>
        <v>-52343.380412187362</v>
      </c>
      <c r="L2083" s="4">
        <f>IF(A2083&gt;'Yield Curve'!A2697,L2082,(1+VLOOKUP(A2083,'Yield Curve'!A2076:B2698,2,FALSE))^(1/12)-1)</f>
        <v>7.9741404289037643E-3</v>
      </c>
      <c r="M2083" s="5">
        <f t="shared" si="295"/>
        <v>-3.6423076386986838E-3</v>
      </c>
    </row>
    <row r="2084" spans="1:13" x14ac:dyDescent="0.25">
      <c r="A2084" s="4">
        <v>2076</v>
      </c>
      <c r="B2084" s="4">
        <f t="shared" si="288"/>
        <v>218</v>
      </c>
      <c r="C2084" s="4">
        <f t="shared" si="289"/>
        <v>2091</v>
      </c>
      <c r="D2084" s="4">
        <f>IF(B2084&gt;'Mortality Table'!$A$118,D2083,VLOOKUP(B2084,'Mortality Table'!$A$2:$B$118,2,FALSE))</f>
        <v>0.59733000000000003</v>
      </c>
      <c r="E2084" s="4">
        <f>IF(INT((C2084-1)/12)+1&gt;'Lapse Table'!$A$11,E2083,VLOOKUP(INT((C2084-1)/12)+1,'Lapse Table'!$A$2:$B$11,2,FALSE))/12</f>
        <v>0</v>
      </c>
      <c r="F2084" s="5">
        <f t="shared" si="296"/>
        <v>-77.026189865620779</v>
      </c>
      <c r="G2084" s="6">
        <f t="shared" si="290"/>
        <v>4.9777500000000002E-2</v>
      </c>
      <c r="H2084" s="6">
        <f t="shared" si="291"/>
        <v>0</v>
      </c>
      <c r="I2084" s="7">
        <f t="shared" si="292"/>
        <v>-2567.5396621873592</v>
      </c>
      <c r="J2084" s="8">
        <f t="shared" si="293"/>
        <v>49777.5</v>
      </c>
      <c r="K2084" s="7">
        <f t="shared" si="294"/>
        <v>-52345.039662187359</v>
      </c>
      <c r="L2084" s="4">
        <f>IF(A2084&gt;'Yield Curve'!A2698,L2083,(1+VLOOKUP(A2084,'Yield Curve'!A2077:B2699,2,FALSE))^(1/12)-1)</f>
        <v>7.9741404289037643E-3</v>
      </c>
      <c r="M2084" s="5">
        <f t="shared" si="295"/>
        <v>-3.6136076822907382E-3</v>
      </c>
    </row>
    <row r="2085" spans="1:13" x14ac:dyDescent="0.25">
      <c r="A2085" s="4">
        <v>2077</v>
      </c>
      <c r="B2085" s="4">
        <f t="shared" si="288"/>
        <v>218</v>
      </c>
      <c r="C2085" s="4">
        <f t="shared" si="289"/>
        <v>2092</v>
      </c>
      <c r="D2085" s="4">
        <f>IF(B2085&gt;'Mortality Table'!$A$118,D2084,VLOOKUP(B2085,'Mortality Table'!$A$2:$B$118,2,FALSE))</f>
        <v>0.59733000000000003</v>
      </c>
      <c r="E2085" s="4">
        <f>IF(INT((C2085-1)/12)+1&gt;'Lapse Table'!$A$11,E2084,VLOOKUP(INT((C2085-1)/12)+1,'Lapse Table'!$A$2:$B$11,2,FALSE))/12</f>
        <v>0</v>
      </c>
      <c r="F2085" s="5">
        <f t="shared" si="296"/>
        <v>-77.075967365620784</v>
      </c>
      <c r="G2085" s="6">
        <f t="shared" si="290"/>
        <v>4.9777500000000002E-2</v>
      </c>
      <c r="H2085" s="6">
        <f t="shared" si="291"/>
        <v>0</v>
      </c>
      <c r="I2085" s="7">
        <f t="shared" si="292"/>
        <v>-2569.1989121873594</v>
      </c>
      <c r="J2085" s="8">
        <f t="shared" si="293"/>
        <v>49777.5</v>
      </c>
      <c r="K2085" s="7">
        <f t="shared" si="294"/>
        <v>-52346.698912187363</v>
      </c>
      <c r="L2085" s="4">
        <f>IF(A2085&gt;'Yield Curve'!A2699,L2084,(1+VLOOKUP(A2085,'Yield Curve'!A2078:B2700,2,FALSE))^(1/12)-1)</f>
        <v>7.9741404289037643E-3</v>
      </c>
      <c r="M2085" s="5">
        <f t="shared" si="295"/>
        <v>-3.5851338666866191E-3</v>
      </c>
    </row>
    <row r="2086" spans="1:13" x14ac:dyDescent="0.25">
      <c r="A2086" s="4">
        <v>2078</v>
      </c>
      <c r="B2086" s="4">
        <f t="shared" si="288"/>
        <v>218</v>
      </c>
      <c r="C2086" s="4">
        <f t="shared" si="289"/>
        <v>2093</v>
      </c>
      <c r="D2086" s="4">
        <f>IF(B2086&gt;'Mortality Table'!$A$118,D2085,VLOOKUP(B2086,'Mortality Table'!$A$2:$B$118,2,FALSE))</f>
        <v>0.59733000000000003</v>
      </c>
      <c r="E2086" s="4">
        <f>IF(INT((C2086-1)/12)+1&gt;'Lapse Table'!$A$11,E2085,VLOOKUP(INT((C2086-1)/12)+1,'Lapse Table'!$A$2:$B$11,2,FALSE))/12</f>
        <v>0</v>
      </c>
      <c r="F2086" s="5">
        <f t="shared" si="296"/>
        <v>-77.125744865620788</v>
      </c>
      <c r="G2086" s="6">
        <f t="shared" si="290"/>
        <v>4.9777500000000002E-2</v>
      </c>
      <c r="H2086" s="6">
        <f t="shared" si="291"/>
        <v>0</v>
      </c>
      <c r="I2086" s="7">
        <f t="shared" si="292"/>
        <v>-2570.8581621873595</v>
      </c>
      <c r="J2086" s="8">
        <f t="shared" si="293"/>
        <v>49777.5</v>
      </c>
      <c r="K2086" s="7">
        <f t="shared" si="294"/>
        <v>-52348.35816218736</v>
      </c>
      <c r="L2086" s="4">
        <f>IF(A2086&gt;'Yield Curve'!A2700,L2085,(1+VLOOKUP(A2086,'Yield Curve'!A2079:B2701,2,FALSE))^(1/12)-1)</f>
        <v>7.9741404289037643E-3</v>
      </c>
      <c r="M2086" s="5">
        <f t="shared" si="295"/>
        <v>-3.5568844100424325E-3</v>
      </c>
    </row>
    <row r="2087" spans="1:13" x14ac:dyDescent="0.25">
      <c r="A2087" s="4">
        <v>2079</v>
      </c>
      <c r="B2087" s="4">
        <f t="shared" si="288"/>
        <v>218</v>
      </c>
      <c r="C2087" s="4">
        <f t="shared" si="289"/>
        <v>2094</v>
      </c>
      <c r="D2087" s="4">
        <f>IF(B2087&gt;'Mortality Table'!$A$118,D2086,VLOOKUP(B2087,'Mortality Table'!$A$2:$B$118,2,FALSE))</f>
        <v>0.59733000000000003</v>
      </c>
      <c r="E2087" s="4">
        <f>IF(INT((C2087-1)/12)+1&gt;'Lapse Table'!$A$11,E2086,VLOOKUP(INT((C2087-1)/12)+1,'Lapse Table'!$A$2:$B$11,2,FALSE))/12</f>
        <v>0</v>
      </c>
      <c r="F2087" s="5">
        <f t="shared" si="296"/>
        <v>-77.175522365620793</v>
      </c>
      <c r="G2087" s="6">
        <f t="shared" si="290"/>
        <v>4.9777500000000002E-2</v>
      </c>
      <c r="H2087" s="6">
        <f t="shared" si="291"/>
        <v>0</v>
      </c>
      <c r="I2087" s="7">
        <f t="shared" si="292"/>
        <v>-2572.5174121873597</v>
      </c>
      <c r="J2087" s="8">
        <f t="shared" si="293"/>
        <v>49777.5</v>
      </c>
      <c r="K2087" s="7">
        <f t="shared" si="294"/>
        <v>-52350.017412187357</v>
      </c>
      <c r="L2087" s="4">
        <f>IF(A2087&gt;'Yield Curve'!A2701,L2086,(1+VLOOKUP(A2087,'Yield Curve'!A2080:B2702,2,FALSE))^(1/12)-1)</f>
        <v>7.9741404289037643E-3</v>
      </c>
      <c r="M2087" s="5">
        <f t="shared" si="295"/>
        <v>-3.5288575445538433E-3</v>
      </c>
    </row>
    <row r="2088" spans="1:13" x14ac:dyDescent="0.25">
      <c r="A2088" s="4">
        <v>2080</v>
      </c>
      <c r="B2088" s="4">
        <f t="shared" si="288"/>
        <v>218</v>
      </c>
      <c r="C2088" s="4">
        <f t="shared" si="289"/>
        <v>2095</v>
      </c>
      <c r="D2088" s="4">
        <f>IF(B2088&gt;'Mortality Table'!$A$118,D2087,VLOOKUP(B2088,'Mortality Table'!$A$2:$B$118,2,FALSE))</f>
        <v>0.59733000000000003</v>
      </c>
      <c r="E2088" s="4">
        <f>IF(INT((C2088-1)/12)+1&gt;'Lapse Table'!$A$11,E2087,VLOOKUP(INT((C2088-1)/12)+1,'Lapse Table'!$A$2:$B$11,2,FALSE))/12</f>
        <v>0</v>
      </c>
      <c r="F2088" s="5">
        <f t="shared" si="296"/>
        <v>-77.225299865620798</v>
      </c>
      <c r="G2088" s="6">
        <f t="shared" si="290"/>
        <v>4.9777500000000002E-2</v>
      </c>
      <c r="H2088" s="6">
        <f t="shared" si="291"/>
        <v>0</v>
      </c>
      <c r="I2088" s="7">
        <f t="shared" si="292"/>
        <v>-2574.1766621873599</v>
      </c>
      <c r="J2088" s="8">
        <f t="shared" si="293"/>
        <v>49777.5</v>
      </c>
      <c r="K2088" s="7">
        <f t="shared" si="294"/>
        <v>-52351.676662187361</v>
      </c>
      <c r="L2088" s="4">
        <f>IF(A2088&gt;'Yield Curve'!A2702,L2087,(1+VLOOKUP(A2088,'Yield Curve'!A2081:B2703,2,FALSE))^(1/12)-1)</f>
        <v>7.9741404289037643E-3</v>
      </c>
      <c r="M2088" s="5">
        <f t="shared" si="295"/>
        <v>-3.5010515163454493E-3</v>
      </c>
    </row>
    <row r="2089" spans="1:13" x14ac:dyDescent="0.25">
      <c r="A2089" s="4">
        <v>2081</v>
      </c>
      <c r="B2089" s="4">
        <f t="shared" si="288"/>
        <v>218</v>
      </c>
      <c r="C2089" s="4">
        <f t="shared" si="289"/>
        <v>2096</v>
      </c>
      <c r="D2089" s="4">
        <f>IF(B2089&gt;'Mortality Table'!$A$118,D2088,VLOOKUP(B2089,'Mortality Table'!$A$2:$B$118,2,FALSE))</f>
        <v>0.59733000000000003</v>
      </c>
      <c r="E2089" s="4">
        <f>IF(INT((C2089-1)/12)+1&gt;'Lapse Table'!$A$11,E2088,VLOOKUP(INT((C2089-1)/12)+1,'Lapse Table'!$A$2:$B$11,2,FALSE))/12</f>
        <v>0</v>
      </c>
      <c r="F2089" s="5">
        <f t="shared" si="296"/>
        <v>-77.275077365620803</v>
      </c>
      <c r="G2089" s="6">
        <f t="shared" si="290"/>
        <v>4.9777500000000002E-2</v>
      </c>
      <c r="H2089" s="6">
        <f t="shared" si="291"/>
        <v>0</v>
      </c>
      <c r="I2089" s="7">
        <f t="shared" si="292"/>
        <v>-2575.83591218736</v>
      </c>
      <c r="J2089" s="8">
        <f t="shared" si="293"/>
        <v>49777.5</v>
      </c>
      <c r="K2089" s="7">
        <f t="shared" si="294"/>
        <v>-52353.335912187358</v>
      </c>
      <c r="L2089" s="4">
        <f>IF(A2089&gt;'Yield Curve'!A2703,L2088,(1+VLOOKUP(A2089,'Yield Curve'!A2082:B2704,2,FALSE))^(1/12)-1)</f>
        <v>7.9741404289037643E-3</v>
      </c>
      <c r="M2089" s="5">
        <f t="shared" si="295"/>
        <v>-3.4734645853610412E-3</v>
      </c>
    </row>
    <row r="2090" spans="1:13" x14ac:dyDescent="0.25">
      <c r="A2090" s="4">
        <v>2082</v>
      </c>
      <c r="B2090" s="4">
        <f t="shared" si="288"/>
        <v>218</v>
      </c>
      <c r="C2090" s="4">
        <f t="shared" si="289"/>
        <v>2097</v>
      </c>
      <c r="D2090" s="4">
        <f>IF(B2090&gt;'Mortality Table'!$A$118,D2089,VLOOKUP(B2090,'Mortality Table'!$A$2:$B$118,2,FALSE))</f>
        <v>0.59733000000000003</v>
      </c>
      <c r="E2090" s="4">
        <f>IF(INT((C2090-1)/12)+1&gt;'Lapse Table'!$A$11,E2089,VLOOKUP(INT((C2090-1)/12)+1,'Lapse Table'!$A$2:$B$11,2,FALSE))/12</f>
        <v>0</v>
      </c>
      <c r="F2090" s="5">
        <f t="shared" si="296"/>
        <v>-77.324854865620807</v>
      </c>
      <c r="G2090" s="6">
        <f t="shared" si="290"/>
        <v>4.9777500000000002E-2</v>
      </c>
      <c r="H2090" s="6">
        <f t="shared" si="291"/>
        <v>0</v>
      </c>
      <c r="I2090" s="7">
        <f t="shared" si="292"/>
        <v>-2577.4951621873602</v>
      </c>
      <c r="J2090" s="8">
        <f t="shared" si="293"/>
        <v>49777.5</v>
      </c>
      <c r="K2090" s="7">
        <f t="shared" si="294"/>
        <v>-52354.995162187362</v>
      </c>
      <c r="L2090" s="4">
        <f>IF(A2090&gt;'Yield Curve'!A2704,L2089,(1+VLOOKUP(A2090,'Yield Curve'!A2083:B2705,2,FALSE))^(1/12)-1)</f>
        <v>7.9741404289037643E-3</v>
      </c>
      <c r="M2090" s="5">
        <f t="shared" si="295"/>
        <v>-3.4460950252547134E-3</v>
      </c>
    </row>
    <row r="2091" spans="1:13" x14ac:dyDescent="0.25">
      <c r="A2091" s="4">
        <v>2083</v>
      </c>
      <c r="B2091" s="4">
        <f t="shared" si="288"/>
        <v>218</v>
      </c>
      <c r="C2091" s="4">
        <f t="shared" si="289"/>
        <v>2098</v>
      </c>
      <c r="D2091" s="4">
        <f>IF(B2091&gt;'Mortality Table'!$A$118,D2090,VLOOKUP(B2091,'Mortality Table'!$A$2:$B$118,2,FALSE))</f>
        <v>0.59733000000000003</v>
      </c>
      <c r="E2091" s="4">
        <f>IF(INT((C2091-1)/12)+1&gt;'Lapse Table'!$A$11,E2090,VLOOKUP(INT((C2091-1)/12)+1,'Lapse Table'!$A$2:$B$11,2,FALSE))/12</f>
        <v>0</v>
      </c>
      <c r="F2091" s="5">
        <f t="shared" si="296"/>
        <v>-77.374632365620812</v>
      </c>
      <c r="G2091" s="6">
        <f t="shared" si="290"/>
        <v>4.9777500000000002E-2</v>
      </c>
      <c r="H2091" s="6">
        <f t="shared" si="291"/>
        <v>0</v>
      </c>
      <c r="I2091" s="7">
        <f t="shared" si="292"/>
        <v>-2579.1544121873603</v>
      </c>
      <c r="J2091" s="8">
        <f t="shared" si="293"/>
        <v>49777.5</v>
      </c>
      <c r="K2091" s="7">
        <f t="shared" si="294"/>
        <v>-52356.654412187359</v>
      </c>
      <c r="L2091" s="4">
        <f>IF(A2091&gt;'Yield Curve'!A2705,L2090,(1+VLOOKUP(A2091,'Yield Curve'!A2084:B2706,2,FALSE))^(1/12)-1)</f>
        <v>7.9741404289037643E-3</v>
      </c>
      <c r="M2091" s="5">
        <f t="shared" si="295"/>
        <v>-3.4189411232828392E-3</v>
      </c>
    </row>
    <row r="2092" spans="1:13" x14ac:dyDescent="0.25">
      <c r="A2092" s="4">
        <v>2084</v>
      </c>
      <c r="B2092" s="4">
        <f t="shared" si="288"/>
        <v>218</v>
      </c>
      <c r="C2092" s="4">
        <f t="shared" si="289"/>
        <v>2099</v>
      </c>
      <c r="D2092" s="4">
        <f>IF(B2092&gt;'Mortality Table'!$A$118,D2091,VLOOKUP(B2092,'Mortality Table'!$A$2:$B$118,2,FALSE))</f>
        <v>0.59733000000000003</v>
      </c>
      <c r="E2092" s="4">
        <f>IF(INT((C2092-1)/12)+1&gt;'Lapse Table'!$A$11,E2091,VLOOKUP(INT((C2092-1)/12)+1,'Lapse Table'!$A$2:$B$11,2,FALSE))/12</f>
        <v>0</v>
      </c>
      <c r="F2092" s="5">
        <f t="shared" si="296"/>
        <v>-77.424409865620817</v>
      </c>
      <c r="G2092" s="6">
        <f t="shared" si="290"/>
        <v>4.9777500000000002E-2</v>
      </c>
      <c r="H2092" s="6">
        <f t="shared" si="291"/>
        <v>0</v>
      </c>
      <c r="I2092" s="7">
        <f t="shared" si="292"/>
        <v>-2580.8136621873605</v>
      </c>
      <c r="J2092" s="8">
        <f t="shared" si="293"/>
        <v>49777.5</v>
      </c>
      <c r="K2092" s="7">
        <f t="shared" si="294"/>
        <v>-52358.313662187364</v>
      </c>
      <c r="L2092" s="4">
        <f>IF(A2092&gt;'Yield Curve'!A2706,L2091,(1+VLOOKUP(A2092,'Yield Curve'!A2085:B2707,2,FALSE))^(1/12)-1)</f>
        <v>7.9741404289037643E-3</v>
      </c>
      <c r="M2092" s="5">
        <f t="shared" si="295"/>
        <v>-3.3920011801969012E-3</v>
      </c>
    </row>
    <row r="2093" spans="1:13" x14ac:dyDescent="0.25">
      <c r="A2093" s="4">
        <v>2085</v>
      </c>
      <c r="B2093" s="4">
        <f t="shared" si="288"/>
        <v>218</v>
      </c>
      <c r="C2093" s="4">
        <f t="shared" si="289"/>
        <v>2100</v>
      </c>
      <c r="D2093" s="4">
        <f>IF(B2093&gt;'Mortality Table'!$A$118,D2092,VLOOKUP(B2093,'Mortality Table'!$A$2:$B$118,2,FALSE))</f>
        <v>0.59733000000000003</v>
      </c>
      <c r="E2093" s="4">
        <f>IF(INT((C2093-1)/12)+1&gt;'Lapse Table'!$A$11,E2092,VLOOKUP(INT((C2093-1)/12)+1,'Lapse Table'!$A$2:$B$11,2,FALSE))/12</f>
        <v>0</v>
      </c>
      <c r="F2093" s="5">
        <f t="shared" si="296"/>
        <v>-77.474187365620821</v>
      </c>
      <c r="G2093" s="6">
        <f t="shared" si="290"/>
        <v>4.9777500000000002E-2</v>
      </c>
      <c r="H2093" s="6">
        <f t="shared" si="291"/>
        <v>0</v>
      </c>
      <c r="I2093" s="7">
        <f t="shared" si="292"/>
        <v>-2582.4729121873606</v>
      </c>
      <c r="J2093" s="8">
        <f t="shared" si="293"/>
        <v>49777.5</v>
      </c>
      <c r="K2093" s="7">
        <f t="shared" si="294"/>
        <v>-52359.972912187361</v>
      </c>
      <c r="L2093" s="4">
        <f>IF(A2093&gt;'Yield Curve'!A2707,L2092,(1+VLOOKUP(A2093,'Yield Curve'!A2086:B2708,2,FALSE))^(1/12)-1)</f>
        <v>7.9741404289037643E-3</v>
      </c>
      <c r="M2093" s="5">
        <f t="shared" si="295"/>
        <v>-3.3652735101371576E-3</v>
      </c>
    </row>
    <row r="2094" spans="1:13" x14ac:dyDescent="0.25">
      <c r="A2094" s="4">
        <v>2086</v>
      </c>
      <c r="B2094" s="4">
        <f t="shared" si="288"/>
        <v>218</v>
      </c>
      <c r="C2094" s="4">
        <f t="shared" si="289"/>
        <v>2101</v>
      </c>
      <c r="D2094" s="4">
        <f>IF(B2094&gt;'Mortality Table'!$A$118,D2093,VLOOKUP(B2094,'Mortality Table'!$A$2:$B$118,2,FALSE))</f>
        <v>0.59733000000000003</v>
      </c>
      <c r="E2094" s="4">
        <f>IF(INT((C2094-1)/12)+1&gt;'Lapse Table'!$A$11,E2093,VLOOKUP(INT((C2094-1)/12)+1,'Lapse Table'!$A$2:$B$11,2,FALSE))/12</f>
        <v>0</v>
      </c>
      <c r="F2094" s="5">
        <f t="shared" si="296"/>
        <v>-77.523964865620826</v>
      </c>
      <c r="G2094" s="6">
        <f t="shared" si="290"/>
        <v>4.9777500000000002E-2</v>
      </c>
      <c r="H2094" s="6">
        <f t="shared" si="291"/>
        <v>0</v>
      </c>
      <c r="I2094" s="7">
        <f t="shared" si="292"/>
        <v>-2584.1321621873608</v>
      </c>
      <c r="J2094" s="8">
        <f t="shared" si="293"/>
        <v>49777.5</v>
      </c>
      <c r="K2094" s="7">
        <f t="shared" si="294"/>
        <v>-52361.632162187358</v>
      </c>
      <c r="L2094" s="4">
        <f>IF(A2094&gt;'Yield Curve'!A2708,L2093,(1+VLOOKUP(A2094,'Yield Curve'!A2087:B2709,2,FALSE))^(1/12)-1)</f>
        <v>7.9741404289037643E-3</v>
      </c>
      <c r="M2094" s="5">
        <f t="shared" si="295"/>
        <v>-3.3387564405271556E-3</v>
      </c>
    </row>
    <row r="2095" spans="1:13" x14ac:dyDescent="0.25">
      <c r="A2095" s="4">
        <v>2087</v>
      </c>
      <c r="B2095" s="4">
        <f t="shared" si="288"/>
        <v>218</v>
      </c>
      <c r="C2095" s="4">
        <f t="shared" si="289"/>
        <v>2102</v>
      </c>
      <c r="D2095" s="4">
        <f>IF(B2095&gt;'Mortality Table'!$A$118,D2094,VLOOKUP(B2095,'Mortality Table'!$A$2:$B$118,2,FALSE))</f>
        <v>0.59733000000000003</v>
      </c>
      <c r="E2095" s="4">
        <f>IF(INT((C2095-1)/12)+1&gt;'Lapse Table'!$A$11,E2094,VLOOKUP(INT((C2095-1)/12)+1,'Lapse Table'!$A$2:$B$11,2,FALSE))/12</f>
        <v>0</v>
      </c>
      <c r="F2095" s="5">
        <f t="shared" si="296"/>
        <v>-77.573742365620831</v>
      </c>
      <c r="G2095" s="6">
        <f t="shared" si="290"/>
        <v>4.9777500000000002E-2</v>
      </c>
      <c r="H2095" s="6">
        <f t="shared" si="291"/>
        <v>0</v>
      </c>
      <c r="I2095" s="7">
        <f t="shared" si="292"/>
        <v>-2585.7914121873609</v>
      </c>
      <c r="J2095" s="8">
        <f t="shared" si="293"/>
        <v>49777.5</v>
      </c>
      <c r="K2095" s="7">
        <f t="shared" si="294"/>
        <v>-52363.291412187362</v>
      </c>
      <c r="L2095" s="4">
        <f>IF(A2095&gt;'Yield Curve'!A2709,L2094,(1+VLOOKUP(A2095,'Yield Curve'!A2088:B2710,2,FALSE))^(1/12)-1)</f>
        <v>7.9741404289037643E-3</v>
      </c>
      <c r="M2095" s="5">
        <f t="shared" si="295"/>
        <v>-3.3124483119690664E-3</v>
      </c>
    </row>
    <row r="2096" spans="1:13" x14ac:dyDescent="0.25">
      <c r="A2096" s="4">
        <v>2088</v>
      </c>
      <c r="B2096" s="4">
        <f t="shared" si="288"/>
        <v>219</v>
      </c>
      <c r="C2096" s="4">
        <f t="shared" si="289"/>
        <v>2103</v>
      </c>
      <c r="D2096" s="4">
        <f>IF(B2096&gt;'Mortality Table'!$A$118,D2095,VLOOKUP(B2096,'Mortality Table'!$A$2:$B$118,2,FALSE))</f>
        <v>0.59733000000000003</v>
      </c>
      <c r="E2096" s="4">
        <f>IF(INT((C2096-1)/12)+1&gt;'Lapse Table'!$A$11,E2095,VLOOKUP(INT((C2096-1)/12)+1,'Lapse Table'!$A$2:$B$11,2,FALSE))/12</f>
        <v>0</v>
      </c>
      <c r="F2096" s="5">
        <f t="shared" si="296"/>
        <v>-77.623519865620835</v>
      </c>
      <c r="G2096" s="6">
        <f t="shared" si="290"/>
        <v>4.9777500000000002E-2</v>
      </c>
      <c r="H2096" s="6">
        <f t="shared" si="291"/>
        <v>0</v>
      </c>
      <c r="I2096" s="7">
        <f t="shared" si="292"/>
        <v>-2587.4506621873611</v>
      </c>
      <c r="J2096" s="8">
        <f t="shared" si="293"/>
        <v>49777.5</v>
      </c>
      <c r="K2096" s="7">
        <f t="shared" si="294"/>
        <v>-52364.950662187359</v>
      </c>
      <c r="L2096" s="4">
        <f>IF(A2096&gt;'Yield Curve'!A2710,L2095,(1+VLOOKUP(A2096,'Yield Curve'!A2089:B2711,2,FALSE))^(1/12)-1)</f>
        <v>7.9741404289037643E-3</v>
      </c>
      <c r="M2096" s="5">
        <f t="shared" si="295"/>
        <v>-3.286347478139847E-3</v>
      </c>
    </row>
    <row r="2097" spans="1:13" x14ac:dyDescent="0.25">
      <c r="A2097" s="4">
        <v>2089</v>
      </c>
      <c r="B2097" s="4">
        <f t="shared" si="288"/>
        <v>219</v>
      </c>
      <c r="C2097" s="4">
        <f t="shared" si="289"/>
        <v>2104</v>
      </c>
      <c r="D2097" s="4">
        <f>IF(B2097&gt;'Mortality Table'!$A$118,D2096,VLOOKUP(B2097,'Mortality Table'!$A$2:$B$118,2,FALSE))</f>
        <v>0.59733000000000003</v>
      </c>
      <c r="E2097" s="4">
        <f>IF(INT((C2097-1)/12)+1&gt;'Lapse Table'!$A$11,E2096,VLOOKUP(INT((C2097-1)/12)+1,'Lapse Table'!$A$2:$B$11,2,FALSE))/12</f>
        <v>0</v>
      </c>
      <c r="F2097" s="5">
        <f t="shared" si="296"/>
        <v>-77.67329736562084</v>
      </c>
      <c r="G2097" s="6">
        <f t="shared" si="290"/>
        <v>4.9777500000000002E-2</v>
      </c>
      <c r="H2097" s="6">
        <f t="shared" si="291"/>
        <v>0</v>
      </c>
      <c r="I2097" s="7">
        <f t="shared" si="292"/>
        <v>-2589.1099121873613</v>
      </c>
      <c r="J2097" s="8">
        <f t="shared" si="293"/>
        <v>49777.5</v>
      </c>
      <c r="K2097" s="7">
        <f t="shared" si="294"/>
        <v>-52366.609912187363</v>
      </c>
      <c r="L2097" s="4">
        <f>IF(A2097&gt;'Yield Curve'!A2711,L2096,(1+VLOOKUP(A2097,'Yield Curve'!A2090:B2712,2,FALSE))^(1/12)-1)</f>
        <v>7.9741404289037643E-3</v>
      </c>
      <c r="M2097" s="5">
        <f t="shared" si="295"/>
        <v>-3.2604523056882352E-3</v>
      </c>
    </row>
    <row r="2098" spans="1:13" x14ac:dyDescent="0.25">
      <c r="A2098" s="4">
        <v>2090</v>
      </c>
      <c r="B2098" s="4">
        <f t="shared" si="288"/>
        <v>219</v>
      </c>
      <c r="C2098" s="4">
        <f t="shared" si="289"/>
        <v>2105</v>
      </c>
      <c r="D2098" s="4">
        <f>IF(B2098&gt;'Mortality Table'!$A$118,D2097,VLOOKUP(B2098,'Mortality Table'!$A$2:$B$118,2,FALSE))</f>
        <v>0.59733000000000003</v>
      </c>
      <c r="E2098" s="4">
        <f>IF(INT((C2098-1)/12)+1&gt;'Lapse Table'!$A$11,E2097,VLOOKUP(INT((C2098-1)/12)+1,'Lapse Table'!$A$2:$B$11,2,FALSE))/12</f>
        <v>0</v>
      </c>
      <c r="F2098" s="5">
        <f t="shared" si="296"/>
        <v>-77.723074865620845</v>
      </c>
      <c r="G2098" s="6">
        <f t="shared" si="290"/>
        <v>4.9777500000000002E-2</v>
      </c>
      <c r="H2098" s="6">
        <f t="shared" si="291"/>
        <v>0</v>
      </c>
      <c r="I2098" s="7">
        <f t="shared" si="292"/>
        <v>-2590.7691621873614</v>
      </c>
      <c r="J2098" s="8">
        <f t="shared" si="293"/>
        <v>49777.5</v>
      </c>
      <c r="K2098" s="7">
        <f t="shared" si="294"/>
        <v>-52368.26916218736</v>
      </c>
      <c r="L2098" s="4">
        <f>IF(A2098&gt;'Yield Curve'!A2712,L2097,(1+VLOOKUP(A2098,'Yield Curve'!A2091:B2713,2,FALSE))^(1/12)-1)</f>
        <v>7.9741404289037643E-3</v>
      </c>
      <c r="M2098" s="5">
        <f t="shared" si="295"/>
        <v>-3.2347611741325279E-3</v>
      </c>
    </row>
    <row r="2099" spans="1:13" x14ac:dyDescent="0.25">
      <c r="A2099" s="4">
        <v>2091</v>
      </c>
      <c r="B2099" s="4">
        <f t="shared" si="288"/>
        <v>219</v>
      </c>
      <c r="C2099" s="4">
        <f t="shared" si="289"/>
        <v>2106</v>
      </c>
      <c r="D2099" s="4">
        <f>IF(B2099&gt;'Mortality Table'!$A$118,D2098,VLOOKUP(B2099,'Mortality Table'!$A$2:$B$118,2,FALSE))</f>
        <v>0.59733000000000003</v>
      </c>
      <c r="E2099" s="4">
        <f>IF(INT((C2099-1)/12)+1&gt;'Lapse Table'!$A$11,E2098,VLOOKUP(INT((C2099-1)/12)+1,'Lapse Table'!$A$2:$B$11,2,FALSE))/12</f>
        <v>0</v>
      </c>
      <c r="F2099" s="5">
        <f t="shared" si="296"/>
        <v>-77.772852365620849</v>
      </c>
      <c r="G2099" s="6">
        <f t="shared" si="290"/>
        <v>4.9777500000000002E-2</v>
      </c>
      <c r="H2099" s="6">
        <f t="shared" si="291"/>
        <v>0</v>
      </c>
      <c r="I2099" s="7">
        <f t="shared" si="292"/>
        <v>-2592.4284121873616</v>
      </c>
      <c r="J2099" s="8">
        <f t="shared" si="293"/>
        <v>49777.5</v>
      </c>
      <c r="K2099" s="7">
        <f t="shared" si="294"/>
        <v>-52369.928412187364</v>
      </c>
      <c r="L2099" s="4">
        <f>IF(A2099&gt;'Yield Curve'!A2713,L2098,(1+VLOOKUP(A2099,'Yield Curve'!A2092:B2714,2,FALSE))^(1/12)-1)</f>
        <v>7.9741404289037643E-3</v>
      </c>
      <c r="M2099" s="5">
        <f t="shared" si="295"/>
        <v>-3.2092724757591903E-3</v>
      </c>
    </row>
    <row r="2100" spans="1:13" x14ac:dyDescent="0.25">
      <c r="A2100" s="4">
        <v>2092</v>
      </c>
      <c r="B2100" s="4">
        <f t="shared" si="288"/>
        <v>219</v>
      </c>
      <c r="C2100" s="4">
        <f t="shared" si="289"/>
        <v>2107</v>
      </c>
      <c r="D2100" s="4">
        <f>IF(B2100&gt;'Mortality Table'!$A$118,D2099,VLOOKUP(B2100,'Mortality Table'!$A$2:$B$118,2,FALSE))</f>
        <v>0.59733000000000003</v>
      </c>
      <c r="E2100" s="4">
        <f>IF(INT((C2100-1)/12)+1&gt;'Lapse Table'!$A$11,E2099,VLOOKUP(INT((C2100-1)/12)+1,'Lapse Table'!$A$2:$B$11,2,FALSE))/12</f>
        <v>0</v>
      </c>
      <c r="F2100" s="5">
        <f t="shared" si="296"/>
        <v>-77.822629865620854</v>
      </c>
      <c r="G2100" s="6">
        <f t="shared" si="290"/>
        <v>4.9777500000000002E-2</v>
      </c>
      <c r="H2100" s="6">
        <f t="shared" si="291"/>
        <v>0</v>
      </c>
      <c r="I2100" s="7">
        <f t="shared" si="292"/>
        <v>-2594.0876621873617</v>
      </c>
      <c r="J2100" s="8">
        <f t="shared" si="293"/>
        <v>49777.5</v>
      </c>
      <c r="K2100" s="7">
        <f t="shared" si="294"/>
        <v>-52371.587662187361</v>
      </c>
      <c r="L2100" s="4">
        <f>IF(A2100&gt;'Yield Curve'!A2714,L2099,(1+VLOOKUP(A2100,'Yield Curve'!A2093:B2715,2,FALSE))^(1/12)-1)</f>
        <v>7.9741404289037643E-3</v>
      </c>
      <c r="M2100" s="5">
        <f t="shared" si="295"/>
        <v>-3.1839846155222477E-3</v>
      </c>
    </row>
    <row r="2101" spans="1:13" x14ac:dyDescent="0.25">
      <c r="A2101" s="4">
        <v>2093</v>
      </c>
      <c r="B2101" s="4">
        <f t="shared" si="288"/>
        <v>219</v>
      </c>
      <c r="C2101" s="4">
        <f t="shared" si="289"/>
        <v>2108</v>
      </c>
      <c r="D2101" s="4">
        <f>IF(B2101&gt;'Mortality Table'!$A$118,D2100,VLOOKUP(B2101,'Mortality Table'!$A$2:$B$118,2,FALSE))</f>
        <v>0.59733000000000003</v>
      </c>
      <c r="E2101" s="4">
        <f>IF(INT((C2101-1)/12)+1&gt;'Lapse Table'!$A$11,E2100,VLOOKUP(INT((C2101-1)/12)+1,'Lapse Table'!$A$2:$B$11,2,FALSE))/12</f>
        <v>0</v>
      </c>
      <c r="F2101" s="5">
        <f t="shared" si="296"/>
        <v>-77.872407365620859</v>
      </c>
      <c r="G2101" s="6">
        <f t="shared" si="290"/>
        <v>4.9777500000000002E-2</v>
      </c>
      <c r="H2101" s="6">
        <f t="shared" si="291"/>
        <v>0</v>
      </c>
      <c r="I2101" s="7">
        <f t="shared" si="292"/>
        <v>-2595.7469121873619</v>
      </c>
      <c r="J2101" s="8">
        <f t="shared" si="293"/>
        <v>49777.5</v>
      </c>
      <c r="K2101" s="7">
        <f t="shared" si="294"/>
        <v>-52373.246912187358</v>
      </c>
      <c r="L2101" s="4">
        <f>IF(A2101&gt;'Yield Curve'!A2715,L2100,(1+VLOOKUP(A2101,'Yield Curve'!A2094:B2716,2,FALSE))^(1/12)-1)</f>
        <v>7.9741404289037643E-3</v>
      </c>
      <c r="M2101" s="5">
        <f t="shared" si="295"/>
        <v>-3.1588960109434853E-3</v>
      </c>
    </row>
    <row r="2102" spans="1:13" x14ac:dyDescent="0.25">
      <c r="A2102" s="4">
        <v>2094</v>
      </c>
      <c r="B2102" s="4">
        <f t="shared" si="288"/>
        <v>219</v>
      </c>
      <c r="C2102" s="4">
        <f t="shared" si="289"/>
        <v>2109</v>
      </c>
      <c r="D2102" s="4">
        <f>IF(B2102&gt;'Mortality Table'!$A$118,D2101,VLOOKUP(B2102,'Mortality Table'!$A$2:$B$118,2,FALSE))</f>
        <v>0.59733000000000003</v>
      </c>
      <c r="E2102" s="4">
        <f>IF(INT((C2102-1)/12)+1&gt;'Lapse Table'!$A$11,E2101,VLOOKUP(INT((C2102-1)/12)+1,'Lapse Table'!$A$2:$B$11,2,FALSE))/12</f>
        <v>0</v>
      </c>
      <c r="F2102" s="5">
        <f t="shared" si="296"/>
        <v>-77.922184865620864</v>
      </c>
      <c r="G2102" s="6">
        <f t="shared" si="290"/>
        <v>4.9777500000000002E-2</v>
      </c>
      <c r="H2102" s="6">
        <f t="shared" si="291"/>
        <v>0</v>
      </c>
      <c r="I2102" s="7">
        <f t="shared" si="292"/>
        <v>-2597.406162187362</v>
      </c>
      <c r="J2102" s="8">
        <f t="shared" si="293"/>
        <v>49777.5</v>
      </c>
      <c r="K2102" s="7">
        <f t="shared" si="294"/>
        <v>-52374.906162187362</v>
      </c>
      <c r="L2102" s="4">
        <f>IF(A2102&gt;'Yield Curve'!A2716,L2101,(1+VLOOKUP(A2102,'Yield Curve'!A2095:B2717,2,FALSE))^(1/12)-1)</f>
        <v>7.9741404289037643E-3</v>
      </c>
      <c r="M2102" s="5">
        <f t="shared" si="295"/>
        <v>-3.1340050920134165E-3</v>
      </c>
    </row>
    <row r="2103" spans="1:13" x14ac:dyDescent="0.25">
      <c r="A2103" s="4">
        <v>2095</v>
      </c>
      <c r="B2103" s="4">
        <f t="shared" si="288"/>
        <v>219</v>
      </c>
      <c r="C2103" s="4">
        <f t="shared" si="289"/>
        <v>2110</v>
      </c>
      <c r="D2103" s="4">
        <f>IF(B2103&gt;'Mortality Table'!$A$118,D2102,VLOOKUP(B2103,'Mortality Table'!$A$2:$B$118,2,FALSE))</f>
        <v>0.59733000000000003</v>
      </c>
      <c r="E2103" s="4">
        <f>IF(INT((C2103-1)/12)+1&gt;'Lapse Table'!$A$11,E2102,VLOOKUP(INT((C2103-1)/12)+1,'Lapse Table'!$A$2:$B$11,2,FALSE))/12</f>
        <v>0</v>
      </c>
      <c r="F2103" s="5">
        <f t="shared" si="296"/>
        <v>-77.971962365620868</v>
      </c>
      <c r="G2103" s="6">
        <f t="shared" si="290"/>
        <v>4.9777500000000002E-2</v>
      </c>
      <c r="H2103" s="6">
        <f t="shared" si="291"/>
        <v>0</v>
      </c>
      <c r="I2103" s="7">
        <f t="shared" si="292"/>
        <v>-2599.0654121873622</v>
      </c>
      <c r="J2103" s="8">
        <f t="shared" si="293"/>
        <v>49777.5</v>
      </c>
      <c r="K2103" s="7">
        <f t="shared" si="294"/>
        <v>-52376.565412187359</v>
      </c>
      <c r="L2103" s="4">
        <f>IF(A2103&gt;'Yield Curve'!A2717,L2102,(1+VLOOKUP(A2103,'Yield Curve'!A2096:B2718,2,FALSE))^(1/12)-1)</f>
        <v>7.9741404289037643E-3</v>
      </c>
      <c r="M2103" s="5">
        <f t="shared" si="295"/>
        <v>-3.1093103010930425E-3</v>
      </c>
    </row>
    <row r="2104" spans="1:13" x14ac:dyDescent="0.25">
      <c r="A2104" s="4">
        <v>2096</v>
      </c>
      <c r="B2104" s="4">
        <f t="shared" si="288"/>
        <v>219</v>
      </c>
      <c r="C2104" s="4">
        <f t="shared" si="289"/>
        <v>2111</v>
      </c>
      <c r="D2104" s="4">
        <f>IF(B2104&gt;'Mortality Table'!$A$118,D2103,VLOOKUP(B2104,'Mortality Table'!$A$2:$B$118,2,FALSE))</f>
        <v>0.59733000000000003</v>
      </c>
      <c r="E2104" s="4">
        <f>IF(INT((C2104-1)/12)+1&gt;'Lapse Table'!$A$11,E2103,VLOOKUP(INT((C2104-1)/12)+1,'Lapse Table'!$A$2:$B$11,2,FALSE))/12</f>
        <v>0</v>
      </c>
      <c r="F2104" s="5">
        <f t="shared" si="296"/>
        <v>-78.021739865620873</v>
      </c>
      <c r="G2104" s="6">
        <f t="shared" si="290"/>
        <v>4.9777500000000002E-2</v>
      </c>
      <c r="H2104" s="6">
        <f t="shared" si="291"/>
        <v>0</v>
      </c>
      <c r="I2104" s="7">
        <f t="shared" si="292"/>
        <v>-2600.7246621873624</v>
      </c>
      <c r="J2104" s="8">
        <f t="shared" si="293"/>
        <v>49777.5</v>
      </c>
      <c r="K2104" s="7">
        <f t="shared" si="294"/>
        <v>-52378.224662187364</v>
      </c>
      <c r="L2104" s="4">
        <f>IF(A2104&gt;'Yield Curve'!A2718,L2103,(1+VLOOKUP(A2104,'Yield Curve'!A2097:B2719,2,FALSE))^(1/12)-1)</f>
        <v>7.9741404289037643E-3</v>
      </c>
      <c r="M2104" s="5">
        <f t="shared" si="295"/>
        <v>-3.0848100928163877E-3</v>
      </c>
    </row>
    <row r="2105" spans="1:13" x14ac:dyDescent="0.25">
      <c r="A2105" s="4">
        <v>2097</v>
      </c>
      <c r="B2105" s="4">
        <f t="shared" si="288"/>
        <v>219</v>
      </c>
      <c r="C2105" s="4">
        <f t="shared" si="289"/>
        <v>2112</v>
      </c>
      <c r="D2105" s="4">
        <f>IF(B2105&gt;'Mortality Table'!$A$118,D2104,VLOOKUP(B2105,'Mortality Table'!$A$2:$B$118,2,FALSE))</f>
        <v>0.59733000000000003</v>
      </c>
      <c r="E2105" s="4">
        <f>IF(INT((C2105-1)/12)+1&gt;'Lapse Table'!$A$11,E2104,VLOOKUP(INT((C2105-1)/12)+1,'Lapse Table'!$A$2:$B$11,2,FALSE))/12</f>
        <v>0</v>
      </c>
      <c r="F2105" s="5">
        <f t="shared" si="296"/>
        <v>-78.071517365620878</v>
      </c>
      <c r="G2105" s="6">
        <f t="shared" si="290"/>
        <v>4.9777500000000002E-2</v>
      </c>
      <c r="H2105" s="6">
        <f t="shared" si="291"/>
        <v>0</v>
      </c>
      <c r="I2105" s="7">
        <f t="shared" si="292"/>
        <v>-2602.3839121873625</v>
      </c>
      <c r="J2105" s="8">
        <f t="shared" si="293"/>
        <v>49777.5</v>
      </c>
      <c r="K2105" s="7">
        <f t="shared" si="294"/>
        <v>-52379.883912187361</v>
      </c>
      <c r="L2105" s="4">
        <f>IF(A2105&gt;'Yield Curve'!A2719,L2104,(1+VLOOKUP(A2105,'Yield Curve'!A2098:B2720,2,FALSE))^(1/12)-1)</f>
        <v>7.9741404289037643E-3</v>
      </c>
      <c r="M2105" s="5">
        <f t="shared" si="295"/>
        <v>-3.0605029339937943E-3</v>
      </c>
    </row>
    <row r="2106" spans="1:13" x14ac:dyDescent="0.25">
      <c r="A2106" s="4">
        <v>2098</v>
      </c>
      <c r="B2106" s="4">
        <f t="shared" si="288"/>
        <v>219</v>
      </c>
      <c r="C2106" s="4">
        <f t="shared" si="289"/>
        <v>2113</v>
      </c>
      <c r="D2106" s="4">
        <f>IF(B2106&gt;'Mortality Table'!$A$118,D2105,VLOOKUP(B2106,'Mortality Table'!$A$2:$B$118,2,FALSE))</f>
        <v>0.59733000000000003</v>
      </c>
      <c r="E2106" s="4">
        <f>IF(INT((C2106-1)/12)+1&gt;'Lapse Table'!$A$11,E2105,VLOOKUP(INT((C2106-1)/12)+1,'Lapse Table'!$A$2:$B$11,2,FALSE))/12</f>
        <v>0</v>
      </c>
      <c r="F2106" s="5">
        <f t="shared" si="296"/>
        <v>-78.121294865620882</v>
      </c>
      <c r="G2106" s="6">
        <f t="shared" si="290"/>
        <v>4.9777500000000002E-2</v>
      </c>
      <c r="H2106" s="6">
        <f t="shared" si="291"/>
        <v>0</v>
      </c>
      <c r="I2106" s="7">
        <f t="shared" si="292"/>
        <v>-2604.0431621873627</v>
      </c>
      <c r="J2106" s="8">
        <f t="shared" si="293"/>
        <v>49777.5</v>
      </c>
      <c r="K2106" s="7">
        <f t="shared" si="294"/>
        <v>-52381.543162187365</v>
      </c>
      <c r="L2106" s="4">
        <f>IF(A2106&gt;'Yield Curve'!A2720,L2105,(1+VLOOKUP(A2106,'Yield Curve'!A2099:B2721,2,FALSE))^(1/12)-1)</f>
        <v>7.9741404289037643E-3</v>
      </c>
      <c r="M2106" s="5">
        <f t="shared" si="295"/>
        <v>-3.036387303515989E-3</v>
      </c>
    </row>
    <row r="2107" spans="1:13" x14ac:dyDescent="0.25">
      <c r="A2107" s="4">
        <v>2099</v>
      </c>
      <c r="B2107" s="4">
        <f t="shared" si="288"/>
        <v>219</v>
      </c>
      <c r="C2107" s="4">
        <f t="shared" si="289"/>
        <v>2114</v>
      </c>
      <c r="D2107" s="4">
        <f>IF(B2107&gt;'Mortality Table'!$A$118,D2106,VLOOKUP(B2107,'Mortality Table'!$A$2:$B$118,2,FALSE))</f>
        <v>0.59733000000000003</v>
      </c>
      <c r="E2107" s="4">
        <f>IF(INT((C2107-1)/12)+1&gt;'Lapse Table'!$A$11,E2106,VLOOKUP(INT((C2107-1)/12)+1,'Lapse Table'!$A$2:$B$11,2,FALSE))/12</f>
        <v>0</v>
      </c>
      <c r="F2107" s="5">
        <f t="shared" si="296"/>
        <v>-78.171072365620887</v>
      </c>
      <c r="G2107" s="6">
        <f t="shared" si="290"/>
        <v>4.9777500000000002E-2</v>
      </c>
      <c r="H2107" s="6">
        <f t="shared" si="291"/>
        <v>0</v>
      </c>
      <c r="I2107" s="7">
        <f t="shared" si="292"/>
        <v>-2605.7024121873628</v>
      </c>
      <c r="J2107" s="8">
        <f t="shared" si="293"/>
        <v>49777.5</v>
      </c>
      <c r="K2107" s="7">
        <f t="shared" si="294"/>
        <v>-52383.202412187362</v>
      </c>
      <c r="L2107" s="4">
        <f>IF(A2107&gt;'Yield Curve'!A2721,L2106,(1+VLOOKUP(A2107,'Yield Curve'!A2100:B2722,2,FALSE))^(1/12)-1)</f>
        <v>7.9741404289037643E-3</v>
      </c>
      <c r="M2107" s="5">
        <f t="shared" si="295"/>
        <v>-3.0124616922588927E-3</v>
      </c>
    </row>
    <row r="2108" spans="1:13" x14ac:dyDescent="0.25">
      <c r="A2108" s="4">
        <v>2100</v>
      </c>
      <c r="B2108" s="4">
        <f t="shared" si="288"/>
        <v>220</v>
      </c>
      <c r="C2108" s="4">
        <f t="shared" si="289"/>
        <v>2115</v>
      </c>
      <c r="D2108" s="4">
        <f>IF(B2108&gt;'Mortality Table'!$A$118,D2107,VLOOKUP(B2108,'Mortality Table'!$A$2:$B$118,2,FALSE))</f>
        <v>0.59733000000000003</v>
      </c>
      <c r="E2108" s="4">
        <f>IF(INT((C2108-1)/12)+1&gt;'Lapse Table'!$A$11,E2107,VLOOKUP(INT((C2108-1)/12)+1,'Lapse Table'!$A$2:$B$11,2,FALSE))/12</f>
        <v>0</v>
      </c>
      <c r="F2108" s="5">
        <f t="shared" si="296"/>
        <v>-78.220849865620892</v>
      </c>
      <c r="G2108" s="6">
        <f t="shared" si="290"/>
        <v>4.9777500000000002E-2</v>
      </c>
      <c r="H2108" s="6">
        <f t="shared" si="291"/>
        <v>0</v>
      </c>
      <c r="I2108" s="7">
        <f t="shared" si="292"/>
        <v>-2607.361662187363</v>
      </c>
      <c r="J2108" s="8">
        <f t="shared" si="293"/>
        <v>49777.5</v>
      </c>
      <c r="K2108" s="7">
        <f t="shared" si="294"/>
        <v>-52384.861662187366</v>
      </c>
      <c r="L2108" s="4">
        <f>IF(A2108&gt;'Yield Curve'!A2722,L2107,(1+VLOOKUP(A2108,'Yield Curve'!A2101:B2723,2,FALSE))^(1/12)-1)</f>
        <v>7.9741404289037643E-3</v>
      </c>
      <c r="M2108" s="5">
        <f t="shared" si="295"/>
        <v>-2.9887246029891954E-3</v>
      </c>
    </row>
    <row r="2109" spans="1:13" x14ac:dyDescent="0.25">
      <c r="A2109" s="4">
        <v>2101</v>
      </c>
      <c r="B2109" s="4">
        <f t="shared" si="288"/>
        <v>220</v>
      </c>
      <c r="C2109" s="4">
        <f t="shared" si="289"/>
        <v>2116</v>
      </c>
      <c r="D2109" s="4">
        <f>IF(B2109&gt;'Mortality Table'!$A$118,D2108,VLOOKUP(B2109,'Mortality Table'!$A$2:$B$118,2,FALSE))</f>
        <v>0.59733000000000003</v>
      </c>
      <c r="E2109" s="4">
        <f>IF(INT((C2109-1)/12)+1&gt;'Lapse Table'!$A$11,E2108,VLOOKUP(INT((C2109-1)/12)+1,'Lapse Table'!$A$2:$B$11,2,FALSE))/12</f>
        <v>0</v>
      </c>
      <c r="F2109" s="5">
        <f t="shared" si="296"/>
        <v>-78.270627365620896</v>
      </c>
      <c r="G2109" s="6">
        <f t="shared" si="290"/>
        <v>4.9777500000000002E-2</v>
      </c>
      <c r="H2109" s="6">
        <f t="shared" si="291"/>
        <v>0</v>
      </c>
      <c r="I2109" s="7">
        <f t="shared" si="292"/>
        <v>-2609.0209121873631</v>
      </c>
      <c r="J2109" s="8">
        <f t="shared" si="293"/>
        <v>49777.5</v>
      </c>
      <c r="K2109" s="7">
        <f t="shared" si="294"/>
        <v>-52386.520912187363</v>
      </c>
      <c r="L2109" s="4">
        <f>IF(A2109&gt;'Yield Curve'!A2723,L2108,(1+VLOOKUP(A2109,'Yield Curve'!A2102:B2724,2,FALSE))^(1/12)-1)</f>
        <v>7.9741404289037643E-3</v>
      </c>
      <c r="M2109" s="5">
        <f t="shared" si="295"/>
        <v>-2.9651745502706594E-3</v>
      </c>
    </row>
    <row r="2110" spans="1:13" x14ac:dyDescent="0.25">
      <c r="A2110" s="4">
        <v>2102</v>
      </c>
      <c r="B2110" s="4">
        <f t="shared" si="288"/>
        <v>220</v>
      </c>
      <c r="C2110" s="4">
        <f t="shared" si="289"/>
        <v>2117</v>
      </c>
      <c r="D2110" s="4">
        <f>IF(B2110&gt;'Mortality Table'!$A$118,D2109,VLOOKUP(B2110,'Mortality Table'!$A$2:$B$118,2,FALSE))</f>
        <v>0.59733000000000003</v>
      </c>
      <c r="E2110" s="4">
        <f>IF(INT((C2110-1)/12)+1&gt;'Lapse Table'!$A$11,E2109,VLOOKUP(INT((C2110-1)/12)+1,'Lapse Table'!$A$2:$B$11,2,FALSE))/12</f>
        <v>0</v>
      </c>
      <c r="F2110" s="5">
        <f t="shared" si="296"/>
        <v>-78.320404865620901</v>
      </c>
      <c r="G2110" s="6">
        <f t="shared" si="290"/>
        <v>4.9777500000000002E-2</v>
      </c>
      <c r="H2110" s="6">
        <f t="shared" si="291"/>
        <v>0</v>
      </c>
      <c r="I2110" s="7">
        <f t="shared" si="292"/>
        <v>-2610.6801621873633</v>
      </c>
      <c r="J2110" s="8">
        <f t="shared" si="293"/>
        <v>49777.5</v>
      </c>
      <c r="K2110" s="7">
        <f t="shared" si="294"/>
        <v>-52388.18016218736</v>
      </c>
      <c r="L2110" s="4">
        <f>IF(A2110&gt;'Yield Curve'!A2724,L2109,(1+VLOOKUP(A2110,'Yield Curve'!A2103:B2725,2,FALSE))^(1/12)-1)</f>
        <v>7.9741404289037643E-3</v>
      </c>
      <c r="M2110" s="5">
        <f t="shared" si="295"/>
        <v>-2.9418100603711816E-3</v>
      </c>
    </row>
    <row r="2111" spans="1:13" x14ac:dyDescent="0.25">
      <c r="A2111" s="4">
        <v>2103</v>
      </c>
      <c r="B2111" s="4">
        <f t="shared" si="288"/>
        <v>220</v>
      </c>
      <c r="C2111" s="4">
        <f t="shared" si="289"/>
        <v>2118</v>
      </c>
      <c r="D2111" s="4">
        <f>IF(B2111&gt;'Mortality Table'!$A$118,D2110,VLOOKUP(B2111,'Mortality Table'!$A$2:$B$118,2,FALSE))</f>
        <v>0.59733000000000003</v>
      </c>
      <c r="E2111" s="4">
        <f>IF(INT((C2111-1)/12)+1&gt;'Lapse Table'!$A$11,E2110,VLOOKUP(INT((C2111-1)/12)+1,'Lapse Table'!$A$2:$B$11,2,FALSE))/12</f>
        <v>0</v>
      </c>
      <c r="F2111" s="5">
        <f t="shared" si="296"/>
        <v>-78.370182365620906</v>
      </c>
      <c r="G2111" s="6">
        <f t="shared" si="290"/>
        <v>4.9777500000000002E-2</v>
      </c>
      <c r="H2111" s="6">
        <f t="shared" si="291"/>
        <v>0</v>
      </c>
      <c r="I2111" s="7">
        <f t="shared" si="292"/>
        <v>-2612.3394121873635</v>
      </c>
      <c r="J2111" s="8">
        <f t="shared" si="293"/>
        <v>49777.5</v>
      </c>
      <c r="K2111" s="7">
        <f t="shared" si="294"/>
        <v>-52389.839412187364</v>
      </c>
      <c r="L2111" s="4">
        <f>IF(A2111&gt;'Yield Curve'!A2725,L2110,(1+VLOOKUP(A2111,'Yield Curve'!A2104:B2726,2,FALSE))^(1/12)-1)</f>
        <v>7.9741404289037643E-3</v>
      </c>
      <c r="M2111" s="5">
        <f t="shared" si="295"/>
        <v>-2.9186296711705582E-3</v>
      </c>
    </row>
    <row r="2112" spans="1:13" x14ac:dyDescent="0.25">
      <c r="A2112" s="4">
        <v>2104</v>
      </c>
      <c r="B2112" s="4">
        <f t="shared" si="288"/>
        <v>220</v>
      </c>
      <c r="C2112" s="4">
        <f t="shared" si="289"/>
        <v>2119</v>
      </c>
      <c r="D2112" s="4">
        <f>IF(B2112&gt;'Mortality Table'!$A$118,D2111,VLOOKUP(B2112,'Mortality Table'!$A$2:$B$118,2,FALSE))</f>
        <v>0.59733000000000003</v>
      </c>
      <c r="E2112" s="4">
        <f>IF(INT((C2112-1)/12)+1&gt;'Lapse Table'!$A$11,E2111,VLOOKUP(INT((C2112-1)/12)+1,'Lapse Table'!$A$2:$B$11,2,FALSE))/12</f>
        <v>0</v>
      </c>
      <c r="F2112" s="5">
        <f t="shared" si="296"/>
        <v>-78.41995986562091</v>
      </c>
      <c r="G2112" s="6">
        <f t="shared" si="290"/>
        <v>4.9777500000000002E-2</v>
      </c>
      <c r="H2112" s="6">
        <f t="shared" si="291"/>
        <v>0</v>
      </c>
      <c r="I2112" s="7">
        <f t="shared" si="292"/>
        <v>-2613.9986621873636</v>
      </c>
      <c r="J2112" s="8">
        <f t="shared" si="293"/>
        <v>49777.5</v>
      </c>
      <c r="K2112" s="7">
        <f t="shared" si="294"/>
        <v>-52391.498662187361</v>
      </c>
      <c r="L2112" s="4">
        <f>IF(A2112&gt;'Yield Curve'!A2726,L2111,(1+VLOOKUP(A2112,'Yield Curve'!A2105:B2727,2,FALSE))^(1/12)-1)</f>
        <v>7.9741404289037643E-3</v>
      </c>
      <c r="M2112" s="5">
        <f t="shared" si="295"/>
        <v>-2.8956319320690049E-3</v>
      </c>
    </row>
    <row r="2113" spans="1:13" x14ac:dyDescent="0.25">
      <c r="A2113" s="4">
        <v>2105</v>
      </c>
      <c r="B2113" s="4">
        <f t="shared" si="288"/>
        <v>220</v>
      </c>
      <c r="C2113" s="4">
        <f t="shared" si="289"/>
        <v>2120</v>
      </c>
      <c r="D2113" s="4">
        <f>IF(B2113&gt;'Mortality Table'!$A$118,D2112,VLOOKUP(B2113,'Mortality Table'!$A$2:$B$118,2,FALSE))</f>
        <v>0.59733000000000003</v>
      </c>
      <c r="E2113" s="4">
        <f>IF(INT((C2113-1)/12)+1&gt;'Lapse Table'!$A$11,E2112,VLOOKUP(INT((C2113-1)/12)+1,'Lapse Table'!$A$2:$B$11,2,FALSE))/12</f>
        <v>0</v>
      </c>
      <c r="F2113" s="5">
        <f t="shared" si="296"/>
        <v>-78.469737365620915</v>
      </c>
      <c r="G2113" s="6">
        <f t="shared" si="290"/>
        <v>4.9777500000000002E-2</v>
      </c>
      <c r="H2113" s="6">
        <f t="shared" si="291"/>
        <v>0</v>
      </c>
      <c r="I2113" s="7">
        <f t="shared" si="292"/>
        <v>-2615.6579121873638</v>
      </c>
      <c r="J2113" s="8">
        <f t="shared" si="293"/>
        <v>49777.5</v>
      </c>
      <c r="K2113" s="7">
        <f t="shared" si="294"/>
        <v>-52393.157912187366</v>
      </c>
      <c r="L2113" s="4">
        <f>IF(A2113&gt;'Yield Curve'!A2727,L2112,(1+VLOOKUP(A2113,'Yield Curve'!A2106:B2728,2,FALSE))^(1/12)-1)</f>
        <v>7.9741404289037643E-3</v>
      </c>
      <c r="M2113" s="5">
        <f t="shared" si="295"/>
        <v>-2.8728154038963854E-3</v>
      </c>
    </row>
    <row r="2114" spans="1:13" x14ac:dyDescent="0.25">
      <c r="A2114" s="4">
        <v>2106</v>
      </c>
      <c r="B2114" s="4">
        <f t="shared" si="288"/>
        <v>220</v>
      </c>
      <c r="C2114" s="4">
        <f t="shared" si="289"/>
        <v>2121</v>
      </c>
      <c r="D2114" s="4">
        <f>IF(B2114&gt;'Mortality Table'!$A$118,D2113,VLOOKUP(B2114,'Mortality Table'!$A$2:$B$118,2,FALSE))</f>
        <v>0.59733000000000003</v>
      </c>
      <c r="E2114" s="4">
        <f>IF(INT((C2114-1)/12)+1&gt;'Lapse Table'!$A$11,E2113,VLOOKUP(INT((C2114-1)/12)+1,'Lapse Table'!$A$2:$B$11,2,FALSE))/12</f>
        <v>0</v>
      </c>
      <c r="F2114" s="5">
        <f t="shared" si="296"/>
        <v>-78.51951486562092</v>
      </c>
      <c r="G2114" s="6">
        <f t="shared" si="290"/>
        <v>4.9777500000000002E-2</v>
      </c>
      <c r="H2114" s="6">
        <f t="shared" si="291"/>
        <v>0</v>
      </c>
      <c r="I2114" s="7">
        <f t="shared" si="292"/>
        <v>-2617.3171621873639</v>
      </c>
      <c r="J2114" s="8">
        <f t="shared" si="293"/>
        <v>49777.5</v>
      </c>
      <c r="K2114" s="7">
        <f t="shared" si="294"/>
        <v>-52394.817162187363</v>
      </c>
      <c r="L2114" s="4">
        <f>IF(A2114&gt;'Yield Curve'!A2728,L2113,(1+VLOOKUP(A2114,'Yield Curve'!A2107:B2729,2,FALSE))^(1/12)-1)</f>
        <v>7.9741404289037643E-3</v>
      </c>
      <c r="M2114" s="5">
        <f t="shared" si="295"/>
        <v>-2.8501786588221501E-3</v>
      </c>
    </row>
    <row r="2115" spans="1:13" x14ac:dyDescent="0.25">
      <c r="A2115" s="4">
        <v>2107</v>
      </c>
      <c r="B2115" s="4">
        <f t="shared" si="288"/>
        <v>220</v>
      </c>
      <c r="C2115" s="4">
        <f t="shared" si="289"/>
        <v>2122</v>
      </c>
      <c r="D2115" s="4">
        <f>IF(B2115&gt;'Mortality Table'!$A$118,D2114,VLOOKUP(B2115,'Mortality Table'!$A$2:$B$118,2,FALSE))</f>
        <v>0.59733000000000003</v>
      </c>
      <c r="E2115" s="4">
        <f>IF(INT((C2115-1)/12)+1&gt;'Lapse Table'!$A$11,E2114,VLOOKUP(INT((C2115-1)/12)+1,'Lapse Table'!$A$2:$B$11,2,FALSE))/12</f>
        <v>0</v>
      </c>
      <c r="F2115" s="5">
        <f t="shared" si="296"/>
        <v>-78.569292365620925</v>
      </c>
      <c r="G2115" s="6">
        <f t="shared" si="290"/>
        <v>4.9777500000000002E-2</v>
      </c>
      <c r="H2115" s="6">
        <f t="shared" si="291"/>
        <v>0</v>
      </c>
      <c r="I2115" s="7">
        <f t="shared" si="292"/>
        <v>-2618.9764121873641</v>
      </c>
      <c r="J2115" s="8">
        <f t="shared" si="293"/>
        <v>49777.5</v>
      </c>
      <c r="K2115" s="7">
        <f t="shared" si="294"/>
        <v>-52396.476412187367</v>
      </c>
      <c r="L2115" s="4">
        <f>IF(A2115&gt;'Yield Curve'!A2729,L2114,(1+VLOOKUP(A2115,'Yield Curve'!A2108:B2730,2,FALSE))^(1/12)-1)</f>
        <v>7.9741404289037643E-3</v>
      </c>
      <c r="M2115" s="5">
        <f t="shared" si="295"/>
        <v>-2.8277202802659955E-3</v>
      </c>
    </row>
    <row r="2116" spans="1:13" x14ac:dyDescent="0.25">
      <c r="A2116" s="4">
        <v>2108</v>
      </c>
      <c r="B2116" s="4">
        <f t="shared" si="288"/>
        <v>220</v>
      </c>
      <c r="C2116" s="4">
        <f t="shared" si="289"/>
        <v>2123</v>
      </c>
      <c r="D2116" s="4">
        <f>IF(B2116&gt;'Mortality Table'!$A$118,D2115,VLOOKUP(B2116,'Mortality Table'!$A$2:$B$118,2,FALSE))</f>
        <v>0.59733000000000003</v>
      </c>
      <c r="E2116" s="4">
        <f>IF(INT((C2116-1)/12)+1&gt;'Lapse Table'!$A$11,E2115,VLOOKUP(INT((C2116-1)/12)+1,'Lapse Table'!$A$2:$B$11,2,FALSE))/12</f>
        <v>0</v>
      </c>
      <c r="F2116" s="5">
        <f t="shared" si="296"/>
        <v>-78.619069865620929</v>
      </c>
      <c r="G2116" s="6">
        <f t="shared" si="290"/>
        <v>4.9777500000000002E-2</v>
      </c>
      <c r="H2116" s="6">
        <f t="shared" si="291"/>
        <v>0</v>
      </c>
      <c r="I2116" s="7">
        <f t="shared" si="292"/>
        <v>-2620.6356621873642</v>
      </c>
      <c r="J2116" s="8">
        <f t="shared" si="293"/>
        <v>49777.5</v>
      </c>
      <c r="K2116" s="7">
        <f t="shared" si="294"/>
        <v>-52398.135662187364</v>
      </c>
      <c r="L2116" s="4">
        <f>IF(A2116&gt;'Yield Curve'!A2730,L2115,(1+VLOOKUP(A2116,'Yield Curve'!A2109:B2731,2,FALSE))^(1/12)-1)</f>
        <v>7.9741404289037643E-3</v>
      </c>
      <c r="M2116" s="5">
        <f t="shared" si="295"/>
        <v>-2.8054388628092168E-3</v>
      </c>
    </row>
    <row r="2117" spans="1:13" x14ac:dyDescent="0.25">
      <c r="A2117" s="4">
        <v>2109</v>
      </c>
      <c r="B2117" s="4">
        <f t="shared" si="288"/>
        <v>220</v>
      </c>
      <c r="C2117" s="4">
        <f t="shared" si="289"/>
        <v>2124</v>
      </c>
      <c r="D2117" s="4">
        <f>IF(B2117&gt;'Mortality Table'!$A$118,D2116,VLOOKUP(B2117,'Mortality Table'!$A$2:$B$118,2,FALSE))</f>
        <v>0.59733000000000003</v>
      </c>
      <c r="E2117" s="4">
        <f>IF(INT((C2117-1)/12)+1&gt;'Lapse Table'!$A$11,E2116,VLOOKUP(INT((C2117-1)/12)+1,'Lapse Table'!$A$2:$B$11,2,FALSE))/12</f>
        <v>0</v>
      </c>
      <c r="F2117" s="5">
        <f t="shared" si="296"/>
        <v>-78.668847365620934</v>
      </c>
      <c r="G2117" s="6">
        <f t="shared" si="290"/>
        <v>4.9777500000000002E-2</v>
      </c>
      <c r="H2117" s="6">
        <f t="shared" si="291"/>
        <v>0</v>
      </c>
      <c r="I2117" s="7">
        <f t="shared" si="292"/>
        <v>-2622.2949121873644</v>
      </c>
      <c r="J2117" s="8">
        <f t="shared" si="293"/>
        <v>49777.5</v>
      </c>
      <c r="K2117" s="7">
        <f t="shared" si="294"/>
        <v>-52399.794912187368</v>
      </c>
      <c r="L2117" s="4">
        <f>IF(A2117&gt;'Yield Curve'!A2731,L2116,(1+VLOOKUP(A2117,'Yield Curve'!A2110:B2732,2,FALSE))^(1/12)-1)</f>
        <v>7.9741404289037643E-3</v>
      </c>
      <c r="M2117" s="5">
        <f t="shared" si="295"/>
        <v>-2.7833330121067698E-3</v>
      </c>
    </row>
    <row r="2118" spans="1:13" x14ac:dyDescent="0.25">
      <c r="A2118" s="4">
        <v>2110</v>
      </c>
      <c r="B2118" s="4">
        <f t="shared" si="288"/>
        <v>220</v>
      </c>
      <c r="C2118" s="4">
        <f t="shared" si="289"/>
        <v>2125</v>
      </c>
      <c r="D2118" s="4">
        <f>IF(B2118&gt;'Mortality Table'!$A$118,D2117,VLOOKUP(B2118,'Mortality Table'!$A$2:$B$118,2,FALSE))</f>
        <v>0.59733000000000003</v>
      </c>
      <c r="E2118" s="4">
        <f>IF(INT((C2118-1)/12)+1&gt;'Lapse Table'!$A$11,E2117,VLOOKUP(INT((C2118-1)/12)+1,'Lapse Table'!$A$2:$B$11,2,FALSE))/12</f>
        <v>0</v>
      </c>
      <c r="F2118" s="5">
        <f t="shared" si="296"/>
        <v>-78.718624865620939</v>
      </c>
      <c r="G2118" s="6">
        <f t="shared" si="290"/>
        <v>4.9777500000000002E-2</v>
      </c>
      <c r="H2118" s="6">
        <f t="shared" si="291"/>
        <v>0</v>
      </c>
      <c r="I2118" s="7">
        <f t="shared" si="292"/>
        <v>-2623.9541621873645</v>
      </c>
      <c r="J2118" s="8">
        <f t="shared" si="293"/>
        <v>49777.5</v>
      </c>
      <c r="K2118" s="7">
        <f t="shared" si="294"/>
        <v>-52401.454162187365</v>
      </c>
      <c r="L2118" s="4">
        <f>IF(A2118&gt;'Yield Curve'!A2732,L2117,(1+VLOOKUP(A2118,'Yield Curve'!A2111:B2733,2,FALSE))^(1/12)-1)</f>
        <v>7.9741404289037643E-3</v>
      </c>
      <c r="M2118" s="5">
        <f t="shared" si="295"/>
        <v>-2.7614013448000177E-3</v>
      </c>
    </row>
    <row r="2119" spans="1:13" x14ac:dyDescent="0.25">
      <c r="A2119" s="4">
        <v>2111</v>
      </c>
      <c r="B2119" s="4">
        <f t="shared" si="288"/>
        <v>220</v>
      </c>
      <c r="C2119" s="4">
        <f t="shared" si="289"/>
        <v>2126</v>
      </c>
      <c r="D2119" s="4">
        <f>IF(B2119&gt;'Mortality Table'!$A$118,D2118,VLOOKUP(B2119,'Mortality Table'!$A$2:$B$118,2,FALSE))</f>
        <v>0.59733000000000003</v>
      </c>
      <c r="E2119" s="4">
        <f>IF(INT((C2119-1)/12)+1&gt;'Lapse Table'!$A$11,E2118,VLOOKUP(INT((C2119-1)/12)+1,'Lapse Table'!$A$2:$B$11,2,FALSE))/12</f>
        <v>0</v>
      </c>
      <c r="F2119" s="5">
        <f t="shared" si="296"/>
        <v>-78.768402365620943</v>
      </c>
      <c r="G2119" s="6">
        <f t="shared" si="290"/>
        <v>4.9777500000000002E-2</v>
      </c>
      <c r="H2119" s="6">
        <f t="shared" si="291"/>
        <v>0</v>
      </c>
      <c r="I2119" s="7">
        <f t="shared" si="292"/>
        <v>-2625.6134121873647</v>
      </c>
      <c r="J2119" s="8">
        <f t="shared" si="293"/>
        <v>49777.5</v>
      </c>
      <c r="K2119" s="7">
        <f t="shared" si="294"/>
        <v>-52403.113412187362</v>
      </c>
      <c r="L2119" s="4">
        <f>IF(A2119&gt;'Yield Curve'!A2733,L2118,(1+VLOOKUP(A2119,'Yield Curve'!A2112:B2734,2,FALSE))^(1/12)-1)</f>
        <v>7.9741404289037643E-3</v>
      </c>
      <c r="M2119" s="5">
        <f t="shared" si="295"/>
        <v>-2.7396424884301653E-3</v>
      </c>
    </row>
    <row r="2120" spans="1:13" x14ac:dyDescent="0.25">
      <c r="A2120" s="4">
        <v>2112</v>
      </c>
      <c r="B2120" s="4">
        <f t="shared" si="288"/>
        <v>221</v>
      </c>
      <c r="C2120" s="4">
        <f t="shared" si="289"/>
        <v>2127</v>
      </c>
      <c r="D2120" s="4">
        <f>IF(B2120&gt;'Mortality Table'!$A$118,D2119,VLOOKUP(B2120,'Mortality Table'!$A$2:$B$118,2,FALSE))</f>
        <v>0.59733000000000003</v>
      </c>
      <c r="E2120" s="4">
        <f>IF(INT((C2120-1)/12)+1&gt;'Lapse Table'!$A$11,E2119,VLOOKUP(INT((C2120-1)/12)+1,'Lapse Table'!$A$2:$B$11,2,FALSE))/12</f>
        <v>0</v>
      </c>
      <c r="F2120" s="5">
        <f t="shared" si="296"/>
        <v>-78.818179865620948</v>
      </c>
      <c r="G2120" s="6">
        <f t="shared" si="290"/>
        <v>4.9777500000000002E-2</v>
      </c>
      <c r="H2120" s="6">
        <f t="shared" si="291"/>
        <v>0</v>
      </c>
      <c r="I2120" s="7">
        <f t="shared" si="292"/>
        <v>-2627.2726621873649</v>
      </c>
      <c r="J2120" s="8">
        <f t="shared" si="293"/>
        <v>49777.5</v>
      </c>
      <c r="K2120" s="7">
        <f t="shared" si="294"/>
        <v>-52404.772662187366</v>
      </c>
      <c r="L2120" s="4">
        <f>IF(A2120&gt;'Yield Curve'!A2734,L2119,(1+VLOOKUP(A2120,'Yield Curve'!A2113:B2735,2,FALSE))^(1/12)-1)</f>
        <v>7.9741404289037643E-3</v>
      </c>
      <c r="M2120" s="5">
        <f t="shared" si="295"/>
        <v>-2.718055081352381E-3</v>
      </c>
    </row>
    <row r="2121" spans="1:13" x14ac:dyDescent="0.25">
      <c r="A2121" s="4">
        <v>2113</v>
      </c>
      <c r="B2121" s="4">
        <f t="shared" si="288"/>
        <v>221</v>
      </c>
      <c r="C2121" s="4">
        <f t="shared" si="289"/>
        <v>2128</v>
      </c>
      <c r="D2121" s="4">
        <f>IF(B2121&gt;'Mortality Table'!$A$118,D2120,VLOOKUP(B2121,'Mortality Table'!$A$2:$B$118,2,FALSE))</f>
        <v>0.59733000000000003</v>
      </c>
      <c r="E2121" s="4">
        <f>IF(INT((C2121-1)/12)+1&gt;'Lapse Table'!$A$11,E2120,VLOOKUP(INT((C2121-1)/12)+1,'Lapse Table'!$A$2:$B$11,2,FALSE))/12</f>
        <v>0</v>
      </c>
      <c r="F2121" s="5">
        <f t="shared" si="296"/>
        <v>-78.867957365620953</v>
      </c>
      <c r="G2121" s="6">
        <f t="shared" si="290"/>
        <v>4.9777500000000002E-2</v>
      </c>
      <c r="H2121" s="6">
        <f t="shared" si="291"/>
        <v>0</v>
      </c>
      <c r="I2121" s="7">
        <f t="shared" si="292"/>
        <v>-2628.931912187365</v>
      </c>
      <c r="J2121" s="8">
        <f t="shared" si="293"/>
        <v>49777.5</v>
      </c>
      <c r="K2121" s="7">
        <f t="shared" si="294"/>
        <v>-52406.431912187363</v>
      </c>
      <c r="L2121" s="4">
        <f>IF(A2121&gt;'Yield Curve'!A2735,L2120,(1+VLOOKUP(A2121,'Yield Curve'!A2114:B2736,2,FALSE))^(1/12)-1)</f>
        <v>7.9741404289037643E-3</v>
      </c>
      <c r="M2121" s="5">
        <f t="shared" si="295"/>
        <v>-2.6966377726505928E-3</v>
      </c>
    </row>
    <row r="2122" spans="1:13" x14ac:dyDescent="0.25">
      <c r="A2122" s="4">
        <v>2114</v>
      </c>
      <c r="B2122" s="4">
        <f t="shared" ref="B2122:B2148" si="297">INT($B$3+A2122/12)</f>
        <v>221</v>
      </c>
      <c r="C2122" s="4">
        <f t="shared" ref="C2122:C2148" si="298">$B$4+A2122</f>
        <v>2129</v>
      </c>
      <c r="D2122" s="4">
        <f>IF(B2122&gt;'Mortality Table'!$A$118,D2121,VLOOKUP(B2122,'Mortality Table'!$A$2:$B$118,2,FALSE))</f>
        <v>0.59733000000000003</v>
      </c>
      <c r="E2122" s="4">
        <f>IF(INT((C2122-1)/12)+1&gt;'Lapse Table'!$A$11,E2121,VLOOKUP(INT((C2122-1)/12)+1,'Lapse Table'!$A$2:$B$11,2,FALSE))/12</f>
        <v>0</v>
      </c>
      <c r="F2122" s="5">
        <f t="shared" si="296"/>
        <v>-78.917734865620957</v>
      </c>
      <c r="G2122" s="6">
        <f t="shared" ref="G2122:G2148" si="299">D2122/12*(1-0.5*E2122)</f>
        <v>4.9777500000000002E-2</v>
      </c>
      <c r="H2122" s="6">
        <f t="shared" ref="H2122:H2148" si="300">E2122*(1-0.5*D2122)</f>
        <v>0</v>
      </c>
      <c r="I2122" s="7">
        <f t="shared" ref="I2122:I2148" si="301">F2122*$B$5/12</f>
        <v>-2630.5911621873652</v>
      </c>
      <c r="J2122" s="8">
        <f t="shared" ref="J2122:J2148" si="302">$B$6*G2122</f>
        <v>49777.5</v>
      </c>
      <c r="K2122" s="7">
        <f t="shared" ref="K2122:K2148" si="303">I2122-J2122</f>
        <v>-52408.091162187367</v>
      </c>
      <c r="L2122" s="4">
        <f>IF(A2122&gt;'Yield Curve'!A2736,L2121,(1+VLOOKUP(A2122,'Yield Curve'!A2115:B2737,2,FALSE))^(1/12)-1)</f>
        <v>7.9741404289037643E-3</v>
      </c>
      <c r="M2122" s="5">
        <f t="shared" ref="M2122:M2148" si="304">K2122*(1+L2122)^-A2122</f>
        <v>-2.6753892220529514E-3</v>
      </c>
    </row>
    <row r="2123" spans="1:13" x14ac:dyDescent="0.25">
      <c r="A2123" s="4">
        <v>2115</v>
      </c>
      <c r="B2123" s="4">
        <f t="shared" si="297"/>
        <v>221</v>
      </c>
      <c r="C2123" s="4">
        <f t="shared" si="298"/>
        <v>2130</v>
      </c>
      <c r="D2123" s="4">
        <f>IF(B2123&gt;'Mortality Table'!$A$118,D2122,VLOOKUP(B2123,'Mortality Table'!$A$2:$B$118,2,FALSE))</f>
        <v>0.59733000000000003</v>
      </c>
      <c r="E2123" s="4">
        <f>IF(INT((C2123-1)/12)+1&gt;'Lapse Table'!$A$11,E2122,VLOOKUP(INT((C2123-1)/12)+1,'Lapse Table'!$A$2:$B$11,2,FALSE))/12</f>
        <v>0</v>
      </c>
      <c r="F2123" s="5">
        <f t="shared" ref="F2123:F2148" si="305">F2122-G2123-H2123</f>
        <v>-78.967512365620962</v>
      </c>
      <c r="G2123" s="6">
        <f t="shared" si="299"/>
        <v>4.9777500000000002E-2</v>
      </c>
      <c r="H2123" s="6">
        <f t="shared" si="300"/>
        <v>0</v>
      </c>
      <c r="I2123" s="7">
        <f t="shared" si="301"/>
        <v>-2632.2504121873653</v>
      </c>
      <c r="J2123" s="8">
        <f t="shared" si="302"/>
        <v>49777.5</v>
      </c>
      <c r="K2123" s="7">
        <f t="shared" si="303"/>
        <v>-52409.750412187364</v>
      </c>
      <c r="L2123" s="4">
        <f>IF(A2123&gt;'Yield Curve'!A2737,L2122,(1+VLOOKUP(A2123,'Yield Curve'!A2116:B2738,2,FALSE))^(1/12)-1)</f>
        <v>7.9741404289037643E-3</v>
      </c>
      <c r="M2123" s="5">
        <f t="shared" si="304"/>
        <v>-2.6543080998479647E-3</v>
      </c>
    </row>
    <row r="2124" spans="1:13" x14ac:dyDescent="0.25">
      <c r="A2124" s="4">
        <v>2116</v>
      </c>
      <c r="B2124" s="4">
        <f t="shared" si="297"/>
        <v>221</v>
      </c>
      <c r="C2124" s="4">
        <f t="shared" si="298"/>
        <v>2131</v>
      </c>
      <c r="D2124" s="4">
        <f>IF(B2124&gt;'Mortality Table'!$A$118,D2123,VLOOKUP(B2124,'Mortality Table'!$A$2:$B$118,2,FALSE))</f>
        <v>0.59733000000000003</v>
      </c>
      <c r="E2124" s="4">
        <f>IF(INT((C2124-1)/12)+1&gt;'Lapse Table'!$A$11,E2123,VLOOKUP(INT((C2124-1)/12)+1,'Lapse Table'!$A$2:$B$11,2,FALSE))/12</f>
        <v>0</v>
      </c>
      <c r="F2124" s="5">
        <f t="shared" si="305"/>
        <v>-79.017289865620967</v>
      </c>
      <c r="G2124" s="6">
        <f t="shared" si="299"/>
        <v>4.9777500000000002E-2</v>
      </c>
      <c r="H2124" s="6">
        <f t="shared" si="300"/>
        <v>0</v>
      </c>
      <c r="I2124" s="7">
        <f t="shared" si="301"/>
        <v>-2633.9096621873655</v>
      </c>
      <c r="J2124" s="8">
        <f t="shared" si="302"/>
        <v>49777.5</v>
      </c>
      <c r="K2124" s="7">
        <f t="shared" si="303"/>
        <v>-52411.409662187369</v>
      </c>
      <c r="L2124" s="4">
        <f>IF(A2124&gt;'Yield Curve'!A2738,L2123,(1+VLOOKUP(A2124,'Yield Curve'!A2117:B2739,2,FALSE))^(1/12)-1)</f>
        <v>7.9741404289037643E-3</v>
      </c>
      <c r="M2124" s="5">
        <f t="shared" si="304"/>
        <v>-2.6333930868012922E-3</v>
      </c>
    </row>
    <row r="2125" spans="1:13" x14ac:dyDescent="0.25">
      <c r="A2125" s="4">
        <v>2117</v>
      </c>
      <c r="B2125" s="4">
        <f t="shared" si="297"/>
        <v>221</v>
      </c>
      <c r="C2125" s="4">
        <f t="shared" si="298"/>
        <v>2132</v>
      </c>
      <c r="D2125" s="4">
        <f>IF(B2125&gt;'Mortality Table'!$A$118,D2124,VLOOKUP(B2125,'Mortality Table'!$A$2:$B$118,2,FALSE))</f>
        <v>0.59733000000000003</v>
      </c>
      <c r="E2125" s="4">
        <f>IF(INT((C2125-1)/12)+1&gt;'Lapse Table'!$A$11,E2124,VLOOKUP(INT((C2125-1)/12)+1,'Lapse Table'!$A$2:$B$11,2,FALSE))/12</f>
        <v>0</v>
      </c>
      <c r="F2125" s="5">
        <f t="shared" si="305"/>
        <v>-79.067067365620971</v>
      </c>
      <c r="G2125" s="6">
        <f t="shared" si="299"/>
        <v>4.9777500000000002E-2</v>
      </c>
      <c r="H2125" s="6">
        <f t="shared" si="300"/>
        <v>0</v>
      </c>
      <c r="I2125" s="7">
        <f t="shared" si="301"/>
        <v>-2635.5689121873656</v>
      </c>
      <c r="J2125" s="8">
        <f t="shared" si="302"/>
        <v>49777.5</v>
      </c>
      <c r="K2125" s="7">
        <f t="shared" si="303"/>
        <v>-52413.068912187366</v>
      </c>
      <c r="L2125" s="4">
        <f>IF(A2125&gt;'Yield Curve'!A2739,L2124,(1+VLOOKUP(A2125,'Yield Curve'!A2118:B2740,2,FALSE))^(1/12)-1)</f>
        <v>7.9741404289037643E-3</v>
      </c>
      <c r="M2125" s="5">
        <f t="shared" si="304"/>
        <v>-2.612642874073192E-3</v>
      </c>
    </row>
    <row r="2126" spans="1:13" x14ac:dyDescent="0.25">
      <c r="A2126" s="4">
        <v>2118</v>
      </c>
      <c r="B2126" s="4">
        <f t="shared" si="297"/>
        <v>221</v>
      </c>
      <c r="C2126" s="4">
        <f t="shared" si="298"/>
        <v>2133</v>
      </c>
      <c r="D2126" s="4">
        <f>IF(B2126&gt;'Mortality Table'!$A$118,D2125,VLOOKUP(B2126,'Mortality Table'!$A$2:$B$118,2,FALSE))</f>
        <v>0.59733000000000003</v>
      </c>
      <c r="E2126" s="4">
        <f>IF(INT((C2126-1)/12)+1&gt;'Lapse Table'!$A$11,E2125,VLOOKUP(INT((C2126-1)/12)+1,'Lapse Table'!$A$2:$B$11,2,FALSE))/12</f>
        <v>0</v>
      </c>
      <c r="F2126" s="5">
        <f t="shared" si="305"/>
        <v>-79.116844865620976</v>
      </c>
      <c r="G2126" s="6">
        <f t="shared" si="299"/>
        <v>4.9777500000000002E-2</v>
      </c>
      <c r="H2126" s="6">
        <f t="shared" si="300"/>
        <v>0</v>
      </c>
      <c r="I2126" s="7">
        <f t="shared" si="301"/>
        <v>-2637.2281621873658</v>
      </c>
      <c r="J2126" s="8">
        <f t="shared" si="302"/>
        <v>49777.5</v>
      </c>
      <c r="K2126" s="7">
        <f t="shared" si="303"/>
        <v>-52414.728162187363</v>
      </c>
      <c r="L2126" s="4">
        <f>IF(A2126&gt;'Yield Curve'!A2740,L2125,(1+VLOOKUP(A2126,'Yield Curve'!A2119:B2741,2,FALSE))^(1/12)-1)</f>
        <v>7.9741404289037643E-3</v>
      </c>
      <c r="M2126" s="5">
        <f t="shared" si="304"/>
        <v>-2.5920561631366237E-3</v>
      </c>
    </row>
    <row r="2127" spans="1:13" x14ac:dyDescent="0.25">
      <c r="A2127" s="4">
        <v>2119</v>
      </c>
      <c r="B2127" s="4">
        <f t="shared" si="297"/>
        <v>221</v>
      </c>
      <c r="C2127" s="4">
        <f t="shared" si="298"/>
        <v>2134</v>
      </c>
      <c r="D2127" s="4">
        <f>IF(B2127&gt;'Mortality Table'!$A$118,D2126,VLOOKUP(B2127,'Mortality Table'!$A$2:$B$118,2,FALSE))</f>
        <v>0.59733000000000003</v>
      </c>
      <c r="E2127" s="4">
        <f>IF(INT((C2127-1)/12)+1&gt;'Lapse Table'!$A$11,E2126,VLOOKUP(INT((C2127-1)/12)+1,'Lapse Table'!$A$2:$B$11,2,FALSE))/12</f>
        <v>0</v>
      </c>
      <c r="F2127" s="5">
        <f t="shared" si="305"/>
        <v>-79.166622365620981</v>
      </c>
      <c r="G2127" s="6">
        <f t="shared" si="299"/>
        <v>4.9777500000000002E-2</v>
      </c>
      <c r="H2127" s="6">
        <f t="shared" si="300"/>
        <v>0</v>
      </c>
      <c r="I2127" s="7">
        <f t="shared" si="301"/>
        <v>-2638.887412187366</v>
      </c>
      <c r="J2127" s="8">
        <f t="shared" si="302"/>
        <v>49777.5</v>
      </c>
      <c r="K2127" s="7">
        <f t="shared" si="303"/>
        <v>-52416.387412187367</v>
      </c>
      <c r="L2127" s="4">
        <f>IF(A2127&gt;'Yield Curve'!A2741,L2126,(1+VLOOKUP(A2127,'Yield Curve'!A2120:B2742,2,FALSE))^(1/12)-1)</f>
        <v>7.9741404289037643E-3</v>
      </c>
      <c r="M2127" s="5">
        <f t="shared" si="304"/>
        <v>-2.5716316656959897E-3</v>
      </c>
    </row>
    <row r="2128" spans="1:13" x14ac:dyDescent="0.25">
      <c r="A2128" s="4">
        <v>2120</v>
      </c>
      <c r="B2128" s="4">
        <f t="shared" si="297"/>
        <v>221</v>
      </c>
      <c r="C2128" s="4">
        <f t="shared" si="298"/>
        <v>2135</v>
      </c>
      <c r="D2128" s="4">
        <f>IF(B2128&gt;'Mortality Table'!$A$118,D2127,VLOOKUP(B2128,'Mortality Table'!$A$2:$B$118,2,FALSE))</f>
        <v>0.59733000000000003</v>
      </c>
      <c r="E2128" s="4">
        <f>IF(INT((C2128-1)/12)+1&gt;'Lapse Table'!$A$11,E2127,VLOOKUP(INT((C2128-1)/12)+1,'Lapse Table'!$A$2:$B$11,2,FALSE))/12</f>
        <v>0</v>
      </c>
      <c r="F2128" s="5">
        <f t="shared" si="305"/>
        <v>-79.216399865620986</v>
      </c>
      <c r="G2128" s="6">
        <f t="shared" si="299"/>
        <v>4.9777500000000002E-2</v>
      </c>
      <c r="H2128" s="6">
        <f t="shared" si="300"/>
        <v>0</v>
      </c>
      <c r="I2128" s="7">
        <f t="shared" si="301"/>
        <v>-2640.5466621873661</v>
      </c>
      <c r="J2128" s="8">
        <f t="shared" si="302"/>
        <v>49777.5</v>
      </c>
      <c r="K2128" s="7">
        <f t="shared" si="303"/>
        <v>-52418.046662187364</v>
      </c>
      <c r="L2128" s="4">
        <f>IF(A2128&gt;'Yield Curve'!A2742,L2127,(1+VLOOKUP(A2128,'Yield Curve'!A2121:B2743,2,FALSE))^(1/12)-1)</f>
        <v>7.9741404289037643E-3</v>
      </c>
      <c r="M2128" s="5">
        <f t="shared" si="304"/>
        <v>-2.5513681036065188E-3</v>
      </c>
    </row>
    <row r="2129" spans="1:13" x14ac:dyDescent="0.25">
      <c r="A2129" s="4">
        <v>2121</v>
      </c>
      <c r="B2129" s="4">
        <f t="shared" si="297"/>
        <v>221</v>
      </c>
      <c r="C2129" s="4">
        <f t="shared" si="298"/>
        <v>2136</v>
      </c>
      <c r="D2129" s="4">
        <f>IF(B2129&gt;'Mortality Table'!$A$118,D2128,VLOOKUP(B2129,'Mortality Table'!$A$2:$B$118,2,FALSE))</f>
        <v>0.59733000000000003</v>
      </c>
      <c r="E2129" s="4">
        <f>IF(INT((C2129-1)/12)+1&gt;'Lapse Table'!$A$11,E2128,VLOOKUP(INT((C2129-1)/12)+1,'Lapse Table'!$A$2:$B$11,2,FALSE))/12</f>
        <v>0</v>
      </c>
      <c r="F2129" s="5">
        <f t="shared" si="305"/>
        <v>-79.26617736562099</v>
      </c>
      <c r="G2129" s="6">
        <f t="shared" si="299"/>
        <v>4.9777500000000002E-2</v>
      </c>
      <c r="H2129" s="6">
        <f t="shared" si="300"/>
        <v>0</v>
      </c>
      <c r="I2129" s="7">
        <f t="shared" si="301"/>
        <v>-2642.2059121873663</v>
      </c>
      <c r="J2129" s="8">
        <f t="shared" si="302"/>
        <v>49777.5</v>
      </c>
      <c r="K2129" s="7">
        <f t="shared" si="303"/>
        <v>-52419.705912187368</v>
      </c>
      <c r="L2129" s="4">
        <f>IF(A2129&gt;'Yield Curve'!A2743,L2128,(1+VLOOKUP(A2129,'Yield Curve'!A2122:B2744,2,FALSE))^(1/12)-1)</f>
        <v>7.9741404289037643E-3</v>
      </c>
      <c r="M2129" s="5">
        <f t="shared" si="304"/>
        <v>-2.5312642087942962E-3</v>
      </c>
    </row>
    <row r="2130" spans="1:13" x14ac:dyDescent="0.25">
      <c r="A2130" s="4">
        <v>2122</v>
      </c>
      <c r="B2130" s="4">
        <f t="shared" si="297"/>
        <v>221</v>
      </c>
      <c r="C2130" s="4">
        <f t="shared" si="298"/>
        <v>2137</v>
      </c>
      <c r="D2130" s="4">
        <f>IF(B2130&gt;'Mortality Table'!$A$118,D2129,VLOOKUP(B2130,'Mortality Table'!$A$2:$B$118,2,FALSE))</f>
        <v>0.59733000000000003</v>
      </c>
      <c r="E2130" s="4">
        <f>IF(INT((C2130-1)/12)+1&gt;'Lapse Table'!$A$11,E2129,VLOOKUP(INT((C2130-1)/12)+1,'Lapse Table'!$A$2:$B$11,2,FALSE))/12</f>
        <v>0</v>
      </c>
      <c r="F2130" s="5">
        <f t="shared" si="305"/>
        <v>-79.315954865620995</v>
      </c>
      <c r="G2130" s="6">
        <f t="shared" si="299"/>
        <v>4.9777500000000002E-2</v>
      </c>
      <c r="H2130" s="6">
        <f t="shared" si="300"/>
        <v>0</v>
      </c>
      <c r="I2130" s="7">
        <f t="shared" si="301"/>
        <v>-2643.8651621873664</v>
      </c>
      <c r="J2130" s="8">
        <f t="shared" si="302"/>
        <v>49777.5</v>
      </c>
      <c r="K2130" s="7">
        <f t="shared" si="303"/>
        <v>-52421.365162187365</v>
      </c>
      <c r="L2130" s="4">
        <f>IF(A2130&gt;'Yield Curve'!A2744,L2129,(1+VLOOKUP(A2130,'Yield Curve'!A2123:B2745,2,FALSE))^(1/12)-1)</f>
        <v>7.9741404289037643E-3</v>
      </c>
      <c r="M2130" s="5">
        <f t="shared" si="304"/>
        <v>-2.5113187231768992E-3</v>
      </c>
    </row>
    <row r="2131" spans="1:13" x14ac:dyDescent="0.25">
      <c r="A2131" s="4">
        <v>2123</v>
      </c>
      <c r="B2131" s="4">
        <f t="shared" si="297"/>
        <v>221</v>
      </c>
      <c r="C2131" s="4">
        <f t="shared" si="298"/>
        <v>2138</v>
      </c>
      <c r="D2131" s="4">
        <f>IF(B2131&gt;'Mortality Table'!$A$118,D2130,VLOOKUP(B2131,'Mortality Table'!$A$2:$B$118,2,FALSE))</f>
        <v>0.59733000000000003</v>
      </c>
      <c r="E2131" s="4">
        <f>IF(INT((C2131-1)/12)+1&gt;'Lapse Table'!$A$11,E2130,VLOOKUP(INT((C2131-1)/12)+1,'Lapse Table'!$A$2:$B$11,2,FALSE))/12</f>
        <v>0</v>
      </c>
      <c r="F2131" s="5">
        <f t="shared" si="305"/>
        <v>-79.365732365621</v>
      </c>
      <c r="G2131" s="6">
        <f t="shared" si="299"/>
        <v>4.9777500000000002E-2</v>
      </c>
      <c r="H2131" s="6">
        <f t="shared" si="300"/>
        <v>0</v>
      </c>
      <c r="I2131" s="7">
        <f t="shared" si="301"/>
        <v>-2645.5244121873666</v>
      </c>
      <c r="J2131" s="8">
        <f t="shared" si="302"/>
        <v>49777.5</v>
      </c>
      <c r="K2131" s="7">
        <f t="shared" si="303"/>
        <v>-52423.024412187369</v>
      </c>
      <c r="L2131" s="4">
        <f>IF(A2131&gt;'Yield Curve'!A2745,L2130,(1+VLOOKUP(A2131,'Yield Curve'!A2124:B2746,2,FALSE))^(1/12)-1)</f>
        <v>7.9741404289037643E-3</v>
      </c>
      <c r="M2131" s="5">
        <f t="shared" si="304"/>
        <v>-2.4915303985846853E-3</v>
      </c>
    </row>
    <row r="2132" spans="1:13" x14ac:dyDescent="0.25">
      <c r="A2132" s="4">
        <v>2124</v>
      </c>
      <c r="B2132" s="4">
        <f t="shared" si="297"/>
        <v>222</v>
      </c>
      <c r="C2132" s="4">
        <f t="shared" si="298"/>
        <v>2139</v>
      </c>
      <c r="D2132" s="4">
        <f>IF(B2132&gt;'Mortality Table'!$A$118,D2131,VLOOKUP(B2132,'Mortality Table'!$A$2:$B$118,2,FALSE))</f>
        <v>0.59733000000000003</v>
      </c>
      <c r="E2132" s="4">
        <f>IF(INT((C2132-1)/12)+1&gt;'Lapse Table'!$A$11,E2131,VLOOKUP(INT((C2132-1)/12)+1,'Lapse Table'!$A$2:$B$11,2,FALSE))/12</f>
        <v>0</v>
      </c>
      <c r="F2132" s="5">
        <f t="shared" si="305"/>
        <v>-79.415509865621004</v>
      </c>
      <c r="G2132" s="6">
        <f t="shared" si="299"/>
        <v>4.9777500000000002E-2</v>
      </c>
      <c r="H2132" s="6">
        <f t="shared" si="300"/>
        <v>0</v>
      </c>
      <c r="I2132" s="7">
        <f t="shared" si="301"/>
        <v>-2647.1836621873667</v>
      </c>
      <c r="J2132" s="8">
        <f t="shared" si="302"/>
        <v>49777.5</v>
      </c>
      <c r="K2132" s="7">
        <f t="shared" si="303"/>
        <v>-52424.683662187366</v>
      </c>
      <c r="L2132" s="4">
        <f>IF(A2132&gt;'Yield Curve'!A2746,L2131,(1+VLOOKUP(A2132,'Yield Curve'!A2125:B2747,2,FALSE))^(1/12)-1)</f>
        <v>7.9741404289037643E-3</v>
      </c>
      <c r="M2132" s="5">
        <f t="shared" si="304"/>
        <v>-2.4718979966826806E-3</v>
      </c>
    </row>
    <row r="2133" spans="1:13" x14ac:dyDescent="0.25">
      <c r="A2133" s="4">
        <v>2125</v>
      </c>
      <c r="B2133" s="4">
        <f t="shared" si="297"/>
        <v>222</v>
      </c>
      <c r="C2133" s="4">
        <f t="shared" si="298"/>
        <v>2140</v>
      </c>
      <c r="D2133" s="4">
        <f>IF(B2133&gt;'Mortality Table'!$A$118,D2132,VLOOKUP(B2133,'Mortality Table'!$A$2:$B$118,2,FALSE))</f>
        <v>0.59733000000000003</v>
      </c>
      <c r="E2133" s="4">
        <f>IF(INT((C2133-1)/12)+1&gt;'Lapse Table'!$A$11,E2132,VLOOKUP(INT((C2133-1)/12)+1,'Lapse Table'!$A$2:$B$11,2,FALSE))/12</f>
        <v>0</v>
      </c>
      <c r="F2133" s="5">
        <f t="shared" si="305"/>
        <v>-79.465287365621009</v>
      </c>
      <c r="G2133" s="6">
        <f t="shared" si="299"/>
        <v>4.9777500000000002E-2</v>
      </c>
      <c r="H2133" s="6">
        <f t="shared" si="300"/>
        <v>0</v>
      </c>
      <c r="I2133" s="7">
        <f t="shared" si="301"/>
        <v>-2648.8429121873669</v>
      </c>
      <c r="J2133" s="8">
        <f t="shared" si="302"/>
        <v>49777.5</v>
      </c>
      <c r="K2133" s="7">
        <f t="shared" si="303"/>
        <v>-52426.342912187363</v>
      </c>
      <c r="L2133" s="4">
        <f>IF(A2133&gt;'Yield Curve'!A2747,L2132,(1+VLOOKUP(A2133,'Yield Curve'!A2126:B2748,2,FALSE))^(1/12)-1)</f>
        <v>7.9741404289037643E-3</v>
      </c>
      <c r="M2133" s="5">
        <f t="shared" si="304"/>
        <v>-2.4524202888930942E-3</v>
      </c>
    </row>
    <row r="2134" spans="1:13" x14ac:dyDescent="0.25">
      <c r="A2134" s="4">
        <v>2126</v>
      </c>
      <c r="B2134" s="4">
        <f t="shared" si="297"/>
        <v>222</v>
      </c>
      <c r="C2134" s="4">
        <f t="shared" si="298"/>
        <v>2141</v>
      </c>
      <c r="D2134" s="4">
        <f>IF(B2134&gt;'Mortality Table'!$A$118,D2133,VLOOKUP(B2134,'Mortality Table'!$A$2:$B$118,2,FALSE))</f>
        <v>0.59733000000000003</v>
      </c>
      <c r="E2134" s="4">
        <f>IF(INT((C2134-1)/12)+1&gt;'Lapse Table'!$A$11,E2133,VLOOKUP(INT((C2134-1)/12)+1,'Lapse Table'!$A$2:$B$11,2,FALSE))/12</f>
        <v>0</v>
      </c>
      <c r="F2134" s="5">
        <f t="shared" si="305"/>
        <v>-79.515064865621014</v>
      </c>
      <c r="G2134" s="6">
        <f t="shared" si="299"/>
        <v>4.9777500000000002E-2</v>
      </c>
      <c r="H2134" s="6">
        <f t="shared" si="300"/>
        <v>0</v>
      </c>
      <c r="I2134" s="7">
        <f t="shared" si="301"/>
        <v>-2650.502162187367</v>
      </c>
      <c r="J2134" s="8">
        <f t="shared" si="302"/>
        <v>49777.5</v>
      </c>
      <c r="K2134" s="7">
        <f t="shared" si="303"/>
        <v>-52428.002162187368</v>
      </c>
      <c r="L2134" s="4">
        <f>IF(A2134&gt;'Yield Curve'!A2748,L2133,(1+VLOOKUP(A2134,'Yield Curve'!A2127:B2749,2,FALSE))^(1/12)-1)</f>
        <v>7.9741404289037643E-3</v>
      </c>
      <c r="M2134" s="5">
        <f t="shared" si="304"/>
        <v>-2.4330960563184395E-3</v>
      </c>
    </row>
    <row r="2135" spans="1:13" x14ac:dyDescent="0.25">
      <c r="A2135" s="4">
        <v>2127</v>
      </c>
      <c r="B2135" s="4">
        <f t="shared" si="297"/>
        <v>222</v>
      </c>
      <c r="C2135" s="4">
        <f t="shared" si="298"/>
        <v>2142</v>
      </c>
      <c r="D2135" s="4">
        <f>IF(B2135&gt;'Mortality Table'!$A$118,D2134,VLOOKUP(B2135,'Mortality Table'!$A$2:$B$118,2,FALSE))</f>
        <v>0.59733000000000003</v>
      </c>
      <c r="E2135" s="4">
        <f>IF(INT((C2135-1)/12)+1&gt;'Lapse Table'!$A$11,E2134,VLOOKUP(INT((C2135-1)/12)+1,'Lapse Table'!$A$2:$B$11,2,FALSE))/12</f>
        <v>0</v>
      </c>
      <c r="F2135" s="5">
        <f t="shared" si="305"/>
        <v>-79.564842365621018</v>
      </c>
      <c r="G2135" s="6">
        <f t="shared" si="299"/>
        <v>4.9777500000000002E-2</v>
      </c>
      <c r="H2135" s="6">
        <f t="shared" si="300"/>
        <v>0</v>
      </c>
      <c r="I2135" s="7">
        <f t="shared" si="301"/>
        <v>-2652.1614121873672</v>
      </c>
      <c r="J2135" s="8">
        <f t="shared" si="302"/>
        <v>49777.5</v>
      </c>
      <c r="K2135" s="7">
        <f t="shared" si="303"/>
        <v>-52429.661412187364</v>
      </c>
      <c r="L2135" s="4">
        <f>IF(A2135&gt;'Yield Curve'!A2749,L2134,(1+VLOOKUP(A2135,'Yield Curve'!A2128:B2750,2,FALSE))^(1/12)-1)</f>
        <v>7.9741404289037643E-3</v>
      </c>
      <c r="M2135" s="5">
        <f t="shared" si="304"/>
        <v>-2.4139240896652605E-3</v>
      </c>
    </row>
    <row r="2136" spans="1:13" x14ac:dyDescent="0.25">
      <c r="A2136" s="4">
        <v>2128</v>
      </c>
      <c r="B2136" s="4">
        <f t="shared" si="297"/>
        <v>222</v>
      </c>
      <c r="C2136" s="4">
        <f t="shared" si="298"/>
        <v>2143</v>
      </c>
      <c r="D2136" s="4">
        <f>IF(B2136&gt;'Mortality Table'!$A$118,D2135,VLOOKUP(B2136,'Mortality Table'!$A$2:$B$118,2,FALSE))</f>
        <v>0.59733000000000003</v>
      </c>
      <c r="E2136" s="4">
        <f>IF(INT((C2136-1)/12)+1&gt;'Lapse Table'!$A$11,E2135,VLOOKUP(INT((C2136-1)/12)+1,'Lapse Table'!$A$2:$B$11,2,FALSE))/12</f>
        <v>0</v>
      </c>
      <c r="F2136" s="5">
        <f t="shared" si="305"/>
        <v>-79.614619865621023</v>
      </c>
      <c r="G2136" s="6">
        <f t="shared" si="299"/>
        <v>4.9777500000000002E-2</v>
      </c>
      <c r="H2136" s="6">
        <f t="shared" si="300"/>
        <v>0</v>
      </c>
      <c r="I2136" s="7">
        <f t="shared" si="301"/>
        <v>-2653.8206621873674</v>
      </c>
      <c r="J2136" s="8">
        <f t="shared" si="302"/>
        <v>49777.5</v>
      </c>
      <c r="K2136" s="7">
        <f t="shared" si="303"/>
        <v>-52431.320662187369</v>
      </c>
      <c r="L2136" s="4">
        <f>IF(A2136&gt;'Yield Curve'!A2750,L2135,(1+VLOOKUP(A2136,'Yield Curve'!A2129:B2751,2,FALSE))^(1/12)-1)</f>
        <v>7.9741404289037643E-3</v>
      </c>
      <c r="M2136" s="5">
        <f t="shared" si="304"/>
        <v>-2.3949031891684603E-3</v>
      </c>
    </row>
    <row r="2137" spans="1:13" x14ac:dyDescent="0.25">
      <c r="A2137" s="4">
        <v>2129</v>
      </c>
      <c r="B2137" s="4">
        <f t="shared" si="297"/>
        <v>222</v>
      </c>
      <c r="C2137" s="4">
        <f t="shared" si="298"/>
        <v>2144</v>
      </c>
      <c r="D2137" s="4">
        <f>IF(B2137&gt;'Mortality Table'!$A$118,D2136,VLOOKUP(B2137,'Mortality Table'!$A$2:$B$118,2,FALSE))</f>
        <v>0.59733000000000003</v>
      </c>
      <c r="E2137" s="4">
        <f>IF(INT((C2137-1)/12)+1&gt;'Lapse Table'!$A$11,E2136,VLOOKUP(INT((C2137-1)/12)+1,'Lapse Table'!$A$2:$B$11,2,FALSE))/12</f>
        <v>0</v>
      </c>
      <c r="F2137" s="5">
        <f t="shared" si="305"/>
        <v>-79.664397365621028</v>
      </c>
      <c r="G2137" s="6">
        <f t="shared" si="299"/>
        <v>4.9777500000000002E-2</v>
      </c>
      <c r="H2137" s="6">
        <f t="shared" si="300"/>
        <v>0</v>
      </c>
      <c r="I2137" s="7">
        <f t="shared" si="301"/>
        <v>-2655.4799121873675</v>
      </c>
      <c r="J2137" s="8">
        <f t="shared" si="302"/>
        <v>49777.5</v>
      </c>
      <c r="K2137" s="7">
        <f t="shared" si="303"/>
        <v>-52432.979912187366</v>
      </c>
      <c r="L2137" s="4">
        <f>IF(A2137&gt;'Yield Curve'!A2751,L2136,(1+VLOOKUP(A2137,'Yield Curve'!A2130:B2752,2,FALSE))^(1/12)-1)</f>
        <v>7.9741404289037643E-3</v>
      </c>
      <c r="M2137" s="5">
        <f t="shared" si="304"/>
        <v>-2.3760321645162289E-3</v>
      </c>
    </row>
    <row r="2138" spans="1:13" x14ac:dyDescent="0.25">
      <c r="A2138" s="4">
        <v>2130</v>
      </c>
      <c r="B2138" s="4">
        <f t="shared" si="297"/>
        <v>222</v>
      </c>
      <c r="C2138" s="4">
        <f t="shared" si="298"/>
        <v>2145</v>
      </c>
      <c r="D2138" s="4">
        <f>IF(B2138&gt;'Mortality Table'!$A$118,D2137,VLOOKUP(B2138,'Mortality Table'!$A$2:$B$118,2,FALSE))</f>
        <v>0.59733000000000003</v>
      </c>
      <c r="E2138" s="4">
        <f>IF(INT((C2138-1)/12)+1&gt;'Lapse Table'!$A$11,E2137,VLOOKUP(INT((C2138-1)/12)+1,'Lapse Table'!$A$2:$B$11,2,FALSE))/12</f>
        <v>0</v>
      </c>
      <c r="F2138" s="5">
        <f t="shared" si="305"/>
        <v>-79.714174865621032</v>
      </c>
      <c r="G2138" s="6">
        <f t="shared" si="299"/>
        <v>4.9777500000000002E-2</v>
      </c>
      <c r="H2138" s="6">
        <f t="shared" si="300"/>
        <v>0</v>
      </c>
      <c r="I2138" s="7">
        <f t="shared" si="301"/>
        <v>-2657.1391621873677</v>
      </c>
      <c r="J2138" s="8">
        <f t="shared" si="302"/>
        <v>49777.5</v>
      </c>
      <c r="K2138" s="7">
        <f t="shared" si="303"/>
        <v>-52434.63916218737</v>
      </c>
      <c r="L2138" s="4">
        <f>IF(A2138&gt;'Yield Curve'!A2752,L2137,(1+VLOOKUP(A2138,'Yield Curve'!A2131:B2753,2,FALSE))^(1/12)-1)</f>
        <v>7.9741404289037643E-3</v>
      </c>
      <c r="M2138" s="5">
        <f t="shared" si="304"/>
        <v>-2.3573098347755552E-3</v>
      </c>
    </row>
    <row r="2139" spans="1:13" x14ac:dyDescent="0.25">
      <c r="A2139" s="4">
        <v>2131</v>
      </c>
      <c r="B2139" s="4">
        <f t="shared" si="297"/>
        <v>222</v>
      </c>
      <c r="C2139" s="4">
        <f t="shared" si="298"/>
        <v>2146</v>
      </c>
      <c r="D2139" s="4">
        <f>IF(B2139&gt;'Mortality Table'!$A$118,D2138,VLOOKUP(B2139,'Mortality Table'!$A$2:$B$118,2,FALSE))</f>
        <v>0.59733000000000003</v>
      </c>
      <c r="E2139" s="4">
        <f>IF(INT((C2139-1)/12)+1&gt;'Lapse Table'!$A$11,E2138,VLOOKUP(INT((C2139-1)/12)+1,'Lapse Table'!$A$2:$B$11,2,FALSE))/12</f>
        <v>0</v>
      </c>
      <c r="F2139" s="5">
        <f t="shared" si="305"/>
        <v>-79.763952365621037</v>
      </c>
      <c r="G2139" s="6">
        <f t="shared" si="299"/>
        <v>4.9777500000000002E-2</v>
      </c>
      <c r="H2139" s="6">
        <f t="shared" si="300"/>
        <v>0</v>
      </c>
      <c r="I2139" s="7">
        <f t="shared" si="301"/>
        <v>-2658.7984121873678</v>
      </c>
      <c r="J2139" s="8">
        <f t="shared" si="302"/>
        <v>49777.5</v>
      </c>
      <c r="K2139" s="7">
        <f t="shared" si="303"/>
        <v>-52436.298412187367</v>
      </c>
      <c r="L2139" s="4">
        <f>IF(A2139&gt;'Yield Curve'!A2753,L2138,(1+VLOOKUP(A2139,'Yield Curve'!A2132:B2754,2,FALSE))^(1/12)-1)</f>
        <v>7.9741404289037643E-3</v>
      </c>
      <c r="M2139" s="5">
        <f t="shared" si="304"/>
        <v>-2.3387350283183314E-3</v>
      </c>
    </row>
    <row r="2140" spans="1:13" x14ac:dyDescent="0.25">
      <c r="A2140" s="4">
        <v>2132</v>
      </c>
      <c r="B2140" s="4">
        <f t="shared" si="297"/>
        <v>222</v>
      </c>
      <c r="C2140" s="4">
        <f t="shared" si="298"/>
        <v>2147</v>
      </c>
      <c r="D2140" s="4">
        <f>IF(B2140&gt;'Mortality Table'!$A$118,D2139,VLOOKUP(B2140,'Mortality Table'!$A$2:$B$118,2,FALSE))</f>
        <v>0.59733000000000003</v>
      </c>
      <c r="E2140" s="4">
        <f>IF(INT((C2140-1)/12)+1&gt;'Lapse Table'!$A$11,E2139,VLOOKUP(INT((C2140-1)/12)+1,'Lapse Table'!$A$2:$B$11,2,FALSE))/12</f>
        <v>0</v>
      </c>
      <c r="F2140" s="5">
        <f t="shared" si="305"/>
        <v>-79.813729865621042</v>
      </c>
      <c r="G2140" s="6">
        <f t="shared" si="299"/>
        <v>4.9777500000000002E-2</v>
      </c>
      <c r="H2140" s="6">
        <f t="shared" si="300"/>
        <v>0</v>
      </c>
      <c r="I2140" s="7">
        <f t="shared" si="301"/>
        <v>-2660.457662187368</v>
      </c>
      <c r="J2140" s="8">
        <f t="shared" si="302"/>
        <v>49777.5</v>
      </c>
      <c r="K2140" s="7">
        <f t="shared" si="303"/>
        <v>-52437.957662187371</v>
      </c>
      <c r="L2140" s="4">
        <f>IF(A2140&gt;'Yield Curve'!A2754,L2139,(1+VLOOKUP(A2140,'Yield Curve'!A2133:B2755,2,FALSE))^(1/12)-1)</f>
        <v>7.9741404289037643E-3</v>
      </c>
      <c r="M2140" s="5">
        <f t="shared" si="304"/>
        <v>-2.3203065827480385E-3</v>
      </c>
    </row>
    <row r="2141" spans="1:13" x14ac:dyDescent="0.25">
      <c r="A2141" s="4">
        <v>2133</v>
      </c>
      <c r="B2141" s="4">
        <f t="shared" si="297"/>
        <v>222</v>
      </c>
      <c r="C2141" s="4">
        <f t="shared" si="298"/>
        <v>2148</v>
      </c>
      <c r="D2141" s="4">
        <f>IF(B2141&gt;'Mortality Table'!$A$118,D2140,VLOOKUP(B2141,'Mortality Table'!$A$2:$B$118,2,FALSE))</f>
        <v>0.59733000000000003</v>
      </c>
      <c r="E2141" s="4">
        <f>IF(INT((C2141-1)/12)+1&gt;'Lapse Table'!$A$11,E2140,VLOOKUP(INT((C2141-1)/12)+1,'Lapse Table'!$A$2:$B$11,2,FALSE))/12</f>
        <v>0</v>
      </c>
      <c r="F2141" s="5">
        <f t="shared" si="305"/>
        <v>-79.863507365621047</v>
      </c>
      <c r="G2141" s="6">
        <f t="shared" si="299"/>
        <v>4.9777500000000002E-2</v>
      </c>
      <c r="H2141" s="6">
        <f t="shared" si="300"/>
        <v>0</v>
      </c>
      <c r="I2141" s="7">
        <f t="shared" si="301"/>
        <v>-2662.1169121873681</v>
      </c>
      <c r="J2141" s="8">
        <f t="shared" si="302"/>
        <v>49777.5</v>
      </c>
      <c r="K2141" s="7">
        <f t="shared" si="303"/>
        <v>-52439.616912187368</v>
      </c>
      <c r="L2141" s="4">
        <f>IF(A2141&gt;'Yield Curve'!A2755,L2140,(1+VLOOKUP(A2141,'Yield Curve'!A2134:B2756,2,FALSE))^(1/12)-1)</f>
        <v>7.9741404289037643E-3</v>
      </c>
      <c r="M2141" s="5">
        <f t="shared" si="304"/>
        <v>-2.3020233448270088E-3</v>
      </c>
    </row>
    <row r="2142" spans="1:13" x14ac:dyDescent="0.25">
      <c r="A2142" s="4">
        <v>2134</v>
      </c>
      <c r="B2142" s="4">
        <f t="shared" si="297"/>
        <v>222</v>
      </c>
      <c r="C2142" s="4">
        <f t="shared" si="298"/>
        <v>2149</v>
      </c>
      <c r="D2142" s="4">
        <f>IF(B2142&gt;'Mortality Table'!$A$118,D2141,VLOOKUP(B2142,'Mortality Table'!$A$2:$B$118,2,FALSE))</f>
        <v>0.59733000000000003</v>
      </c>
      <c r="E2142" s="4">
        <f>IF(INT((C2142-1)/12)+1&gt;'Lapse Table'!$A$11,E2141,VLOOKUP(INT((C2142-1)/12)+1,'Lapse Table'!$A$2:$B$11,2,FALSE))/12</f>
        <v>0</v>
      </c>
      <c r="F2142" s="5">
        <f t="shared" si="305"/>
        <v>-79.913284865621051</v>
      </c>
      <c r="G2142" s="6">
        <f t="shared" si="299"/>
        <v>4.9777500000000002E-2</v>
      </c>
      <c r="H2142" s="6">
        <f t="shared" si="300"/>
        <v>0</v>
      </c>
      <c r="I2142" s="7">
        <f t="shared" si="301"/>
        <v>-2663.7761621873683</v>
      </c>
      <c r="J2142" s="8">
        <f t="shared" si="302"/>
        <v>49777.5</v>
      </c>
      <c r="K2142" s="7">
        <f t="shared" si="303"/>
        <v>-52441.276162187365</v>
      </c>
      <c r="L2142" s="4">
        <f>IF(A2142&gt;'Yield Curve'!A2756,L2141,(1+VLOOKUP(A2142,'Yield Curve'!A2135:B2757,2,FALSE))^(1/12)-1)</f>
        <v>7.9741404289037643E-3</v>
      </c>
      <c r="M2142" s="5">
        <f t="shared" si="304"/>
        <v>-2.2838841704042653E-3</v>
      </c>
    </row>
    <row r="2143" spans="1:13" x14ac:dyDescent="0.25">
      <c r="A2143" s="4">
        <v>2135</v>
      </c>
      <c r="B2143" s="4">
        <f t="shared" si="297"/>
        <v>222</v>
      </c>
      <c r="C2143" s="4">
        <f t="shared" si="298"/>
        <v>2150</v>
      </c>
      <c r="D2143" s="4">
        <f>IF(B2143&gt;'Mortality Table'!$A$118,D2142,VLOOKUP(B2143,'Mortality Table'!$A$2:$B$118,2,FALSE))</f>
        <v>0.59733000000000003</v>
      </c>
      <c r="E2143" s="4">
        <f>IF(INT((C2143-1)/12)+1&gt;'Lapse Table'!$A$11,E2142,VLOOKUP(INT((C2143-1)/12)+1,'Lapse Table'!$A$2:$B$11,2,FALSE))/12</f>
        <v>0</v>
      </c>
      <c r="F2143" s="5">
        <f t="shared" si="305"/>
        <v>-79.963062365621056</v>
      </c>
      <c r="G2143" s="6">
        <f t="shared" si="299"/>
        <v>4.9777500000000002E-2</v>
      </c>
      <c r="H2143" s="6">
        <f t="shared" si="300"/>
        <v>0</v>
      </c>
      <c r="I2143" s="7">
        <f t="shared" si="301"/>
        <v>-2665.4354121873685</v>
      </c>
      <c r="J2143" s="8">
        <f t="shared" si="302"/>
        <v>49777.5</v>
      </c>
      <c r="K2143" s="7">
        <f t="shared" si="303"/>
        <v>-52442.935412187369</v>
      </c>
      <c r="L2143" s="4">
        <f>IF(A2143&gt;'Yield Curve'!A2757,L2142,(1+VLOOKUP(A2143,'Yield Curve'!A2136:B2758,2,FALSE))^(1/12)-1)</f>
        <v>7.9741404289037643E-3</v>
      </c>
      <c r="M2143" s="5">
        <f t="shared" si="304"/>
        <v>-2.2658879243439198E-3</v>
      </c>
    </row>
    <row r="2144" spans="1:13" x14ac:dyDescent="0.25">
      <c r="A2144" s="4">
        <v>2136</v>
      </c>
      <c r="B2144" s="4">
        <f t="shared" si="297"/>
        <v>223</v>
      </c>
      <c r="C2144" s="4">
        <f t="shared" si="298"/>
        <v>2151</v>
      </c>
      <c r="D2144" s="4">
        <f>IF(B2144&gt;'Mortality Table'!$A$118,D2143,VLOOKUP(B2144,'Mortality Table'!$A$2:$B$118,2,FALSE))</f>
        <v>0.59733000000000003</v>
      </c>
      <c r="E2144" s="4">
        <f>IF(INT((C2144-1)/12)+1&gt;'Lapse Table'!$A$11,E2143,VLOOKUP(INT((C2144-1)/12)+1,'Lapse Table'!$A$2:$B$11,2,FALSE))/12</f>
        <v>0</v>
      </c>
      <c r="F2144" s="5">
        <f t="shared" si="305"/>
        <v>-80.012839865621061</v>
      </c>
      <c r="G2144" s="6">
        <f t="shared" si="299"/>
        <v>4.9777500000000002E-2</v>
      </c>
      <c r="H2144" s="6">
        <f t="shared" si="300"/>
        <v>0</v>
      </c>
      <c r="I2144" s="7">
        <f t="shared" si="301"/>
        <v>-2667.0946621873686</v>
      </c>
      <c r="J2144" s="8">
        <f t="shared" si="302"/>
        <v>49777.5</v>
      </c>
      <c r="K2144" s="7">
        <f t="shared" si="303"/>
        <v>-52444.594662187366</v>
      </c>
      <c r="L2144" s="4">
        <f>IF(A2144&gt;'Yield Curve'!A2758,L2143,(1+VLOOKUP(A2144,'Yield Curve'!A2137:B2759,2,FALSE))^(1/12)-1)</f>
        <v>7.9741404289037643E-3</v>
      </c>
      <c r="M2144" s="5">
        <f t="shared" si="304"/>
        <v>-2.2480334804541452E-3</v>
      </c>
    </row>
    <row r="2145" spans="1:13" x14ac:dyDescent="0.25">
      <c r="A2145" s="4">
        <v>2137</v>
      </c>
      <c r="B2145" s="4">
        <f t="shared" si="297"/>
        <v>223</v>
      </c>
      <c r="C2145" s="4">
        <f t="shared" si="298"/>
        <v>2152</v>
      </c>
      <c r="D2145" s="4">
        <f>IF(B2145&gt;'Mortality Table'!$A$118,D2144,VLOOKUP(B2145,'Mortality Table'!$A$2:$B$118,2,FALSE))</f>
        <v>0.59733000000000003</v>
      </c>
      <c r="E2145" s="4">
        <f>IF(INT((C2145-1)/12)+1&gt;'Lapse Table'!$A$11,E2144,VLOOKUP(INT((C2145-1)/12)+1,'Lapse Table'!$A$2:$B$11,2,FALSE))/12</f>
        <v>0</v>
      </c>
      <c r="F2145" s="5">
        <f t="shared" si="305"/>
        <v>-80.062617365621065</v>
      </c>
      <c r="G2145" s="6">
        <f t="shared" si="299"/>
        <v>4.9777500000000002E-2</v>
      </c>
      <c r="H2145" s="6">
        <f t="shared" si="300"/>
        <v>0</v>
      </c>
      <c r="I2145" s="7">
        <f t="shared" si="301"/>
        <v>-2668.7539121873688</v>
      </c>
      <c r="J2145" s="8">
        <f t="shared" si="302"/>
        <v>49777.5</v>
      </c>
      <c r="K2145" s="7">
        <f t="shared" si="303"/>
        <v>-52446.253912187371</v>
      </c>
      <c r="L2145" s="4">
        <f>IF(A2145&gt;'Yield Curve'!A2759,L2144,(1+VLOOKUP(A2145,'Yield Curve'!A2138:B2760,2,FALSE))^(1/12)-1)</f>
        <v>7.9741404289037643E-3</v>
      </c>
      <c r="M2145" s="5">
        <f t="shared" si="304"/>
        <v>-2.230319721416706E-3</v>
      </c>
    </row>
    <row r="2146" spans="1:13" x14ac:dyDescent="0.25">
      <c r="A2146" s="4">
        <v>2138</v>
      </c>
      <c r="B2146" s="4">
        <f t="shared" si="297"/>
        <v>223</v>
      </c>
      <c r="C2146" s="4">
        <f t="shared" si="298"/>
        <v>2153</v>
      </c>
      <c r="D2146" s="4">
        <f>IF(B2146&gt;'Mortality Table'!$A$118,D2145,VLOOKUP(B2146,'Mortality Table'!$A$2:$B$118,2,FALSE))</f>
        <v>0.59733000000000003</v>
      </c>
      <c r="E2146" s="4">
        <f>IF(INT((C2146-1)/12)+1&gt;'Lapse Table'!$A$11,E2145,VLOOKUP(INT((C2146-1)/12)+1,'Lapse Table'!$A$2:$B$11,2,FALSE))/12</f>
        <v>0</v>
      </c>
      <c r="F2146" s="5">
        <f t="shared" si="305"/>
        <v>-80.11239486562107</v>
      </c>
      <c r="G2146" s="6">
        <f t="shared" si="299"/>
        <v>4.9777500000000002E-2</v>
      </c>
      <c r="H2146" s="6">
        <f t="shared" si="300"/>
        <v>0</v>
      </c>
      <c r="I2146" s="7">
        <f t="shared" si="301"/>
        <v>-2670.4131621873689</v>
      </c>
      <c r="J2146" s="8">
        <f t="shared" si="302"/>
        <v>49777.5</v>
      </c>
      <c r="K2146" s="7">
        <f t="shared" si="303"/>
        <v>-52447.913162187368</v>
      </c>
      <c r="L2146" s="4">
        <f>IF(A2146&gt;'Yield Curve'!A2760,L2145,(1+VLOOKUP(A2146,'Yield Curve'!A2139:B2761,2,FALSE))^(1/12)-1)</f>
        <v>7.9741404289037643E-3</v>
      </c>
      <c r="M2146" s="5">
        <f t="shared" si="304"/>
        <v>-2.212745538717037E-3</v>
      </c>
    </row>
    <row r="2147" spans="1:13" x14ac:dyDescent="0.25">
      <c r="A2147" s="4">
        <v>2139</v>
      </c>
      <c r="B2147" s="4">
        <f t="shared" si="297"/>
        <v>223</v>
      </c>
      <c r="C2147" s="4">
        <f t="shared" si="298"/>
        <v>2154</v>
      </c>
      <c r="D2147" s="4">
        <f>IF(B2147&gt;'Mortality Table'!$A$118,D2146,VLOOKUP(B2147,'Mortality Table'!$A$2:$B$118,2,FALSE))</f>
        <v>0.59733000000000003</v>
      </c>
      <c r="E2147" s="4">
        <f>IF(INT((C2147-1)/12)+1&gt;'Lapse Table'!$A$11,E2146,VLOOKUP(INT((C2147-1)/12)+1,'Lapse Table'!$A$2:$B$11,2,FALSE))/12</f>
        <v>0</v>
      </c>
      <c r="F2147" s="5">
        <f t="shared" si="305"/>
        <v>-80.162172365621075</v>
      </c>
      <c r="G2147" s="6">
        <f t="shared" si="299"/>
        <v>4.9777500000000002E-2</v>
      </c>
      <c r="H2147" s="6">
        <f t="shared" si="300"/>
        <v>0</v>
      </c>
      <c r="I2147" s="7">
        <f t="shared" si="301"/>
        <v>-2672.0724121873691</v>
      </c>
      <c r="J2147" s="8">
        <f t="shared" si="302"/>
        <v>49777.5</v>
      </c>
      <c r="K2147" s="7">
        <f t="shared" si="303"/>
        <v>-52449.572412187372</v>
      </c>
      <c r="L2147" s="4">
        <f>IF(A2147&gt;'Yield Curve'!A2761,L2146,(1+VLOOKUP(A2147,'Yield Curve'!A2140:B2762,2,FALSE))^(1/12)-1)</f>
        <v>7.9741404289037643E-3</v>
      </c>
      <c r="M2147" s="5">
        <f t="shared" si="304"/>
        <v>-2.1953098325748822E-3</v>
      </c>
    </row>
    <row r="2148" spans="1:13" x14ac:dyDescent="0.25">
      <c r="A2148" s="4">
        <v>2140</v>
      </c>
      <c r="B2148" s="4">
        <f t="shared" si="297"/>
        <v>223</v>
      </c>
      <c r="C2148" s="4">
        <f t="shared" si="298"/>
        <v>2155</v>
      </c>
      <c r="D2148" s="4">
        <f>IF(B2148&gt;'Mortality Table'!$A$118,D2147,VLOOKUP(B2148,'Mortality Table'!$A$2:$B$118,2,FALSE))</f>
        <v>0.59733000000000003</v>
      </c>
      <c r="E2148" s="4">
        <f>IF(INT((C2148-1)/12)+1&gt;'Lapse Table'!$A$11,E2147,VLOOKUP(INT((C2148-1)/12)+1,'Lapse Table'!$A$2:$B$11,2,FALSE))/12</f>
        <v>0</v>
      </c>
      <c r="F2148" s="5">
        <f t="shared" si="305"/>
        <v>-80.211949865621079</v>
      </c>
      <c r="G2148" s="6">
        <f t="shared" si="299"/>
        <v>4.9777500000000002E-2</v>
      </c>
      <c r="H2148" s="6">
        <f t="shared" si="300"/>
        <v>0</v>
      </c>
      <c r="I2148" s="7">
        <f t="shared" si="301"/>
        <v>-2673.7316621873692</v>
      </c>
      <c r="J2148" s="8">
        <f t="shared" si="302"/>
        <v>49777.5</v>
      </c>
      <c r="K2148" s="7">
        <f t="shared" si="303"/>
        <v>-52451.231662187369</v>
      </c>
      <c r="L2148" s="4">
        <f>IF(A2148&gt;'Yield Curve'!A2762,L2147,(1+VLOOKUP(A2148,'Yield Curve'!A2141:B2763,2,FALSE))^(1/12)-1)</f>
        <v>7.9741404289037643E-3</v>
      </c>
      <c r="M2148" s="5">
        <f t="shared" si="304"/>
        <v>-2.1780115118754718E-3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unt">
                <anchor moveWithCells="1">
                  <from>
                    <xdr:col>4</xdr:col>
                    <xdr:colOff>483079</xdr:colOff>
                    <xdr:row>3</xdr:row>
                    <xdr:rowOff>25879</xdr:rowOff>
                  </from>
                  <to>
                    <xdr:col>5</xdr:col>
                    <xdr:colOff>474453</xdr:colOff>
                    <xdr:row>5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E654F-7411-4C94-A5B5-3C9E3C3BD3E5}">
  <sheetPr codeName="Sheet6"/>
  <dimension ref="B2:C36"/>
  <sheetViews>
    <sheetView showGridLines="0" workbookViewId="0">
      <selection activeCell="B4" sqref="B4:C7"/>
    </sheetView>
  </sheetViews>
  <sheetFormatPr defaultRowHeight="14.3" x14ac:dyDescent="0.25"/>
  <cols>
    <col min="2" max="2" width="11.75" bestFit="1" customWidth="1"/>
    <col min="3" max="3" width="11" bestFit="1" customWidth="1"/>
  </cols>
  <sheetData>
    <row r="2" spans="2:3" x14ac:dyDescent="0.25">
      <c r="B2" t="s">
        <v>20</v>
      </c>
      <c r="C2" s="2">
        <f>-SUM(Model!M9:M2148)</f>
        <v>240454.34734152752</v>
      </c>
    </row>
    <row r="3" spans="2:3" x14ac:dyDescent="0.25">
      <c r="B3" s="4" t="s">
        <v>12</v>
      </c>
      <c r="C3" s="4" t="s">
        <v>18</v>
      </c>
    </row>
    <row r="4" spans="2:3" x14ac:dyDescent="0.25">
      <c r="B4" s="4"/>
      <c r="C4" s="5"/>
    </row>
    <row r="5" spans="2:3" x14ac:dyDescent="0.25">
      <c r="B5" s="4"/>
      <c r="C5" s="5"/>
    </row>
    <row r="6" spans="2:3" x14ac:dyDescent="0.25">
      <c r="B6" s="4"/>
      <c r="C6" s="5"/>
    </row>
    <row r="7" spans="2:3" x14ac:dyDescent="0.25">
      <c r="B7" s="4"/>
      <c r="C7" s="5"/>
    </row>
    <row r="8" spans="2:3" x14ac:dyDescent="0.25">
      <c r="B8" s="4"/>
      <c r="C8" s="5"/>
    </row>
    <row r="9" spans="2:3" x14ac:dyDescent="0.25">
      <c r="B9" s="4"/>
      <c r="C9" s="5"/>
    </row>
    <row r="10" spans="2:3" x14ac:dyDescent="0.25">
      <c r="B10" s="4"/>
      <c r="C10" s="5"/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19" spans="2:3" x14ac:dyDescent="0.25">
      <c r="B19" s="4"/>
      <c r="C19" s="5"/>
    </row>
    <row r="20" spans="2:3" x14ac:dyDescent="0.25">
      <c r="B20" s="4"/>
      <c r="C20" s="5"/>
    </row>
    <row r="21" spans="2:3" x14ac:dyDescent="0.25">
      <c r="B21" s="4"/>
      <c r="C21" s="5"/>
    </row>
    <row r="22" spans="2:3" x14ac:dyDescent="0.25">
      <c r="B22" s="4"/>
      <c r="C22" s="5"/>
    </row>
    <row r="23" spans="2:3" x14ac:dyDescent="0.25">
      <c r="B23" s="4"/>
      <c r="C23" s="5"/>
    </row>
    <row r="24" spans="2:3" x14ac:dyDescent="0.25">
      <c r="B24" s="4"/>
      <c r="C24" s="5"/>
    </row>
    <row r="25" spans="2:3" x14ac:dyDescent="0.25">
      <c r="B25" s="4"/>
      <c r="C25" s="5"/>
    </row>
    <row r="26" spans="2:3" x14ac:dyDescent="0.25">
      <c r="B26" s="4"/>
      <c r="C26" s="5"/>
    </row>
    <row r="27" spans="2:3" x14ac:dyDescent="0.25">
      <c r="B27" s="4"/>
      <c r="C27" s="5"/>
    </row>
    <row r="28" spans="2:3" x14ac:dyDescent="0.25">
      <c r="B28" s="4"/>
      <c r="C28" s="5"/>
    </row>
    <row r="29" spans="2:3" x14ac:dyDescent="0.25">
      <c r="B29" s="4"/>
      <c r="C29" s="5"/>
    </row>
    <row r="30" spans="2:3" x14ac:dyDescent="0.25">
      <c r="B30" s="4"/>
      <c r="C30" s="5"/>
    </row>
    <row r="31" spans="2:3" x14ac:dyDescent="0.25">
      <c r="B31" s="4"/>
      <c r="C31" s="5"/>
    </row>
    <row r="32" spans="2:3" x14ac:dyDescent="0.25">
      <c r="B32" s="4"/>
      <c r="C32" s="5"/>
    </row>
    <row r="33" spans="2:3" x14ac:dyDescent="0.25">
      <c r="B33" s="4"/>
      <c r="C33" s="5"/>
    </row>
    <row r="34" spans="2:3" x14ac:dyDescent="0.25">
      <c r="B34" s="4"/>
      <c r="C34" s="5"/>
    </row>
    <row r="35" spans="2:3" x14ac:dyDescent="0.25">
      <c r="B35" s="4"/>
      <c r="C35" s="5"/>
    </row>
    <row r="36" spans="2:3" x14ac:dyDescent="0.25">
      <c r="B36" s="4"/>
      <c r="C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Mortality Table</vt:lpstr>
      <vt:lpstr>Lapse Table</vt:lpstr>
      <vt:lpstr>Yield Curve</vt:lpstr>
      <vt:lpstr>Policy Data</vt:lpstr>
      <vt:lpstr>Model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Arthur, Sean</dc:creator>
  <cp:lastModifiedBy>Patil, Lavesh</cp:lastModifiedBy>
  <dcterms:created xsi:type="dcterms:W3CDTF">2020-07-30T18:09:07Z</dcterms:created>
  <dcterms:modified xsi:type="dcterms:W3CDTF">2020-10-11T01:40:08Z</dcterms:modified>
</cp:coreProperties>
</file>